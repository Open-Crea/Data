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sella.brandini\Desktop\iafrate\ELAB\Pioggia Cumulata\2026\"/>
    </mc:Choice>
  </mc:AlternateContent>
  <xr:revisionPtr revIDLastSave="0" documentId="13_ncr:1_{45C6C70B-1D28-45BC-8CBC-4ED623B4ED29}" xr6:coauthVersionLast="47" xr6:coauthVersionMax="47" xr10:uidLastSave="{00000000-0000-0000-0000-000000000000}"/>
  <bookViews>
    <workbookView xWindow="-108" yWindow="-108" windowWidth="23256" windowHeight="12456" activeTab="1" xr2:uid="{929EBEDA-0D39-42A1-B270-ED3F8BC17675}"/>
  </bookViews>
  <sheets>
    <sheet name="Foglio1" sheetId="2" r:id="rId1"/>
    <sheet name="Roma Collegio Romano CREA - Pio" sheetId="1" r:id="rId2"/>
  </sheets>
  <calcPr calcId="191029"/>
  <pivotCaches>
    <pivotCache cacheId="24" r:id="rId3"/>
    <pivotCache cacheId="28" r:id="rId4"/>
    <pivotCache cacheId="32" r:id="rId5"/>
    <pivotCache cacheId="3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1" l="1"/>
  <c r="X13" i="1"/>
  <c r="U13" i="1" a="1"/>
  <c r="U13" i="1" s="1"/>
  <c r="R1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2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2" i="1"/>
  <c r="D3" i="1"/>
  <c r="D4" i="1"/>
  <c r="D5" i="1"/>
  <c r="D6" i="1"/>
  <c r="D7" i="1"/>
  <c r="D8" i="1"/>
  <c r="D9" i="1"/>
  <c r="D10" i="1"/>
  <c r="D11" i="1"/>
  <c r="D12" i="1"/>
  <c r="D13" i="1"/>
  <c r="T13" i="1"/>
  <c r="Z13" i="1"/>
  <c r="W1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" i="1"/>
  <c r="Q13" i="1"/>
  <c r="I4" i="1"/>
  <c r="L4" i="1" s="1"/>
  <c r="I5" i="1"/>
  <c r="L5" i="1" s="1"/>
  <c r="I6" i="1"/>
  <c r="L6" i="1" s="1"/>
  <c r="I7" i="1"/>
  <c r="L7" i="1" s="1"/>
  <c r="I8" i="1"/>
  <c r="L8" i="1" s="1"/>
  <c r="I9" i="1"/>
  <c r="L9" i="1" s="1"/>
  <c r="I10" i="1"/>
  <c r="L10" i="1" s="1"/>
  <c r="I11" i="1"/>
  <c r="L11" i="1" s="1"/>
  <c r="I12" i="1"/>
  <c r="L12" i="1" s="1"/>
  <c r="I13" i="1"/>
  <c r="L13" i="1" s="1"/>
  <c r="I14" i="1"/>
  <c r="L14" i="1" s="1"/>
  <c r="I15" i="1"/>
  <c r="L15" i="1" s="1"/>
  <c r="I16" i="1"/>
  <c r="L16" i="1" s="1"/>
  <c r="I17" i="1"/>
  <c r="L17" i="1" s="1"/>
  <c r="I18" i="1"/>
  <c r="L18" i="1" s="1"/>
  <c r="I19" i="1"/>
  <c r="L19" i="1" s="1"/>
  <c r="I20" i="1"/>
  <c r="L20" i="1" s="1"/>
  <c r="I21" i="1"/>
  <c r="L21" i="1" s="1"/>
  <c r="I22" i="1"/>
  <c r="L22" i="1" s="1"/>
  <c r="I23" i="1"/>
  <c r="L23" i="1" s="1"/>
  <c r="I24" i="1"/>
  <c r="L24" i="1" s="1"/>
  <c r="I25" i="1"/>
  <c r="L25" i="1" s="1"/>
  <c r="I26" i="1"/>
  <c r="L26" i="1" s="1"/>
  <c r="I27" i="1"/>
  <c r="L27" i="1" s="1"/>
  <c r="I28" i="1"/>
  <c r="L28" i="1" s="1"/>
  <c r="I29" i="1"/>
  <c r="L29" i="1" s="1"/>
  <c r="I30" i="1"/>
  <c r="L30" i="1" s="1"/>
  <c r="I3" i="1"/>
  <c r="L3" i="1" s="1"/>
  <c r="X9" i="1" l="1"/>
  <c r="X8" i="1"/>
  <c r="O12" i="1" s="1"/>
  <c r="X7" i="1"/>
  <c r="N8" i="1" s="1"/>
  <c r="R7" i="1"/>
  <c r="R8" i="1"/>
  <c r="K30" i="1" s="1"/>
  <c r="R9" i="1"/>
  <c r="O28" i="1" l="1"/>
  <c r="O6" i="1"/>
  <c r="N6" i="1"/>
  <c r="K10" i="1"/>
  <c r="K11" i="1"/>
  <c r="K24" i="1"/>
  <c r="K13" i="1"/>
  <c r="K26" i="1"/>
  <c r="K15" i="1"/>
  <c r="K9" i="1"/>
  <c r="K23" i="1"/>
  <c r="K12" i="1"/>
  <c r="K25" i="1"/>
  <c r="K14" i="1"/>
  <c r="K27" i="1"/>
  <c r="K8" i="1"/>
  <c r="K20" i="1"/>
  <c r="K21" i="1"/>
  <c r="K22" i="1"/>
  <c r="N30" i="1"/>
  <c r="O11" i="1"/>
  <c r="K17" i="1"/>
  <c r="N18" i="1"/>
  <c r="O22" i="1"/>
  <c r="J17" i="1"/>
  <c r="J30" i="1"/>
  <c r="J7" i="1"/>
  <c r="J3" i="1"/>
  <c r="J8" i="1"/>
  <c r="J9" i="1"/>
  <c r="J10" i="1"/>
  <c r="J22" i="1"/>
  <c r="J24" i="1"/>
  <c r="J5" i="1"/>
  <c r="J18" i="1"/>
  <c r="J19" i="1"/>
  <c r="J20" i="1"/>
  <c r="J21" i="1"/>
  <c r="J11" i="1"/>
  <c r="J23" i="1"/>
  <c r="J29" i="1"/>
  <c r="J6" i="1"/>
  <c r="J12" i="1"/>
  <c r="K5" i="1"/>
  <c r="N14" i="1"/>
  <c r="N7" i="1"/>
  <c r="O3" i="1"/>
  <c r="K29" i="1"/>
  <c r="O20" i="1"/>
  <c r="K6" i="1"/>
  <c r="O14" i="1"/>
  <c r="O16" i="1"/>
  <c r="J15" i="1"/>
  <c r="N11" i="1"/>
  <c r="O9" i="1"/>
  <c r="N10" i="1"/>
  <c r="O15" i="1"/>
  <c r="J27" i="1"/>
  <c r="K7" i="1"/>
  <c r="N9" i="1"/>
  <c r="O29" i="1"/>
  <c r="O30" i="1"/>
  <c r="O4" i="1"/>
  <c r="K19" i="1"/>
  <c r="J13" i="1"/>
  <c r="N5" i="1"/>
  <c r="O26" i="1"/>
  <c r="O24" i="1"/>
  <c r="K4" i="1"/>
  <c r="J4" i="1"/>
  <c r="J25" i="1"/>
  <c r="O13" i="1"/>
  <c r="O17" i="1"/>
  <c r="N25" i="1"/>
  <c r="K16" i="1"/>
  <c r="J16" i="1"/>
  <c r="J14" i="1"/>
  <c r="O25" i="1"/>
  <c r="O27" i="1"/>
  <c r="O8" i="1"/>
  <c r="N24" i="1"/>
  <c r="O10" i="1"/>
  <c r="O19" i="1"/>
  <c r="K28" i="1"/>
  <c r="N26" i="1"/>
  <c r="O18" i="1"/>
  <c r="O21" i="1"/>
  <c r="O5" i="1"/>
  <c r="N16" i="1"/>
  <c r="K18" i="1"/>
  <c r="O23" i="1"/>
  <c r="O7" i="1"/>
  <c r="N13" i="1"/>
  <c r="J28" i="1"/>
  <c r="J26" i="1"/>
  <c r="N19" i="1"/>
  <c r="N12" i="1"/>
  <c r="N22" i="1"/>
  <c r="N21" i="1"/>
  <c r="K3" i="1"/>
  <c r="N29" i="1"/>
  <c r="N17" i="1"/>
  <c r="N27" i="1"/>
  <c r="N20" i="1"/>
  <c r="N3" i="1"/>
  <c r="N15" i="1"/>
  <c r="N28" i="1"/>
  <c r="N23" i="1"/>
  <c r="N4" i="1"/>
  <c r="B30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<sst xmlns="http://schemas.openxmlformats.org/spreadsheetml/2006/main" count="56" uniqueCount="33">
  <si>
    <t>Orario</t>
  </si>
  <si>
    <t>Roma Collegio Romano CREA - Pioggia Cumulata - 76598 (mm)</t>
  </si>
  <si>
    <t>Variazione</t>
  </si>
  <si>
    <t>Totale</t>
  </si>
  <si>
    <t>Min Pioggia</t>
  </si>
  <si>
    <t>Max Pioggia</t>
  </si>
  <si>
    <t>Min Variazione</t>
  </si>
  <si>
    <t>Max Variazione</t>
  </si>
  <si>
    <t>giorno</t>
  </si>
  <si>
    <t>DAY Tmax</t>
  </si>
  <si>
    <t>DAY Tmin</t>
  </si>
  <si>
    <t>Pioggia Cumulata</t>
  </si>
  <si>
    <t>Su somma dei valori giornalieri</t>
  </si>
  <si>
    <t>Valore Max</t>
  </si>
  <si>
    <t>Valore Min</t>
  </si>
  <si>
    <t>Media Mensile</t>
  </si>
  <si>
    <t xml:space="preserve"> su singolo rilevamento</t>
  </si>
  <si>
    <t>MAX</t>
  </si>
  <si>
    <r>
      <rPr>
        <b/>
        <sz val="11"/>
        <color theme="1"/>
        <rFont val="Aptos Narrow"/>
        <family val="2"/>
        <scheme val="minor"/>
      </rPr>
      <t xml:space="preserve">giorno/ora </t>
    </r>
    <r>
      <rPr>
        <b/>
        <sz val="11"/>
        <color theme="3" tint="0.249977111117893"/>
        <rFont val="Aptos Narrow"/>
        <family val="2"/>
        <scheme val="minor"/>
      </rPr>
      <t>MAX</t>
    </r>
  </si>
  <si>
    <t>MIN</t>
  </si>
  <si>
    <t>PIOGGIA CUMULATA</t>
  </si>
  <si>
    <t>Variazione giornaliera</t>
  </si>
  <si>
    <t>Totale Giornaliero</t>
  </si>
  <si>
    <t>Totale giornaliero</t>
  </si>
  <si>
    <t>gg &gt;= 1 mm</t>
  </si>
  <si>
    <t>su singolo rilevamento</t>
  </si>
  <si>
    <t>FEBBRAIO_2026-Roma Collegio Romano CREA
Temperatura Aria - 76607 (°C)</t>
  </si>
  <si>
    <t>FEBBRAIO_2026-Roma Collegio Romano
Temperatura Aria - 76607 (°C)</t>
  </si>
  <si>
    <t>Etichette di riga</t>
  </si>
  <si>
    <t>0</t>
  </si>
  <si>
    <t>Totale complessivo</t>
  </si>
  <si>
    <r>
      <t xml:space="preserve">giorno/ora </t>
    </r>
    <r>
      <rPr>
        <b/>
        <sz val="9"/>
        <color rgb="FFC00000"/>
        <rFont val="Aptos Narrow"/>
        <family val="2"/>
        <scheme val="minor"/>
      </rPr>
      <t>MIN</t>
    </r>
  </si>
  <si>
    <r>
      <rPr>
        <b/>
        <sz val="9"/>
        <color theme="1"/>
        <rFont val="Aptos Narrow"/>
        <family val="2"/>
        <scheme val="minor"/>
      </rPr>
      <t xml:space="preserve">giorno/ora </t>
    </r>
    <r>
      <rPr>
        <b/>
        <sz val="9"/>
        <color theme="3" tint="0.249977111117893"/>
        <rFont val="Aptos Narrow"/>
        <family val="2"/>
        <scheme val="minor"/>
      </rPr>
      <t>MAX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</si>
</sst>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0]d\-mmm;@"/>
    <numFmt numFmtId="165" formatCode="0.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6" tint="-0.249977111117893"/>
      <name val="Aptos Narrow"/>
      <family val="2"/>
      <scheme val="minor"/>
    </font>
    <font>
      <sz val="11"/>
      <color theme="6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2"/>
      <color theme="3" tint="0.249977111117893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b/>
      <sz val="9"/>
      <color theme="3" tint="0.249977111117893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9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18" fillId="33" borderId="0" xfId="0" applyFont="1" applyFill="1" applyAlignment="1">
      <alignment horizontal="center"/>
    </xf>
    <xf numFmtId="0" fontId="16" fillId="34" borderId="0" xfId="0" applyFont="1" applyFill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/>
    <xf numFmtId="164" fontId="21" fillId="0" borderId="10" xfId="0" applyNumberFormat="1" applyFont="1" applyBorder="1"/>
    <xf numFmtId="165" fontId="0" fillId="0" borderId="10" xfId="0" applyNumberFormat="1" applyBorder="1" applyAlignment="1">
      <alignment horizontal="center"/>
    </xf>
    <xf numFmtId="164" fontId="0" fillId="0" borderId="10" xfId="0" applyNumberFormat="1" applyBorder="1"/>
    <xf numFmtId="164" fontId="24" fillId="0" borderId="10" xfId="0" applyNumberFormat="1" applyFont="1" applyBorder="1" applyAlignment="1">
      <alignment horizontal="center"/>
    </xf>
    <xf numFmtId="22" fontId="26" fillId="0" borderId="10" xfId="0" applyNumberFormat="1" applyFont="1" applyBorder="1"/>
    <xf numFmtId="164" fontId="21" fillId="0" borderId="0" xfId="0" applyNumberFormat="1" applyFont="1"/>
    <xf numFmtId="22" fontId="26" fillId="0" borderId="0" xfId="0" applyNumberFormat="1" applyFont="1"/>
    <xf numFmtId="1" fontId="0" fillId="0" borderId="0" xfId="0" applyNumberFormat="1"/>
    <xf numFmtId="0" fontId="21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22" fontId="28" fillId="0" borderId="0" xfId="0" applyNumberFormat="1" applyFont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22" fillId="0" borderId="15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35" borderId="12" xfId="0" applyFont="1" applyFill="1" applyBorder="1" applyAlignment="1">
      <alignment horizontal="center"/>
    </xf>
    <xf numFmtId="164" fontId="21" fillId="0" borderId="10" xfId="0" applyNumberFormat="1" applyFont="1" applyFill="1" applyBorder="1"/>
    <xf numFmtId="22" fontId="0" fillId="36" borderId="10" xfId="0" applyNumberFormat="1" applyFill="1" applyBorder="1" applyAlignment="1">
      <alignment horizontal="center"/>
    </xf>
    <xf numFmtId="1" fontId="0" fillId="35" borderId="10" xfId="0" applyNumberFormat="1" applyFill="1" applyBorder="1" applyAlignment="1">
      <alignment horizontal="center"/>
    </xf>
    <xf numFmtId="22" fontId="0" fillId="35" borderId="10" xfId="0" applyNumberFormat="1" applyFill="1" applyBorder="1" applyAlignment="1">
      <alignment horizontal="center"/>
    </xf>
    <xf numFmtId="0" fontId="16" fillId="35" borderId="0" xfId="0" applyFont="1" applyFill="1" applyAlignment="1">
      <alignment horizontal="center" wrapText="1"/>
    </xf>
    <xf numFmtId="0" fontId="0" fillId="0" borderId="10" xfId="0" applyBorder="1"/>
    <xf numFmtId="0" fontId="16" fillId="40" borderId="19" xfId="0" applyFont="1" applyFill="1" applyBorder="1" applyAlignment="1">
      <alignment horizontal="left" vertical="center"/>
    </xf>
    <xf numFmtId="164" fontId="0" fillId="0" borderId="20" xfId="0" applyNumberFormat="1" applyBorder="1"/>
    <xf numFmtId="165" fontId="0" fillId="0" borderId="21" xfId="0" applyNumberFormat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0" fontId="19" fillId="0" borderId="15" xfId="0" applyFont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 applyAlignment="1">
      <alignment horizontal="center"/>
    </xf>
    <xf numFmtId="164" fontId="21" fillId="0" borderId="0" xfId="0" applyNumberFormat="1" applyFont="1" applyBorder="1"/>
    <xf numFmtId="0" fontId="0" fillId="0" borderId="0" xfId="0" applyBorder="1"/>
    <xf numFmtId="0" fontId="14" fillId="0" borderId="0" xfId="0" applyFont="1" applyBorder="1"/>
    <xf numFmtId="165" fontId="27" fillId="0" borderId="20" xfId="0" applyNumberFormat="1" applyFont="1" applyBorder="1" applyAlignment="1">
      <alignment horizontal="center"/>
    </xf>
    <xf numFmtId="22" fontId="26" fillId="0" borderId="0" xfId="0" applyNumberFormat="1" applyFont="1" applyBorder="1"/>
    <xf numFmtId="164" fontId="19" fillId="41" borderId="26" xfId="0" applyNumberFormat="1" applyFont="1" applyFill="1" applyBorder="1" applyAlignment="1">
      <alignment horizontal="center" wrapText="1"/>
    </xf>
    <xf numFmtId="164" fontId="19" fillId="41" borderId="0" xfId="0" applyNumberFormat="1" applyFont="1" applyFill="1" applyBorder="1" applyAlignment="1">
      <alignment horizontal="center" wrapText="1"/>
    </xf>
    <xf numFmtId="164" fontId="19" fillId="41" borderId="27" xfId="0" applyNumberFormat="1" applyFont="1" applyFill="1" applyBorder="1" applyAlignment="1">
      <alignment horizontal="center" wrapText="1"/>
    </xf>
    <xf numFmtId="165" fontId="20" fillId="35" borderId="28" xfId="0" applyNumberFormat="1" applyFont="1" applyFill="1" applyBorder="1" applyAlignment="1">
      <alignment horizontal="center" vertical="center"/>
    </xf>
    <xf numFmtId="165" fontId="20" fillId="36" borderId="10" xfId="0" applyNumberFormat="1" applyFont="1" applyFill="1" applyBorder="1" applyAlignment="1">
      <alignment horizontal="center" vertical="center"/>
    </xf>
    <xf numFmtId="0" fontId="20" fillId="37" borderId="10" xfId="0" applyFont="1" applyFill="1" applyBorder="1" applyAlignment="1">
      <alignment horizontal="left" vertical="center"/>
    </xf>
    <xf numFmtId="0" fontId="21" fillId="42" borderId="10" xfId="0" applyFont="1" applyFill="1" applyBorder="1" applyAlignment="1">
      <alignment horizontal="center" vertical="center"/>
    </xf>
    <xf numFmtId="164" fontId="21" fillId="41" borderId="10" xfId="0" applyNumberFormat="1" applyFont="1" applyFill="1" applyBorder="1"/>
    <xf numFmtId="164" fontId="30" fillId="41" borderId="10" xfId="0" applyNumberFormat="1" applyFont="1" applyFill="1" applyBorder="1"/>
    <xf numFmtId="0" fontId="0" fillId="41" borderId="10" xfId="0" applyFill="1" applyBorder="1"/>
    <xf numFmtId="0" fontId="0" fillId="0" borderId="10" xfId="0" applyFill="1" applyBorder="1"/>
    <xf numFmtId="164" fontId="21" fillId="0" borderId="0" xfId="0" applyNumberFormat="1" applyFont="1" applyFill="1" applyBorder="1"/>
    <xf numFmtId="0" fontId="0" fillId="0" borderId="0" xfId="0" pivotButton="1"/>
    <xf numFmtId="22" fontId="0" fillId="0" borderId="0" xfId="0" applyNumberFormat="1" applyAlignment="1">
      <alignment horizontal="left"/>
    </xf>
    <xf numFmtId="164" fontId="21" fillId="43" borderId="10" xfId="0" applyNumberFormat="1" applyFont="1" applyFill="1" applyBorder="1"/>
    <xf numFmtId="0" fontId="29" fillId="0" borderId="16" xfId="0" applyFont="1" applyBorder="1" applyAlignment="1">
      <alignment horizontal="center"/>
    </xf>
    <xf numFmtId="164" fontId="0" fillId="0" borderId="29" xfId="0" applyNumberFormat="1" applyBorder="1"/>
    <xf numFmtId="165" fontId="0" fillId="0" borderId="30" xfId="0" applyNumberFormat="1" applyBorder="1" applyAlignment="1">
      <alignment horizontal="center"/>
    </xf>
    <xf numFmtId="164" fontId="0" fillId="0" borderId="21" xfId="0" applyNumberFormat="1" applyBorder="1"/>
    <xf numFmtId="164" fontId="0" fillId="39" borderId="23" xfId="0" applyNumberFormat="1" applyFill="1" applyBorder="1"/>
    <xf numFmtId="165" fontId="0" fillId="39" borderId="24" xfId="0" applyNumberFormat="1" applyFill="1" applyBorder="1" applyAlignment="1">
      <alignment horizontal="center"/>
    </xf>
    <xf numFmtId="164" fontId="19" fillId="0" borderId="21" xfId="0" applyNumberFormat="1" applyFont="1" applyBorder="1" applyAlignment="1">
      <alignment horizontal="center"/>
    </xf>
    <xf numFmtId="0" fontId="19" fillId="38" borderId="25" xfId="0" applyFont="1" applyFill="1" applyBorder="1" applyAlignment="1">
      <alignment horizontal="center"/>
    </xf>
    <xf numFmtId="165" fontId="25" fillId="0" borderId="31" xfId="0" applyNumberFormat="1" applyFont="1" applyBorder="1" applyAlignment="1">
      <alignment horizontal="center"/>
    </xf>
    <xf numFmtId="22" fontId="26" fillId="0" borderId="24" xfId="0" applyNumberFormat="1" applyFont="1" applyBorder="1"/>
    <xf numFmtId="22" fontId="20" fillId="38" borderId="17" xfId="0" applyNumberFormat="1" applyFont="1" applyFill="1" applyBorder="1" applyAlignment="1">
      <alignment horizontal="center"/>
    </xf>
    <xf numFmtId="165" fontId="25" fillId="0" borderId="23" xfId="0" applyNumberFormat="1" applyFont="1" applyBorder="1" applyAlignment="1">
      <alignment horizontal="center"/>
    </xf>
    <xf numFmtId="0" fontId="32" fillId="35" borderId="22" xfId="0" applyFont="1" applyFill="1" applyBorder="1" applyAlignment="1">
      <alignment horizontal="center"/>
    </xf>
    <xf numFmtId="164" fontId="24" fillId="0" borderId="18" xfId="0" applyNumberFormat="1" applyFont="1" applyBorder="1" applyAlignment="1">
      <alignment horizontal="center"/>
    </xf>
    <xf numFmtId="165" fontId="27" fillId="0" borderId="31" xfId="0" applyNumberFormat="1" applyFont="1" applyBorder="1" applyAlignment="1">
      <alignment horizontal="center"/>
    </xf>
    <xf numFmtId="22" fontId="26" fillId="0" borderId="16" xfId="0" applyNumberFormat="1" applyFont="1" applyBorder="1"/>
    <xf numFmtId="22" fontId="20" fillId="35" borderId="32" xfId="0" applyNumberFormat="1" applyFont="1" applyFill="1" applyBorder="1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3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08.554857754629" createdVersion="8" refreshedVersion="8" minRefreshableVersion="3" recordCount="28" xr:uid="{C6A7AE2E-F60D-4A76-8CF8-C44FA70F93C4}">
  <cacheSource type="worksheet">
    <worksheetSource ref="D1:D29" sheet="Roma Collegio Romano CREA - Pio"/>
  </cacheSource>
  <cacheFields count="1">
    <cacheField name="Min Pioggia" numFmtId="22">
      <sharedItems containsDate="1" containsMixedTypes="1" minDate="2026-02-01T23:59:00" maxDate="2026-02-28T23:59:00" count="17">
        <d v="2026-02-01T23:59:00"/>
        <d v="2026-02-02T23:59:00"/>
        <s v="0"/>
        <d v="2026-02-09T23:59:00"/>
        <d v="2026-02-10T23:59:00"/>
        <d v="2026-02-13T23:59:00"/>
        <d v="2026-02-15T23:59:00"/>
        <d v="2026-02-16T23:59:00"/>
        <d v="2026-02-17T23:59:00"/>
        <d v="2026-02-21T23:59:00"/>
        <d v="2026-02-22T23:59:00"/>
        <d v="2026-02-23T23:59:00"/>
        <d v="2026-02-24T23:59:00"/>
        <d v="2026-02-25T23:59:00"/>
        <d v="2026-02-26T23:59:00"/>
        <d v="2026-02-27T23:59:00"/>
        <d v="2026-02-28T23:59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08.555935069446" createdVersion="8" refreshedVersion="8" minRefreshableVersion="3" recordCount="28" xr:uid="{835B123A-151C-4C9F-90A0-E958FC7F084E}">
  <cacheSource type="worksheet">
    <worksheetSource ref="E1:E29" sheet="Roma Collegio Romano CREA - Pio"/>
  </cacheSource>
  <cacheFields count="1">
    <cacheField name="Max Pioggia" numFmtId="22">
      <sharedItems containsDate="1" containsMixedTypes="1" minDate="2026-02-12T23:59:00" maxDate="2026-02-12T23:59:00" count="2">
        <s v="0"/>
        <d v="2026-02-12T23:59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08.556511689814" createdVersion="8" refreshedVersion="8" minRefreshableVersion="3" recordCount="28" xr:uid="{3F797BC2-D71A-4990-9E3E-1A3D6C172AC6}">
  <cacheSource type="worksheet">
    <worksheetSource ref="F1:F29" sheet="Roma Collegio Romano CREA - Pio"/>
  </cacheSource>
  <cacheFields count="1">
    <cacheField name="Min Variazione" numFmtId="22">
      <sharedItems containsDate="1" containsMixedTypes="1" minDate="2026-02-13T23:59:00" maxDate="2026-02-13T23:59:00" count="2">
        <s v="0"/>
        <d v="2026-02-13T23:59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08.556740972221" createdVersion="8" refreshedVersion="8" minRefreshableVersion="3" recordCount="28" xr:uid="{56259694-3616-4280-B0A3-0E534F89FDD9}">
  <cacheSource type="worksheet">
    <worksheetSource ref="G1:G29" sheet="Roma Collegio Romano CREA - Pio"/>
  </cacheSource>
  <cacheFields count="1">
    <cacheField name="Max Variazione" numFmtId="22">
      <sharedItems containsDate="1" containsMixedTypes="1" minDate="2026-02-12T23:59:00" maxDate="2026-02-12T23:59:00" count="2">
        <s v="0"/>
        <d v="2026-02-12T23:59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</r>
  <r>
    <x v="1"/>
  </r>
  <r>
    <x v="2"/>
  </r>
  <r>
    <x v="2"/>
  </r>
  <r>
    <x v="2"/>
  </r>
  <r>
    <x v="2"/>
  </r>
  <r>
    <x v="2"/>
  </r>
  <r>
    <x v="2"/>
  </r>
  <r>
    <x v="3"/>
  </r>
  <r>
    <x v="4"/>
  </r>
  <r>
    <x v="2"/>
  </r>
  <r>
    <x v="2"/>
  </r>
  <r>
    <x v="5"/>
  </r>
  <r>
    <x v="2"/>
  </r>
  <r>
    <x v="6"/>
  </r>
  <r>
    <x v="7"/>
  </r>
  <r>
    <x v="8"/>
  </r>
  <r>
    <x v="2"/>
  </r>
  <r>
    <x v="2"/>
  </r>
  <r>
    <x v="2"/>
  </r>
  <r>
    <x v="9"/>
  </r>
  <r>
    <x v="10"/>
  </r>
  <r>
    <x v="11"/>
  </r>
  <r>
    <x v="12"/>
  </r>
  <r>
    <x v="13"/>
  </r>
  <r>
    <x v="14"/>
  </r>
  <r>
    <x v="15"/>
  </r>
  <r>
    <x v="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0D8DC-647F-49E9-8D42-E5CFB1719C39}" name="Tabella pivot4" cacheId="36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E2:E5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6AF4D-3AEC-4544-9EC3-B426E25EAE27}" name="Tabella pivot3" cacheId="3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D2:D5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CD7E9A-4F93-4C70-8C52-0C3B6FC1A8A1}" name="Tabella pivot2" cacheId="28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B2:B5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719FFE-7269-4722-BD56-BB905237A9E8}" name="Tabella pivot1" cacheId="2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20" firstHeaderRow="1" firstDataRow="1" firstDataCol="1"/>
  <pivotFields count="1">
    <pivotField axis="axisRow" showAll="0">
      <items count="18">
        <item x="2"/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E9C5-1784-44A6-A589-1DEED1AAAF74}">
  <dimension ref="A1:E20"/>
  <sheetViews>
    <sheetView workbookViewId="0">
      <selection activeCell="J14" sqref="J14"/>
    </sheetView>
  </sheetViews>
  <sheetFormatPr defaultRowHeight="14.4" x14ac:dyDescent="0.3"/>
  <cols>
    <col min="1" max="2" width="17.21875" bestFit="1" customWidth="1"/>
    <col min="3" max="3" width="3.21875" customWidth="1"/>
    <col min="4" max="5" width="17.21875" bestFit="1" customWidth="1"/>
  </cols>
  <sheetData>
    <row r="1" spans="1:5" ht="14.4" customHeight="1" x14ac:dyDescent="0.3">
      <c r="A1" s="30" t="s">
        <v>4</v>
      </c>
      <c r="B1" s="30" t="s">
        <v>5</v>
      </c>
      <c r="D1" s="31" t="s">
        <v>6</v>
      </c>
      <c r="E1" s="32" t="s">
        <v>7</v>
      </c>
    </row>
    <row r="2" spans="1:5" x14ac:dyDescent="0.3">
      <c r="A2" s="59" t="s">
        <v>28</v>
      </c>
      <c r="B2" s="59" t="s">
        <v>28</v>
      </c>
      <c r="D2" s="59" t="s">
        <v>28</v>
      </c>
      <c r="E2" s="59" t="s">
        <v>28</v>
      </c>
    </row>
    <row r="3" spans="1:5" x14ac:dyDescent="0.3">
      <c r="A3" s="8" t="s">
        <v>29</v>
      </c>
      <c r="B3" s="8" t="s">
        <v>29</v>
      </c>
      <c r="D3" s="8" t="s">
        <v>29</v>
      </c>
      <c r="E3" s="8" t="s">
        <v>29</v>
      </c>
    </row>
    <row r="4" spans="1:5" x14ac:dyDescent="0.3">
      <c r="A4" s="60">
        <v>46054.999305555553</v>
      </c>
      <c r="B4" s="60">
        <v>46065.999305555553</v>
      </c>
      <c r="D4" s="60">
        <v>46066.999305555553</v>
      </c>
      <c r="E4" s="60">
        <v>46065.999305555553</v>
      </c>
    </row>
    <row r="5" spans="1:5" x14ac:dyDescent="0.3">
      <c r="A5" s="60">
        <v>46055.999305555553</v>
      </c>
      <c r="B5" s="8" t="s">
        <v>30</v>
      </c>
      <c r="D5" s="8" t="s">
        <v>30</v>
      </c>
      <c r="E5" s="8" t="s">
        <v>30</v>
      </c>
    </row>
    <row r="6" spans="1:5" x14ac:dyDescent="0.3">
      <c r="A6" s="60">
        <v>46062.999305555553</v>
      </c>
    </row>
    <row r="7" spans="1:5" x14ac:dyDescent="0.3">
      <c r="A7" s="60">
        <v>46063.999305555553</v>
      </c>
    </row>
    <row r="8" spans="1:5" x14ac:dyDescent="0.3">
      <c r="A8" s="60">
        <v>46066.999305555553</v>
      </c>
    </row>
    <row r="9" spans="1:5" x14ac:dyDescent="0.3">
      <c r="A9" s="60">
        <v>46068.999305555553</v>
      </c>
    </row>
    <row r="10" spans="1:5" x14ac:dyDescent="0.3">
      <c r="A10" s="60">
        <v>46069.999305555553</v>
      </c>
    </row>
    <row r="11" spans="1:5" x14ac:dyDescent="0.3">
      <c r="A11" s="60">
        <v>46070.999305555553</v>
      </c>
    </row>
    <row r="12" spans="1:5" x14ac:dyDescent="0.3">
      <c r="A12" s="60">
        <v>46074.999305555553</v>
      </c>
    </row>
    <row r="13" spans="1:5" x14ac:dyDescent="0.3">
      <c r="A13" s="60">
        <v>46075.999305555553</v>
      </c>
    </row>
    <row r="14" spans="1:5" x14ac:dyDescent="0.3">
      <c r="A14" s="60">
        <v>46076.999305555553</v>
      </c>
    </row>
    <row r="15" spans="1:5" x14ac:dyDescent="0.3">
      <c r="A15" s="60">
        <v>46077.999305555553</v>
      </c>
    </row>
    <row r="16" spans="1:5" x14ac:dyDescent="0.3">
      <c r="A16" s="60">
        <v>46078.999305555553</v>
      </c>
    </row>
    <row r="17" spans="1:1" x14ac:dyDescent="0.3">
      <c r="A17" s="60">
        <v>46079.999305555553</v>
      </c>
    </row>
    <row r="18" spans="1:1" x14ac:dyDescent="0.3">
      <c r="A18" s="60">
        <v>46080.999305555553</v>
      </c>
    </row>
    <row r="19" spans="1:1" x14ac:dyDescent="0.3">
      <c r="A19" s="60">
        <v>46081.999305555553</v>
      </c>
    </row>
    <row r="20" spans="1:1" x14ac:dyDescent="0.3">
      <c r="A20" s="8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CB086-20A9-4B50-BA1B-06A151324EB4}">
  <dimension ref="A1:AB1491"/>
  <sheetViews>
    <sheetView tabSelected="1" zoomScale="60" zoomScaleNormal="60" workbookViewId="0">
      <selection activeCell="U39" sqref="U39"/>
    </sheetView>
  </sheetViews>
  <sheetFormatPr defaultRowHeight="14.4" x14ac:dyDescent="0.3"/>
  <cols>
    <col min="1" max="1" width="16.44140625" customWidth="1"/>
    <col min="2" max="2" width="21.5546875" style="2" customWidth="1"/>
    <col min="3" max="3" width="7.33203125" style="8" customWidth="1"/>
    <col min="4" max="4" width="20.33203125" style="1" customWidth="1"/>
    <col min="5" max="5" width="16.6640625" style="1" bestFit="1" customWidth="1"/>
    <col min="6" max="6" width="18.109375" style="17" customWidth="1"/>
    <col min="7" max="7" width="19" style="1" customWidth="1"/>
    <col min="8" max="8" width="9.109375" customWidth="1"/>
    <col min="9" max="9" width="19" bestFit="1" customWidth="1"/>
    <col min="10" max="10" width="11.44140625" bestFit="1" customWidth="1"/>
    <col min="11" max="11" width="11" bestFit="1" customWidth="1"/>
    <col min="12" max="12" width="14.5546875" bestFit="1" customWidth="1"/>
    <col min="13" max="13" width="18.6640625" bestFit="1" customWidth="1"/>
    <col min="14" max="14" width="9.5546875" bestFit="1" customWidth="1"/>
    <col min="15" max="15" width="12.33203125" customWidth="1"/>
    <col min="16" max="16" width="4" customWidth="1"/>
    <col min="17" max="17" width="15.33203125" customWidth="1"/>
    <col min="18" max="18" width="19.5546875" bestFit="1" customWidth="1"/>
    <col min="19" max="19" width="2.109375" customWidth="1"/>
    <col min="20" max="20" width="6" bestFit="1" customWidth="1"/>
    <col min="21" max="21" width="16.33203125" customWidth="1"/>
    <col min="22" max="22" width="3.88671875" customWidth="1"/>
    <col min="23" max="23" width="15.5546875" customWidth="1"/>
    <col min="24" max="24" width="15.6640625" customWidth="1"/>
    <col min="25" max="25" width="1.77734375" customWidth="1"/>
    <col min="27" max="27" width="16.44140625" bestFit="1" customWidth="1"/>
  </cols>
  <sheetData>
    <row r="1" spans="1:28" s="4" customFormat="1" ht="15" customHeight="1" thickBot="1" x14ac:dyDescent="0.35">
      <c r="A1" s="3" t="s">
        <v>0</v>
      </c>
      <c r="B1" s="3" t="s">
        <v>1</v>
      </c>
      <c r="C1" s="7" t="s">
        <v>2</v>
      </c>
      <c r="D1" s="30" t="s">
        <v>4</v>
      </c>
      <c r="E1" s="30" t="s">
        <v>5</v>
      </c>
      <c r="F1" s="31" t="s">
        <v>6</v>
      </c>
      <c r="G1" s="32" t="s">
        <v>7</v>
      </c>
      <c r="H1" s="9"/>
      <c r="I1" s="47" t="s">
        <v>20</v>
      </c>
      <c r="J1" s="48"/>
      <c r="K1" s="48"/>
      <c r="L1" s="49"/>
      <c r="M1" s="33" t="s">
        <v>21</v>
      </c>
      <c r="N1" s="33"/>
      <c r="O1" s="33"/>
      <c r="Q1"/>
      <c r="R1"/>
      <c r="S1"/>
      <c r="T1"/>
      <c r="U1"/>
      <c r="V1"/>
      <c r="W1"/>
      <c r="X1"/>
      <c r="Y1"/>
      <c r="Z1"/>
      <c r="AA1"/>
      <c r="AB1"/>
    </row>
    <row r="2" spans="1:28" x14ac:dyDescent="0.3">
      <c r="A2" s="1">
        <v>46054.999305555553</v>
      </c>
      <c r="B2" s="2">
        <v>0</v>
      </c>
      <c r="D2" s="1">
        <f t="shared" ref="D2:D12" si="0">IF(B2=$T$13,A2,"0")</f>
        <v>46054.999305555553</v>
      </c>
      <c r="E2" s="1" t="str">
        <f>IF(B2=$Q$13,A2,"0")</f>
        <v>0</v>
      </c>
      <c r="F2" s="1" t="str">
        <f>IF(C2=$Z$13,A2,"0")</f>
        <v>0</v>
      </c>
      <c r="G2" s="1" t="str">
        <f>IF(C2=$W$13,A2,"0")</f>
        <v>0</v>
      </c>
      <c r="H2" s="9" t="s">
        <v>8</v>
      </c>
      <c r="I2" s="51" t="s">
        <v>22</v>
      </c>
      <c r="J2" s="52" t="s">
        <v>9</v>
      </c>
      <c r="K2" s="52" t="s">
        <v>10</v>
      </c>
      <c r="L2" s="53" t="s">
        <v>24</v>
      </c>
      <c r="M2" s="50" t="s">
        <v>23</v>
      </c>
      <c r="N2" s="35" t="s">
        <v>9</v>
      </c>
      <c r="O2" s="35" t="s">
        <v>10</v>
      </c>
    </row>
    <row r="3" spans="1:28" ht="15" thickBot="1" x14ac:dyDescent="0.35">
      <c r="A3" s="1">
        <v>46055.999305555553</v>
      </c>
      <c r="B3" s="2">
        <v>0</v>
      </c>
      <c r="C3" s="8">
        <v>0</v>
      </c>
      <c r="D3" s="1">
        <f t="shared" si="0"/>
        <v>46055.999305555553</v>
      </c>
      <c r="E3" s="1" t="str">
        <f t="shared" ref="E3:E29" si="1">IF(B3=$Q$13,A3,"0")</f>
        <v>0</v>
      </c>
      <c r="F3" s="1" t="str">
        <f t="shared" ref="F3:F29" si="2">IF(C3=$Z$13,A3,"0")</f>
        <v>0</v>
      </c>
      <c r="G3" s="1" t="str">
        <f t="shared" ref="G3:G29" si="3">IF(C3=$W$13,A3,"0")</f>
        <v>0</v>
      </c>
      <c r="H3" s="36">
        <v>46054</v>
      </c>
      <c r="I3" s="37">
        <f>SUM(B2)</f>
        <v>0</v>
      </c>
      <c r="J3" s="10" t="str">
        <f>IF(VALUE(I3)=VALUE($R$7),H3,"")</f>
        <v/>
      </c>
      <c r="K3" s="54">
        <f>IF(VALUE(I3)=VALUE($R$8),H3,"")</f>
        <v>46054</v>
      </c>
      <c r="L3" s="57">
        <f>IF(I3&gt;=1,1,0)</f>
        <v>0</v>
      </c>
      <c r="M3" s="37">
        <f>SUM(C2)</f>
        <v>0</v>
      </c>
      <c r="N3" s="10" t="str">
        <f>IF(VALUE(M3)=VALUE($X$7),H3,"")</f>
        <v/>
      </c>
      <c r="O3" s="10" t="str">
        <f>IF(VALUE(M3)=VALUE($X$8),H3,"")</f>
        <v/>
      </c>
    </row>
    <row r="4" spans="1:28" ht="14.4" customHeight="1" x14ac:dyDescent="0.3">
      <c r="A4" s="1">
        <v>46056.999305555553</v>
      </c>
      <c r="B4" s="2">
        <v>5.6</v>
      </c>
      <c r="C4" s="8">
        <v>5.6</v>
      </c>
      <c r="D4" s="1" t="str">
        <f t="shared" si="0"/>
        <v>0</v>
      </c>
      <c r="E4" s="1" t="str">
        <f t="shared" si="1"/>
        <v>0</v>
      </c>
      <c r="F4" s="1" t="str">
        <f t="shared" si="2"/>
        <v>0</v>
      </c>
      <c r="G4" s="1" t="str">
        <f t="shared" si="3"/>
        <v>0</v>
      </c>
      <c r="H4" s="36">
        <v>46055</v>
      </c>
      <c r="I4" s="37">
        <f t="shared" ref="I4:I30" si="4">SUM(B3)</f>
        <v>0</v>
      </c>
      <c r="J4" s="10" t="str">
        <f t="shared" ref="J4:J30" si="5">IF(VALUE(I4)=VALUE($R$7),H4,"")</f>
        <v/>
      </c>
      <c r="K4" s="54">
        <f>IF(VALUE(I4)=VALUE($R$8),H4,"")</f>
        <v>46055</v>
      </c>
      <c r="L4" s="57">
        <f>IF(I4&gt;=1,1,0)</f>
        <v>0</v>
      </c>
      <c r="M4" s="37">
        <f t="shared" ref="M4:M30" si="6">SUM(C3)</f>
        <v>0</v>
      </c>
      <c r="N4" s="10" t="str">
        <f>IF(VALUE(M4)=VALUE($X$7),H4,"")</f>
        <v/>
      </c>
      <c r="O4" s="10" t="str">
        <f>IF(VALUE(M4)=VALUE($X$8),H4,"")</f>
        <v/>
      </c>
      <c r="Q4" s="21" t="s">
        <v>26</v>
      </c>
      <c r="R4" s="22"/>
      <c r="W4" s="21" t="s">
        <v>27</v>
      </c>
      <c r="X4" s="22"/>
    </row>
    <row r="5" spans="1:28" ht="15" thickBot="1" x14ac:dyDescent="0.35">
      <c r="A5" s="1">
        <v>46057.999305555553</v>
      </c>
      <c r="B5" s="2">
        <v>13</v>
      </c>
      <c r="C5" s="8">
        <v>7.4</v>
      </c>
      <c r="D5" s="1" t="str">
        <f t="shared" si="0"/>
        <v>0</v>
      </c>
      <c r="E5" s="1" t="str">
        <f t="shared" si="1"/>
        <v>0</v>
      </c>
      <c r="F5" s="1" t="str">
        <f t="shared" si="2"/>
        <v>0</v>
      </c>
      <c r="G5" s="1" t="str">
        <f t="shared" si="3"/>
        <v>0</v>
      </c>
      <c r="H5" s="36">
        <v>46056</v>
      </c>
      <c r="I5" s="37">
        <f t="shared" si="4"/>
        <v>5.6</v>
      </c>
      <c r="J5" s="10" t="str">
        <f t="shared" si="5"/>
        <v/>
      </c>
      <c r="K5" s="29" t="str">
        <f>IF(VALUE(I5)=VALUE($R$8),H5,"")</f>
        <v/>
      </c>
      <c r="L5" s="56">
        <f>IF(I5&gt;=1,1,0)</f>
        <v>1</v>
      </c>
      <c r="M5" s="37">
        <f t="shared" si="6"/>
        <v>5.6</v>
      </c>
      <c r="N5" s="10" t="str">
        <f>IF(VALUE(M5)=VALUE($X$7),H5,"")</f>
        <v/>
      </c>
      <c r="O5" s="10" t="str">
        <f>IF(VALUE(M5)=VALUE($X$8),H5,"")</f>
        <v/>
      </c>
      <c r="Q5" s="39" t="s">
        <v>11</v>
      </c>
      <c r="R5" s="62"/>
      <c r="W5" s="23" t="s">
        <v>2</v>
      </c>
      <c r="X5" s="24"/>
    </row>
    <row r="6" spans="1:28" ht="15" thickBot="1" x14ac:dyDescent="0.35">
      <c r="A6" s="1">
        <v>46058.999305555553</v>
      </c>
      <c r="B6" s="2">
        <v>2.6</v>
      </c>
      <c r="C6" s="8">
        <v>-10.4</v>
      </c>
      <c r="D6" s="1" t="str">
        <f t="shared" si="0"/>
        <v>0</v>
      </c>
      <c r="E6" s="1" t="str">
        <f t="shared" si="1"/>
        <v>0</v>
      </c>
      <c r="F6" s="1" t="str">
        <f t="shared" si="2"/>
        <v>0</v>
      </c>
      <c r="G6" s="1" t="str">
        <f t="shared" si="3"/>
        <v>0</v>
      </c>
      <c r="H6" s="36">
        <v>46057</v>
      </c>
      <c r="I6" s="37">
        <f t="shared" si="4"/>
        <v>13</v>
      </c>
      <c r="J6" s="10" t="str">
        <f t="shared" si="5"/>
        <v/>
      </c>
      <c r="K6" s="29" t="str">
        <f>IF(VALUE(I6)=VALUE($R$8),H6,"")</f>
        <v/>
      </c>
      <c r="L6" s="56">
        <f>IF(I6&gt;=1,1,0)</f>
        <v>1</v>
      </c>
      <c r="M6" s="37">
        <f t="shared" si="6"/>
        <v>7.4</v>
      </c>
      <c r="N6" s="10" t="str">
        <f>IF(VALUE(M6)=VALUE($X$7),H6,"")</f>
        <v/>
      </c>
      <c r="O6" s="10" t="str">
        <f>IF(VALUE(M6)=VALUE($X$8),H6,"")</f>
        <v/>
      </c>
      <c r="Q6" s="25" t="s">
        <v>12</v>
      </c>
      <c r="R6" s="26"/>
      <c r="W6" s="27" t="s">
        <v>12</v>
      </c>
      <c r="X6" s="28"/>
    </row>
    <row r="7" spans="1:28" x14ac:dyDescent="0.3">
      <c r="A7" s="1">
        <v>46059.999305555553</v>
      </c>
      <c r="B7" s="2">
        <v>3</v>
      </c>
      <c r="C7" s="8">
        <v>0.4</v>
      </c>
      <c r="D7" s="1" t="str">
        <f t="shared" si="0"/>
        <v>0</v>
      </c>
      <c r="E7" s="1" t="str">
        <f t="shared" si="1"/>
        <v>0</v>
      </c>
      <c r="F7" s="1" t="str">
        <f t="shared" si="2"/>
        <v>0</v>
      </c>
      <c r="G7" s="1" t="str">
        <f t="shared" si="3"/>
        <v>0</v>
      </c>
      <c r="H7" s="36">
        <v>46058</v>
      </c>
      <c r="I7" s="37">
        <f t="shared" si="4"/>
        <v>2.6</v>
      </c>
      <c r="J7" s="10" t="str">
        <f t="shared" si="5"/>
        <v/>
      </c>
      <c r="K7" s="29" t="str">
        <f>IF(VALUE(I7)=VALUE($R$8),H7,"")</f>
        <v/>
      </c>
      <c r="L7" s="56">
        <f>IF(I7&gt;=1,1,0)</f>
        <v>1</v>
      </c>
      <c r="M7" s="37">
        <f t="shared" si="6"/>
        <v>-10.4</v>
      </c>
      <c r="N7" s="29" t="str">
        <f>IF(VALUE(M7)=VALUE($X$7),H7,"")</f>
        <v/>
      </c>
      <c r="O7" s="29" t="str">
        <f>IF(VALUE(M7)=VALUE($X$8),H7,"")</f>
        <v/>
      </c>
      <c r="Q7" s="63" t="s">
        <v>13</v>
      </c>
      <c r="R7" s="64">
        <f>MAXA(I3:I30)</f>
        <v>36.4</v>
      </c>
      <c r="W7" s="63" t="s">
        <v>13</v>
      </c>
      <c r="X7" s="64">
        <f>MAXA(M3:M30)</f>
        <v>34.799999999999997</v>
      </c>
    </row>
    <row r="8" spans="1:28" x14ac:dyDescent="0.3">
      <c r="A8" s="1">
        <v>46060.999305555553</v>
      </c>
      <c r="B8" s="2">
        <v>7.9</v>
      </c>
      <c r="C8" s="8">
        <v>4.9000000000000004</v>
      </c>
      <c r="D8" s="1" t="str">
        <f t="shared" si="0"/>
        <v>0</v>
      </c>
      <c r="E8" s="1" t="str">
        <f t="shared" si="1"/>
        <v>0</v>
      </c>
      <c r="F8" s="1" t="str">
        <f t="shared" si="2"/>
        <v>0</v>
      </c>
      <c r="G8" s="1" t="str">
        <f t="shared" si="3"/>
        <v>0</v>
      </c>
      <c r="H8" s="36">
        <v>46059</v>
      </c>
      <c r="I8" s="37">
        <f t="shared" si="4"/>
        <v>3</v>
      </c>
      <c r="J8" s="10" t="str">
        <f t="shared" si="5"/>
        <v/>
      </c>
      <c r="K8" s="29" t="str">
        <f>IF(VALUE(I8)=VALUE($R$8),H8,"")</f>
        <v/>
      </c>
      <c r="L8" s="56">
        <f>IF(I8&gt;=1,1,0)</f>
        <v>1</v>
      </c>
      <c r="M8" s="37">
        <f t="shared" si="6"/>
        <v>0.4</v>
      </c>
      <c r="N8" s="29" t="str">
        <f>IF(VALUE(M8)=VALUE($X$7),H8,"")</f>
        <v/>
      </c>
      <c r="O8" s="29" t="str">
        <f>IF(VALUE(M8)=VALUE($X$8),H8,"")</f>
        <v/>
      </c>
      <c r="Q8" s="65" t="s">
        <v>14</v>
      </c>
      <c r="R8" s="38">
        <f>MINA(I3:I30)</f>
        <v>0</v>
      </c>
      <c r="W8" s="65" t="s">
        <v>14</v>
      </c>
      <c r="X8" s="38">
        <f>MINA(M3:M30)</f>
        <v>-36.4</v>
      </c>
    </row>
    <row r="9" spans="1:28" ht="15" thickBot="1" x14ac:dyDescent="0.35">
      <c r="A9" s="1">
        <v>46061.999305555553</v>
      </c>
      <c r="B9" s="2">
        <v>2.6</v>
      </c>
      <c r="C9" s="8">
        <v>-5.3</v>
      </c>
      <c r="D9" s="1" t="str">
        <f t="shared" si="0"/>
        <v>0</v>
      </c>
      <c r="E9" s="1" t="str">
        <f t="shared" si="1"/>
        <v>0</v>
      </c>
      <c r="F9" s="1" t="str">
        <f t="shared" si="2"/>
        <v>0</v>
      </c>
      <c r="G9" s="1" t="str">
        <f t="shared" si="3"/>
        <v>0</v>
      </c>
      <c r="H9" s="36">
        <v>46060</v>
      </c>
      <c r="I9" s="37">
        <f t="shared" si="4"/>
        <v>7.9</v>
      </c>
      <c r="J9" s="10" t="str">
        <f t="shared" si="5"/>
        <v/>
      </c>
      <c r="K9" s="29" t="str">
        <f>IF(VALUE(I9)=VALUE($R$8),H9,"")</f>
        <v/>
      </c>
      <c r="L9" s="56">
        <f>IF(I9&gt;=1,1,0)</f>
        <v>1</v>
      </c>
      <c r="M9" s="37">
        <f t="shared" si="6"/>
        <v>4.9000000000000004</v>
      </c>
      <c r="N9" s="29" t="str">
        <f>IF(VALUE(M9)=VALUE($X$7),H9,"")</f>
        <v/>
      </c>
      <c r="O9" s="29" t="str">
        <f>IF(VALUE(M9)=VALUE($X$8),H9,"")</f>
        <v/>
      </c>
      <c r="Q9" s="66" t="s">
        <v>15</v>
      </c>
      <c r="R9" s="67">
        <f>AVERAGEA(I3:I30)</f>
        <v>3.3142857142857145</v>
      </c>
      <c r="W9" s="66" t="s">
        <v>15</v>
      </c>
      <c r="X9" s="67">
        <f>AVERAGEA(M3:M30)</f>
        <v>1.1895246692412391E-17</v>
      </c>
    </row>
    <row r="10" spans="1:28" ht="15" thickBot="1" x14ac:dyDescent="0.35">
      <c r="A10" s="1">
        <v>46062.999305555553</v>
      </c>
      <c r="B10" s="2">
        <v>0</v>
      </c>
      <c r="C10" s="8">
        <v>-2.6</v>
      </c>
      <c r="D10" s="1">
        <f t="shared" si="0"/>
        <v>46062.999305555553</v>
      </c>
      <c r="E10" s="1" t="str">
        <f t="shared" si="1"/>
        <v>0</v>
      </c>
      <c r="F10" s="1" t="str">
        <f t="shared" si="2"/>
        <v>0</v>
      </c>
      <c r="G10" s="1" t="str">
        <f t="shared" si="3"/>
        <v>0</v>
      </c>
      <c r="H10" s="36">
        <v>46061</v>
      </c>
      <c r="I10" s="37">
        <f t="shared" si="4"/>
        <v>2.6</v>
      </c>
      <c r="J10" s="10" t="str">
        <f t="shared" si="5"/>
        <v/>
      </c>
      <c r="K10" s="29" t="str">
        <f>IF(VALUE(I10)=VALUE($R$8),H10,"")</f>
        <v/>
      </c>
      <c r="L10" s="56">
        <f>IF(I10&gt;=1,1,0)</f>
        <v>1</v>
      </c>
      <c r="M10" s="37">
        <f t="shared" si="6"/>
        <v>-5.3</v>
      </c>
      <c r="N10" s="29" t="str">
        <f>IF(VALUE(M10)=VALUE($X$7),H10,"")</f>
        <v/>
      </c>
      <c r="O10" s="29" t="str">
        <f>IF(VALUE(M10)=VALUE($X$8),H10,"")</f>
        <v/>
      </c>
    </row>
    <row r="11" spans="1:28" ht="15" thickBot="1" x14ac:dyDescent="0.35">
      <c r="A11" s="1">
        <v>46063.999305555553</v>
      </c>
      <c r="B11" s="2">
        <v>0</v>
      </c>
      <c r="C11" s="8">
        <v>0</v>
      </c>
      <c r="D11" s="1">
        <f t="shared" si="0"/>
        <v>46063.999305555553</v>
      </c>
      <c r="E11" s="1" t="str">
        <f t="shared" si="1"/>
        <v>0</v>
      </c>
      <c r="F11" s="1" t="str">
        <f t="shared" si="2"/>
        <v>0</v>
      </c>
      <c r="G11" s="1" t="str">
        <f t="shared" si="3"/>
        <v>0</v>
      </c>
      <c r="H11" s="36">
        <v>46062</v>
      </c>
      <c r="I11" s="37">
        <f t="shared" si="4"/>
        <v>0</v>
      </c>
      <c r="J11" s="10" t="str">
        <f t="shared" si="5"/>
        <v/>
      </c>
      <c r="K11" s="54">
        <f>IF(VALUE(I11)=VALUE($R$8),H11,"")</f>
        <v>46062</v>
      </c>
      <c r="L11" s="34">
        <f>IF(I11&gt;=1,1,0)</f>
        <v>0</v>
      </c>
      <c r="M11" s="37">
        <f t="shared" si="6"/>
        <v>-2.6</v>
      </c>
      <c r="N11" s="29" t="str">
        <f>IF(VALUE(M11)=VALUE($X$7),H11,"")</f>
        <v/>
      </c>
      <c r="O11" s="29" t="str">
        <f>IF(VALUE(M11)=VALUE($X$8),H11,"")</f>
        <v/>
      </c>
      <c r="Q11" s="25" t="s">
        <v>25</v>
      </c>
      <c r="R11" s="26"/>
      <c r="W11" s="27" t="s">
        <v>16</v>
      </c>
      <c r="X11" s="28"/>
    </row>
    <row r="12" spans="1:28" x14ac:dyDescent="0.3">
      <c r="A12" s="1">
        <v>46064.999305555553</v>
      </c>
      <c r="B12" s="2">
        <v>1.6</v>
      </c>
      <c r="C12" s="8">
        <v>1.6</v>
      </c>
      <c r="D12" s="1" t="str">
        <f t="shared" si="0"/>
        <v>0</v>
      </c>
      <c r="E12" s="1" t="str">
        <f t="shared" si="1"/>
        <v>0</v>
      </c>
      <c r="F12" s="1" t="str">
        <f t="shared" si="2"/>
        <v>0</v>
      </c>
      <c r="G12" s="1" t="str">
        <f t="shared" si="3"/>
        <v>0</v>
      </c>
      <c r="H12" s="36">
        <v>46063</v>
      </c>
      <c r="I12" s="37">
        <f t="shared" si="4"/>
        <v>0</v>
      </c>
      <c r="J12" s="10" t="str">
        <f t="shared" si="5"/>
        <v/>
      </c>
      <c r="K12" s="54">
        <f>IF(VALUE(I12)=VALUE($R$8),H12,"")</f>
        <v>46063</v>
      </c>
      <c r="L12" s="34">
        <f>IF(I12&gt;=1,1,0)</f>
        <v>0</v>
      </c>
      <c r="M12" s="37">
        <f t="shared" si="6"/>
        <v>0</v>
      </c>
      <c r="N12" s="29" t="str">
        <f>IF(VALUE(M12)=VALUE($X$7),H12,"")</f>
        <v/>
      </c>
      <c r="O12" s="29" t="str">
        <f>IF(VALUE(M12)=VALUE($X$8),H12,"")</f>
        <v/>
      </c>
      <c r="Q12" s="68" t="s">
        <v>17</v>
      </c>
      <c r="R12" s="69" t="s">
        <v>18</v>
      </c>
      <c r="T12" s="13" t="s">
        <v>19</v>
      </c>
      <c r="U12" s="72" t="s">
        <v>31</v>
      </c>
      <c r="W12" s="68" t="s">
        <v>17</v>
      </c>
      <c r="X12" s="74" t="s">
        <v>32</v>
      </c>
      <c r="Z12" s="75" t="s">
        <v>19</v>
      </c>
      <c r="AA12" s="78" t="s">
        <v>31</v>
      </c>
    </row>
    <row r="13" spans="1:28" ht="16.2" thickBot="1" x14ac:dyDescent="0.35">
      <c r="A13" s="1">
        <v>46065.999305555553</v>
      </c>
      <c r="B13" s="5">
        <v>36.4</v>
      </c>
      <c r="C13" s="8">
        <v>34.799999999999997</v>
      </c>
      <c r="D13" s="1" t="str">
        <f>IF(B13=$T$13,A13,"0")</f>
        <v>0</v>
      </c>
      <c r="E13" s="1">
        <f t="shared" si="1"/>
        <v>46065.999305555553</v>
      </c>
      <c r="F13" s="1" t="str">
        <f t="shared" si="2"/>
        <v>0</v>
      </c>
      <c r="G13" s="1">
        <f t="shared" si="3"/>
        <v>46065.999305555553</v>
      </c>
      <c r="H13" s="36">
        <v>46064</v>
      </c>
      <c r="I13" s="37">
        <f t="shared" si="4"/>
        <v>1.6</v>
      </c>
      <c r="J13" s="10" t="str">
        <f t="shared" si="5"/>
        <v/>
      </c>
      <c r="K13" s="29" t="str">
        <f>IF(VALUE(I13)=VALUE($R$8),H13,"")</f>
        <v/>
      </c>
      <c r="L13" s="56">
        <f>IF(I13&gt;=1,1,0)</f>
        <v>1</v>
      </c>
      <c r="M13" s="37">
        <f t="shared" si="6"/>
        <v>1.6</v>
      </c>
      <c r="N13" s="29" t="str">
        <f>IF(VALUE(M13)=VALUE($X$7),H13,"")</f>
        <v/>
      </c>
      <c r="O13" s="29" t="str">
        <f>IF(VALUE(M13)=VALUE($X$8),H13,"")</f>
        <v/>
      </c>
      <c r="Q13" s="70">
        <f>MAXA(B2:B29)</f>
        <v>36.4</v>
      </c>
      <c r="R13" s="71">
        <f>Foglio1!B4</f>
        <v>46065.999305555553</v>
      </c>
      <c r="T13" s="45">
        <f>MINA(B2:B29)</f>
        <v>0</v>
      </c>
      <c r="U13" s="14" cm="1">
        <f t="array" ref="U13:U28">Foglio1!A4:A19</f>
        <v>46054.999305555553</v>
      </c>
      <c r="W13" s="73">
        <f>MAXA(C2:C29)</f>
        <v>34.799999999999997</v>
      </c>
      <c r="X13" s="71">
        <f>Foglio1!E4</f>
        <v>46065.999305555553</v>
      </c>
      <c r="Z13" s="76">
        <f>MINA(C2:C29)</f>
        <v>-36.4</v>
      </c>
      <c r="AA13" s="77">
        <f>Foglio1!D4</f>
        <v>46066.999305555553</v>
      </c>
    </row>
    <row r="14" spans="1:28" x14ac:dyDescent="0.3">
      <c r="A14" s="1">
        <v>46066.999305555553</v>
      </c>
      <c r="B14" s="2">
        <v>0</v>
      </c>
      <c r="C14" s="8">
        <v>-36.4</v>
      </c>
      <c r="D14" s="1">
        <f t="shared" ref="D14:D29" si="7">IF(B14=$T$13,A14,"0")</f>
        <v>46066.999305555553</v>
      </c>
      <c r="E14" s="1" t="str">
        <f t="shared" si="1"/>
        <v>0</v>
      </c>
      <c r="F14" s="1">
        <f t="shared" si="2"/>
        <v>46066.999305555553</v>
      </c>
      <c r="G14" s="1" t="str">
        <f t="shared" si="3"/>
        <v>0</v>
      </c>
      <c r="H14" s="36">
        <v>46065</v>
      </c>
      <c r="I14" s="37">
        <f t="shared" si="4"/>
        <v>36.4</v>
      </c>
      <c r="J14" s="55">
        <f t="shared" si="5"/>
        <v>46065</v>
      </c>
      <c r="K14" s="29" t="str">
        <f>IF(VALUE(I14)=VALUE($R$8),H14,"")</f>
        <v/>
      </c>
      <c r="L14" s="56">
        <f>IF(I14&gt;=1,1,0)</f>
        <v>1</v>
      </c>
      <c r="M14" s="37">
        <f t="shared" si="6"/>
        <v>34.799999999999997</v>
      </c>
      <c r="N14" s="61">
        <f>IF(VALUE(M14)=VALUE($X$7),H14,"")</f>
        <v>46065</v>
      </c>
      <c r="O14" s="29" t="str">
        <f>IF(VALUE(M14)=VALUE($X$8),H14,"")</f>
        <v/>
      </c>
      <c r="R14" s="46"/>
      <c r="U14" s="14">
        <v>46055.999305555553</v>
      </c>
      <c r="AA14" s="46"/>
    </row>
    <row r="15" spans="1:28" x14ac:dyDescent="0.3">
      <c r="A15" s="1">
        <v>46067.999305555553</v>
      </c>
      <c r="B15" s="2">
        <v>12.1</v>
      </c>
      <c r="C15" s="8">
        <v>12.1</v>
      </c>
      <c r="D15" s="1" t="str">
        <f t="shared" si="7"/>
        <v>0</v>
      </c>
      <c r="E15" s="1" t="str">
        <f t="shared" si="1"/>
        <v>0</v>
      </c>
      <c r="F15" s="1" t="str">
        <f t="shared" si="2"/>
        <v>0</v>
      </c>
      <c r="G15" s="1" t="str">
        <f t="shared" si="3"/>
        <v>0</v>
      </c>
      <c r="H15" s="36">
        <v>46066</v>
      </c>
      <c r="I15" s="37">
        <f t="shared" si="4"/>
        <v>0</v>
      </c>
      <c r="J15" s="10" t="str">
        <f t="shared" si="5"/>
        <v/>
      </c>
      <c r="K15" s="54">
        <f>IF(VALUE(I15)=VALUE($R$8),H15,"")</f>
        <v>46066</v>
      </c>
      <c r="L15" s="34">
        <f>IF(I15&gt;=1,1,0)</f>
        <v>0</v>
      </c>
      <c r="M15" s="37">
        <f t="shared" si="6"/>
        <v>-36.4</v>
      </c>
      <c r="N15" s="29" t="str">
        <f>IF(VALUE(M15)=VALUE($X$7),H15,"")</f>
        <v/>
      </c>
      <c r="O15" s="61">
        <f>IF(VALUE(M15)=VALUE($X$8),H15,"")</f>
        <v>46066</v>
      </c>
      <c r="R15" s="46"/>
      <c r="U15" s="14">
        <v>46062.999305555553</v>
      </c>
      <c r="AA15" s="46"/>
    </row>
    <row r="16" spans="1:28" x14ac:dyDescent="0.3">
      <c r="A16" s="1">
        <v>46068.999305555553</v>
      </c>
      <c r="B16" s="2">
        <v>0</v>
      </c>
      <c r="C16" s="8">
        <v>-12.1</v>
      </c>
      <c r="D16" s="1">
        <f t="shared" si="7"/>
        <v>46068.999305555553</v>
      </c>
      <c r="E16" s="1" t="str">
        <f t="shared" si="1"/>
        <v>0</v>
      </c>
      <c r="F16" s="1" t="str">
        <f t="shared" si="2"/>
        <v>0</v>
      </c>
      <c r="G16" s="1" t="str">
        <f t="shared" si="3"/>
        <v>0</v>
      </c>
      <c r="H16" s="36">
        <v>46067</v>
      </c>
      <c r="I16" s="37">
        <f t="shared" si="4"/>
        <v>12.1</v>
      </c>
      <c r="J16" s="10" t="str">
        <f t="shared" si="5"/>
        <v/>
      </c>
      <c r="K16" s="29" t="str">
        <f>IF(VALUE(I16)=VALUE($R$8),H16,"")</f>
        <v/>
      </c>
      <c r="L16" s="56">
        <f>IF(I16&gt;=1,1,0)</f>
        <v>1</v>
      </c>
      <c r="M16" s="37">
        <f t="shared" si="6"/>
        <v>12.1</v>
      </c>
      <c r="N16" s="29" t="str">
        <f>IF(VALUE(M16)=VALUE($X$7),H16,"")</f>
        <v/>
      </c>
      <c r="O16" s="29" t="str">
        <f>IF(VALUE(M16)=VALUE($X$8),H16,"")</f>
        <v/>
      </c>
      <c r="R16" s="46"/>
      <c r="U16" s="14">
        <v>46063.999305555553</v>
      </c>
      <c r="AA16" s="46"/>
    </row>
    <row r="17" spans="1:27" x14ac:dyDescent="0.3">
      <c r="A17" s="1">
        <v>46069.999305555553</v>
      </c>
      <c r="B17" s="2">
        <v>0</v>
      </c>
      <c r="C17" s="8">
        <v>0</v>
      </c>
      <c r="D17" s="1">
        <f t="shared" si="7"/>
        <v>46069.999305555553</v>
      </c>
      <c r="E17" s="1" t="str">
        <f t="shared" si="1"/>
        <v>0</v>
      </c>
      <c r="F17" s="1" t="str">
        <f t="shared" si="2"/>
        <v>0</v>
      </c>
      <c r="G17" s="1" t="str">
        <f t="shared" si="3"/>
        <v>0</v>
      </c>
      <c r="H17" s="36">
        <v>46068</v>
      </c>
      <c r="I17" s="37">
        <f t="shared" si="4"/>
        <v>0</v>
      </c>
      <c r="J17" s="10" t="str">
        <f t="shared" si="5"/>
        <v/>
      </c>
      <c r="K17" s="54">
        <f>IF(VALUE(I17)=VALUE($R$8),H17,"")</f>
        <v>46068</v>
      </c>
      <c r="L17" s="34">
        <f>IF(I17&gt;=1,1,0)</f>
        <v>0</v>
      </c>
      <c r="M17" s="37">
        <f t="shared" si="6"/>
        <v>-12.1</v>
      </c>
      <c r="N17" s="29" t="str">
        <f>IF(VALUE(M17)=VALUE($X$7),H17,"")</f>
        <v/>
      </c>
      <c r="O17" s="29" t="str">
        <f>IF(VALUE(M17)=VALUE($X$8),H17,"")</f>
        <v/>
      </c>
      <c r="R17" s="46"/>
      <c r="U17" s="14">
        <v>46066.999305555553</v>
      </c>
      <c r="AA17" s="46"/>
    </row>
    <row r="18" spans="1:27" x14ac:dyDescent="0.3">
      <c r="A18" s="1">
        <v>46070.999305555553</v>
      </c>
      <c r="B18" s="2">
        <v>0</v>
      </c>
      <c r="C18" s="8">
        <v>0</v>
      </c>
      <c r="D18" s="1">
        <f t="shared" si="7"/>
        <v>46070.999305555553</v>
      </c>
      <c r="E18" s="1" t="str">
        <f t="shared" si="1"/>
        <v>0</v>
      </c>
      <c r="F18" s="1" t="str">
        <f t="shared" si="2"/>
        <v>0</v>
      </c>
      <c r="G18" s="1" t="str">
        <f t="shared" si="3"/>
        <v>0</v>
      </c>
      <c r="H18" s="36">
        <v>46069</v>
      </c>
      <c r="I18" s="37">
        <f t="shared" si="4"/>
        <v>0</v>
      </c>
      <c r="J18" s="10" t="str">
        <f t="shared" si="5"/>
        <v/>
      </c>
      <c r="K18" s="54">
        <f>IF(VALUE(I18)=VALUE($R$8),H18,"")</f>
        <v>46069</v>
      </c>
      <c r="L18" s="34">
        <f>IF(I18&gt;=1,1,0)</f>
        <v>0</v>
      </c>
      <c r="M18" s="37">
        <f t="shared" si="6"/>
        <v>0</v>
      </c>
      <c r="N18" s="29" t="str">
        <f>IF(VALUE(M18)=VALUE($X$7),H18,"")</f>
        <v/>
      </c>
      <c r="O18" s="29" t="str">
        <f>IF(VALUE(M18)=VALUE($X$8),H18,"")</f>
        <v/>
      </c>
      <c r="R18" s="46"/>
      <c r="U18" s="14">
        <v>46068.999305555553</v>
      </c>
      <c r="AA18" s="46"/>
    </row>
    <row r="19" spans="1:27" x14ac:dyDescent="0.3">
      <c r="A19" s="1">
        <v>46071.999305555553</v>
      </c>
      <c r="B19" s="2">
        <v>0.4</v>
      </c>
      <c r="C19" s="8">
        <v>0.4</v>
      </c>
      <c r="D19" s="1" t="str">
        <f t="shared" si="7"/>
        <v>0</v>
      </c>
      <c r="E19" s="1" t="str">
        <f t="shared" si="1"/>
        <v>0</v>
      </c>
      <c r="F19" s="1" t="str">
        <f t="shared" si="2"/>
        <v>0</v>
      </c>
      <c r="G19" s="1" t="str">
        <f t="shared" si="3"/>
        <v>0</v>
      </c>
      <c r="H19" s="36">
        <v>46070</v>
      </c>
      <c r="I19" s="37">
        <f t="shared" si="4"/>
        <v>0</v>
      </c>
      <c r="J19" s="10" t="str">
        <f t="shared" si="5"/>
        <v/>
      </c>
      <c r="K19" s="54">
        <f>IF(VALUE(I19)=VALUE($R$8),H19,"")</f>
        <v>46070</v>
      </c>
      <c r="L19" s="34">
        <f>IF(I19&gt;=1,1,0)</f>
        <v>0</v>
      </c>
      <c r="M19" s="37">
        <f t="shared" si="6"/>
        <v>0</v>
      </c>
      <c r="N19" s="29" t="str">
        <f>IF(VALUE(M19)=VALUE($X$7),H19,"")</f>
        <v/>
      </c>
      <c r="O19" s="29" t="str">
        <f>IF(VALUE(M19)=VALUE($X$8),H19,"")</f>
        <v/>
      </c>
      <c r="R19" s="46"/>
      <c r="U19" s="14">
        <v>46069.999305555553</v>
      </c>
      <c r="AA19" s="46"/>
    </row>
    <row r="20" spans="1:27" x14ac:dyDescent="0.3">
      <c r="A20" s="1">
        <v>46072.999305555553</v>
      </c>
      <c r="B20" s="2">
        <v>7.2</v>
      </c>
      <c r="C20" s="8">
        <v>6.8</v>
      </c>
      <c r="D20" s="1" t="str">
        <f t="shared" si="7"/>
        <v>0</v>
      </c>
      <c r="E20" s="1" t="str">
        <f t="shared" si="1"/>
        <v>0</v>
      </c>
      <c r="F20" s="1" t="str">
        <f t="shared" si="2"/>
        <v>0</v>
      </c>
      <c r="G20" s="1" t="str">
        <f t="shared" si="3"/>
        <v>0</v>
      </c>
      <c r="H20" s="36">
        <v>46071</v>
      </c>
      <c r="I20" s="37">
        <f t="shared" si="4"/>
        <v>0.4</v>
      </c>
      <c r="J20" s="10" t="str">
        <f t="shared" si="5"/>
        <v/>
      </c>
      <c r="K20" s="29" t="str">
        <f>IF(VALUE(I20)=VALUE($R$8),H20,"")</f>
        <v/>
      </c>
      <c r="L20" s="34">
        <f>IF(I20&gt;=1,1,0)</f>
        <v>0</v>
      </c>
      <c r="M20" s="37">
        <f t="shared" si="6"/>
        <v>0.4</v>
      </c>
      <c r="N20" s="29" t="str">
        <f>IF(VALUE(M20)=VALUE($X$7),H20,"")</f>
        <v/>
      </c>
      <c r="O20" s="29" t="str">
        <f>IF(VALUE(M20)=VALUE($X$8),H20,"")</f>
        <v/>
      </c>
      <c r="R20" s="46"/>
      <c r="U20" s="14">
        <v>46070.999305555553</v>
      </c>
      <c r="AA20" s="46"/>
    </row>
    <row r="21" spans="1:27" x14ac:dyDescent="0.3">
      <c r="A21" s="1">
        <v>46073.999305555553</v>
      </c>
      <c r="B21" s="2">
        <v>0.4</v>
      </c>
      <c r="C21" s="8">
        <v>-6.8</v>
      </c>
      <c r="D21" s="1" t="str">
        <f t="shared" si="7"/>
        <v>0</v>
      </c>
      <c r="E21" s="1" t="str">
        <f t="shared" si="1"/>
        <v>0</v>
      </c>
      <c r="F21" s="1" t="str">
        <f t="shared" si="2"/>
        <v>0</v>
      </c>
      <c r="G21" s="1" t="str">
        <f t="shared" si="3"/>
        <v>0</v>
      </c>
      <c r="H21" s="36">
        <v>46072</v>
      </c>
      <c r="I21" s="37">
        <f t="shared" si="4"/>
        <v>7.2</v>
      </c>
      <c r="J21" s="10" t="str">
        <f t="shared" si="5"/>
        <v/>
      </c>
      <c r="K21" s="29" t="str">
        <f>IF(VALUE(I21)=VALUE($R$8),H21,"")</f>
        <v/>
      </c>
      <c r="L21" s="56">
        <f>IF(I21&gt;=1,1,0)</f>
        <v>1</v>
      </c>
      <c r="M21" s="37">
        <f t="shared" si="6"/>
        <v>6.8</v>
      </c>
      <c r="N21" s="29" t="str">
        <f>IF(VALUE(M21)=VALUE($X$7),H21,"")</f>
        <v/>
      </c>
      <c r="O21" s="29" t="str">
        <f>IF(VALUE(M21)=VALUE($X$8),H21,"")</f>
        <v/>
      </c>
      <c r="R21" s="46"/>
      <c r="U21" s="14">
        <v>46074.999305555553</v>
      </c>
      <c r="AA21" s="46"/>
    </row>
    <row r="22" spans="1:27" x14ac:dyDescent="0.3">
      <c r="A22" s="1">
        <v>46074.999305555553</v>
      </c>
      <c r="B22" s="2">
        <v>0</v>
      </c>
      <c r="C22" s="8">
        <v>-0.4</v>
      </c>
      <c r="D22" s="1">
        <f t="shared" si="7"/>
        <v>46074.999305555553</v>
      </c>
      <c r="E22" s="1" t="str">
        <f t="shared" si="1"/>
        <v>0</v>
      </c>
      <c r="F22" s="1" t="str">
        <f t="shared" si="2"/>
        <v>0</v>
      </c>
      <c r="G22" s="1" t="str">
        <f t="shared" si="3"/>
        <v>0</v>
      </c>
      <c r="H22" s="36">
        <v>46073</v>
      </c>
      <c r="I22" s="37">
        <f t="shared" si="4"/>
        <v>0.4</v>
      </c>
      <c r="J22" s="10" t="str">
        <f t="shared" si="5"/>
        <v/>
      </c>
      <c r="K22" s="29" t="str">
        <f>IF(VALUE(I22)=VALUE($R$8),H22,"")</f>
        <v/>
      </c>
      <c r="L22" s="34">
        <f>IF(I22&gt;=1,1,0)</f>
        <v>0</v>
      </c>
      <c r="M22" s="37">
        <f t="shared" si="6"/>
        <v>-6.8</v>
      </c>
      <c r="N22" s="29" t="str">
        <f>IF(VALUE(M22)=VALUE($X$7),H22,"")</f>
        <v/>
      </c>
      <c r="O22" s="29" t="str">
        <f>IF(VALUE(M22)=VALUE($X$8),H22,"")</f>
        <v/>
      </c>
      <c r="R22" s="46"/>
      <c r="U22" s="14">
        <v>46075.999305555553</v>
      </c>
      <c r="AA22" s="46"/>
    </row>
    <row r="23" spans="1:27" x14ac:dyDescent="0.3">
      <c r="A23" s="1">
        <v>46075.999305555553</v>
      </c>
      <c r="B23" s="2">
        <v>0</v>
      </c>
      <c r="C23" s="8">
        <v>0</v>
      </c>
      <c r="D23" s="1">
        <f t="shared" si="7"/>
        <v>46075.999305555553</v>
      </c>
      <c r="E23" s="1" t="str">
        <f t="shared" si="1"/>
        <v>0</v>
      </c>
      <c r="F23" s="1" t="str">
        <f t="shared" si="2"/>
        <v>0</v>
      </c>
      <c r="G23" s="1" t="str">
        <f t="shared" si="3"/>
        <v>0</v>
      </c>
      <c r="H23" s="36">
        <v>46074</v>
      </c>
      <c r="I23" s="37">
        <f t="shared" si="4"/>
        <v>0</v>
      </c>
      <c r="J23" s="10" t="str">
        <f t="shared" si="5"/>
        <v/>
      </c>
      <c r="K23" s="54">
        <f>IF(VALUE(I23)=VALUE($R$8),H23,"")</f>
        <v>46074</v>
      </c>
      <c r="L23" s="34">
        <f>IF(I23&gt;=1,1,0)</f>
        <v>0</v>
      </c>
      <c r="M23" s="37">
        <f t="shared" si="6"/>
        <v>-0.4</v>
      </c>
      <c r="N23" s="29" t="str">
        <f>IF(VALUE(M23)=VALUE($X$7),H23,"")</f>
        <v/>
      </c>
      <c r="O23" s="29" t="str">
        <f>IF(VALUE(M23)=VALUE($X$8),H23,"")</f>
        <v/>
      </c>
      <c r="R23" s="46"/>
      <c r="U23" s="14">
        <v>46076.999305555553</v>
      </c>
      <c r="AA23" s="46"/>
    </row>
    <row r="24" spans="1:27" x14ac:dyDescent="0.3">
      <c r="A24" s="1">
        <v>46076.999305555553</v>
      </c>
      <c r="B24" s="2">
        <v>0</v>
      </c>
      <c r="C24" s="8">
        <v>0</v>
      </c>
      <c r="D24" s="1">
        <f t="shared" si="7"/>
        <v>46076.999305555553</v>
      </c>
      <c r="E24" s="1" t="str">
        <f t="shared" si="1"/>
        <v>0</v>
      </c>
      <c r="F24" s="1" t="str">
        <f t="shared" si="2"/>
        <v>0</v>
      </c>
      <c r="G24" s="1" t="str">
        <f t="shared" si="3"/>
        <v>0</v>
      </c>
      <c r="H24" s="36">
        <v>46075</v>
      </c>
      <c r="I24" s="37">
        <f t="shared" si="4"/>
        <v>0</v>
      </c>
      <c r="J24" s="10" t="str">
        <f t="shared" si="5"/>
        <v/>
      </c>
      <c r="K24" s="54">
        <f>IF(VALUE(I24)=VALUE($R$8),H24,"")</f>
        <v>46075</v>
      </c>
      <c r="L24" s="34">
        <f>IF(I24&gt;=1,1,0)</f>
        <v>0</v>
      </c>
      <c r="M24" s="37">
        <f t="shared" si="6"/>
        <v>0</v>
      </c>
      <c r="N24" s="29" t="str">
        <f>IF(VALUE(M24)=VALUE($X$7),H24,"")</f>
        <v/>
      </c>
      <c r="O24" s="29" t="str">
        <f>IF(VALUE(M24)=VALUE($X$8),H24,"")</f>
        <v/>
      </c>
      <c r="R24" s="46"/>
      <c r="U24" s="14">
        <v>46077.999305555553</v>
      </c>
      <c r="AA24" s="46"/>
    </row>
    <row r="25" spans="1:27" x14ac:dyDescent="0.3">
      <c r="A25" s="1">
        <v>46077.999305555553</v>
      </c>
      <c r="B25" s="2">
        <v>0</v>
      </c>
      <c r="C25" s="8">
        <v>0</v>
      </c>
      <c r="D25" s="1">
        <f t="shared" si="7"/>
        <v>46077.999305555553</v>
      </c>
      <c r="E25" s="1" t="str">
        <f t="shared" si="1"/>
        <v>0</v>
      </c>
      <c r="F25" s="1" t="str">
        <f t="shared" si="2"/>
        <v>0</v>
      </c>
      <c r="G25" s="1" t="str">
        <f t="shared" si="3"/>
        <v>0</v>
      </c>
      <c r="H25" s="36">
        <v>46076</v>
      </c>
      <c r="I25" s="37">
        <f t="shared" si="4"/>
        <v>0</v>
      </c>
      <c r="J25" s="10" t="str">
        <f t="shared" si="5"/>
        <v/>
      </c>
      <c r="K25" s="54">
        <f>IF(VALUE(I25)=VALUE($R$8),H25,"")</f>
        <v>46076</v>
      </c>
      <c r="L25" s="34">
        <f>IF(I25&gt;=1,1,0)</f>
        <v>0</v>
      </c>
      <c r="M25" s="37">
        <f t="shared" si="6"/>
        <v>0</v>
      </c>
      <c r="N25" s="29" t="str">
        <f>IF(VALUE(M25)=VALUE($X$7),H25,"")</f>
        <v/>
      </c>
      <c r="O25" s="29" t="str">
        <f>IF(VALUE(M25)=VALUE($X$8),H25,"")</f>
        <v/>
      </c>
      <c r="R25" s="46"/>
      <c r="U25" s="14">
        <v>46078.999305555553</v>
      </c>
      <c r="AA25" s="46"/>
    </row>
    <row r="26" spans="1:27" x14ac:dyDescent="0.3">
      <c r="A26" s="1">
        <v>46078.999305555553</v>
      </c>
      <c r="B26" s="2">
        <v>0</v>
      </c>
      <c r="C26" s="8">
        <v>0</v>
      </c>
      <c r="D26" s="1">
        <f t="shared" si="7"/>
        <v>46078.999305555553</v>
      </c>
      <c r="E26" s="1" t="str">
        <f t="shared" si="1"/>
        <v>0</v>
      </c>
      <c r="F26" s="1" t="str">
        <f t="shared" si="2"/>
        <v>0</v>
      </c>
      <c r="G26" s="1" t="str">
        <f t="shared" si="3"/>
        <v>0</v>
      </c>
      <c r="H26" s="36">
        <v>46077</v>
      </c>
      <c r="I26" s="37">
        <f t="shared" si="4"/>
        <v>0</v>
      </c>
      <c r="J26" s="10" t="str">
        <f t="shared" si="5"/>
        <v/>
      </c>
      <c r="K26" s="54">
        <f>IF(VALUE(I26)=VALUE($R$8),H26,"")</f>
        <v>46077</v>
      </c>
      <c r="L26" s="34">
        <f>IF(I26&gt;=1,1,0)</f>
        <v>0</v>
      </c>
      <c r="M26" s="37">
        <f t="shared" si="6"/>
        <v>0</v>
      </c>
      <c r="N26" s="29" t="str">
        <f>IF(VALUE(M26)=VALUE($X$7),H26,"")</f>
        <v/>
      </c>
      <c r="O26" s="29" t="str">
        <f>IF(VALUE(M26)=VALUE($X$8),H26,"")</f>
        <v/>
      </c>
      <c r="R26" s="46"/>
      <c r="U26" s="14">
        <v>46079.999305555553</v>
      </c>
      <c r="AA26" s="46"/>
    </row>
    <row r="27" spans="1:27" x14ac:dyDescent="0.3">
      <c r="A27" s="1">
        <v>46079.999305555553</v>
      </c>
      <c r="B27" s="2">
        <v>0</v>
      </c>
      <c r="C27" s="8">
        <v>0</v>
      </c>
      <c r="D27" s="1">
        <f t="shared" si="7"/>
        <v>46079.999305555553</v>
      </c>
      <c r="E27" s="1" t="str">
        <f t="shared" si="1"/>
        <v>0</v>
      </c>
      <c r="F27" s="1" t="str">
        <f t="shared" si="2"/>
        <v>0</v>
      </c>
      <c r="G27" s="1" t="str">
        <f t="shared" si="3"/>
        <v>0</v>
      </c>
      <c r="H27" s="36">
        <v>46078</v>
      </c>
      <c r="I27" s="37">
        <f t="shared" si="4"/>
        <v>0</v>
      </c>
      <c r="J27" s="10" t="str">
        <f t="shared" si="5"/>
        <v/>
      </c>
      <c r="K27" s="54">
        <f>IF(VALUE(I27)=VALUE($R$8),H27,"")</f>
        <v>46078</v>
      </c>
      <c r="L27" s="34">
        <f>IF(I27&gt;=1,1,0)</f>
        <v>0</v>
      </c>
      <c r="M27" s="37">
        <f t="shared" si="6"/>
        <v>0</v>
      </c>
      <c r="N27" s="29" t="str">
        <f>IF(VALUE(M27)=VALUE($X$7),H27,"")</f>
        <v/>
      </c>
      <c r="O27" s="29" t="str">
        <f>IF(VALUE(M27)=VALUE($X$8),H27,"")</f>
        <v/>
      </c>
      <c r="R27" s="46"/>
      <c r="U27" s="14">
        <v>46080.999305555553</v>
      </c>
      <c r="AA27" s="46"/>
    </row>
    <row r="28" spans="1:27" x14ac:dyDescent="0.3">
      <c r="A28" s="1">
        <v>46080.999305555553</v>
      </c>
      <c r="B28" s="2">
        <v>0</v>
      </c>
      <c r="C28" s="8">
        <v>0</v>
      </c>
      <c r="D28" s="1">
        <f t="shared" si="7"/>
        <v>46080.999305555553</v>
      </c>
      <c r="E28" s="1" t="str">
        <f t="shared" si="1"/>
        <v>0</v>
      </c>
      <c r="F28" s="1" t="str">
        <f t="shared" si="2"/>
        <v>0</v>
      </c>
      <c r="G28" s="1" t="str">
        <f t="shared" si="3"/>
        <v>0</v>
      </c>
      <c r="H28" s="36">
        <v>46079</v>
      </c>
      <c r="I28" s="37">
        <f t="shared" si="4"/>
        <v>0</v>
      </c>
      <c r="J28" s="10" t="str">
        <f t="shared" si="5"/>
        <v/>
      </c>
      <c r="K28" s="54">
        <f>IF(VALUE(I28)=VALUE($R$8),H28,"")</f>
        <v>46079</v>
      </c>
      <c r="L28" s="34">
        <f>IF(I28&gt;=1,1,0)</f>
        <v>0</v>
      </c>
      <c r="M28" s="37">
        <f t="shared" si="6"/>
        <v>0</v>
      </c>
      <c r="N28" s="29" t="str">
        <f>IF(VALUE(M28)=VALUE($X$7),H28,"")</f>
        <v/>
      </c>
      <c r="O28" s="29" t="str">
        <f>IF(VALUE(M28)=VALUE($X$8),H28,"")</f>
        <v/>
      </c>
      <c r="R28" s="46"/>
      <c r="U28" s="14">
        <v>46081.999305555553</v>
      </c>
      <c r="AA28" s="46"/>
    </row>
    <row r="29" spans="1:27" x14ac:dyDescent="0.3">
      <c r="A29" s="1">
        <v>46081.999305555553</v>
      </c>
      <c r="B29" s="2">
        <v>0</v>
      </c>
      <c r="C29" s="8">
        <v>0</v>
      </c>
      <c r="D29" s="1">
        <f t="shared" si="7"/>
        <v>46081.999305555553</v>
      </c>
      <c r="E29" s="1" t="str">
        <f t="shared" si="1"/>
        <v>0</v>
      </c>
      <c r="F29" s="1" t="str">
        <f t="shared" si="2"/>
        <v>0</v>
      </c>
      <c r="G29" s="1" t="str">
        <f t="shared" si="3"/>
        <v>0</v>
      </c>
      <c r="H29" s="12">
        <v>46080</v>
      </c>
      <c r="I29" s="37">
        <f t="shared" si="4"/>
        <v>0</v>
      </c>
      <c r="J29" s="10" t="str">
        <f t="shared" si="5"/>
        <v/>
      </c>
      <c r="K29" s="54">
        <f>IF(VALUE(I29)=VALUE($R$8),H29,"")</f>
        <v>46080</v>
      </c>
      <c r="L29" s="34">
        <f>IF(I29&gt;=1,1,0)</f>
        <v>0</v>
      </c>
      <c r="M29" s="37">
        <f t="shared" si="6"/>
        <v>0</v>
      </c>
      <c r="N29" s="10" t="str">
        <f>IF(VALUE(M29)=VALUE($X$7),H29,"")</f>
        <v/>
      </c>
      <c r="O29" s="10" t="str">
        <f>IF(VALUE(M29)=VALUE($X$8),H29,"")</f>
        <v/>
      </c>
      <c r="R29" s="46"/>
      <c r="U29" s="46"/>
      <c r="AA29" s="46"/>
    </row>
    <row r="30" spans="1:27" x14ac:dyDescent="0.3">
      <c r="A30" s="3" t="s">
        <v>3</v>
      </c>
      <c r="B30" s="6">
        <f>SUM(B2:B29)</f>
        <v>92.800000000000011</v>
      </c>
      <c r="F30" s="1"/>
      <c r="H30" s="12">
        <v>46081</v>
      </c>
      <c r="I30" s="11">
        <f t="shared" si="4"/>
        <v>0</v>
      </c>
      <c r="J30" s="10" t="str">
        <f t="shared" si="5"/>
        <v/>
      </c>
      <c r="K30" s="54">
        <f>IF(VALUE(I30)=VALUE($R$8),H30,"")</f>
        <v>46081</v>
      </c>
      <c r="L30" s="34">
        <f>IF(I30&gt;=1,1,0)</f>
        <v>0</v>
      </c>
      <c r="M30" s="11">
        <f t="shared" si="6"/>
        <v>0</v>
      </c>
      <c r="N30" s="10" t="str">
        <f>IF(VALUE(M30)=VALUE($X$7),H30,"")</f>
        <v/>
      </c>
      <c r="O30" s="10" t="str">
        <f>IF(VALUE(M30)=VALUE($X$8),H30,"")</f>
        <v/>
      </c>
      <c r="R30" s="46"/>
      <c r="U30" s="46"/>
      <c r="AA30" s="46"/>
    </row>
    <row r="31" spans="1:27" x14ac:dyDescent="0.3">
      <c r="D31" s="20"/>
      <c r="F31" s="1"/>
      <c r="H31" s="40"/>
      <c r="I31" s="41"/>
      <c r="J31" s="42"/>
      <c r="K31" s="42"/>
      <c r="L31" s="43"/>
      <c r="M31" s="41"/>
      <c r="N31" s="42"/>
      <c r="O31" s="42"/>
      <c r="R31" s="46"/>
      <c r="U31" s="46"/>
      <c r="AA31" s="46"/>
    </row>
    <row r="32" spans="1:27" x14ac:dyDescent="0.3">
      <c r="F32" s="1"/>
      <c r="H32" s="40"/>
      <c r="I32" s="41"/>
      <c r="J32" s="42"/>
      <c r="K32" s="42"/>
      <c r="L32" s="43"/>
      <c r="M32" s="41"/>
      <c r="N32" s="42"/>
      <c r="O32" s="42"/>
      <c r="R32" s="46"/>
      <c r="U32" s="46"/>
      <c r="AA32" s="46"/>
    </row>
    <row r="33" spans="6:27" x14ac:dyDescent="0.3">
      <c r="F33" s="1"/>
      <c r="H33" s="40"/>
      <c r="I33" s="41"/>
      <c r="J33" s="58"/>
      <c r="K33" s="42"/>
      <c r="L33" s="43"/>
      <c r="M33" s="41"/>
      <c r="N33" s="42"/>
      <c r="O33" s="42"/>
      <c r="R33" s="46"/>
      <c r="U33" s="46"/>
      <c r="AA33" s="46"/>
    </row>
    <row r="34" spans="6:27" x14ac:dyDescent="0.3">
      <c r="F34" s="1"/>
      <c r="H34" s="43"/>
      <c r="I34" s="43"/>
      <c r="J34" s="40"/>
      <c r="K34" s="43"/>
      <c r="L34" s="44"/>
      <c r="M34" s="43"/>
      <c r="N34" s="43"/>
      <c r="O34" s="42"/>
      <c r="R34" s="46"/>
      <c r="U34" s="46"/>
      <c r="AA34" s="46"/>
    </row>
    <row r="35" spans="6:27" x14ac:dyDescent="0.3">
      <c r="F35" s="1"/>
      <c r="J35" s="9"/>
      <c r="O35" s="15"/>
      <c r="R35" s="46"/>
      <c r="U35" s="16"/>
      <c r="AA35" s="46"/>
    </row>
    <row r="36" spans="6:27" x14ac:dyDescent="0.3">
      <c r="F36" s="1"/>
      <c r="J36" s="9"/>
      <c r="O36" s="15"/>
      <c r="R36" s="46"/>
      <c r="U36" s="16"/>
      <c r="AA36" s="46"/>
    </row>
    <row r="37" spans="6:27" x14ac:dyDescent="0.3">
      <c r="F37" s="1"/>
      <c r="J37" s="9"/>
      <c r="O37" s="15"/>
      <c r="R37" s="46"/>
      <c r="U37" s="16"/>
      <c r="AA37" s="46"/>
    </row>
    <row r="38" spans="6:27" x14ac:dyDescent="0.3">
      <c r="F38" s="1"/>
      <c r="O38" s="15"/>
      <c r="R38" s="16"/>
      <c r="U38" s="16"/>
      <c r="AA38" s="46"/>
    </row>
    <row r="39" spans="6:27" x14ac:dyDescent="0.3">
      <c r="F39" s="1"/>
      <c r="O39" s="15"/>
      <c r="R39" s="16"/>
      <c r="U39" s="16"/>
      <c r="AA39" s="46"/>
    </row>
    <row r="40" spans="6:27" x14ac:dyDescent="0.3">
      <c r="F40" s="1"/>
      <c r="O40" s="15"/>
      <c r="R40" s="16"/>
      <c r="U40" s="16"/>
      <c r="AA40" s="46"/>
    </row>
    <row r="41" spans="6:27" x14ac:dyDescent="0.3">
      <c r="F41" s="1"/>
      <c r="O41" s="15"/>
      <c r="R41" s="16"/>
      <c r="U41" s="16"/>
      <c r="AA41" s="46"/>
    </row>
    <row r="42" spans="6:27" x14ac:dyDescent="0.3">
      <c r="F42" s="1"/>
      <c r="O42" s="15"/>
      <c r="R42" s="16"/>
      <c r="U42" s="16"/>
      <c r="AA42" s="46"/>
    </row>
    <row r="43" spans="6:27" x14ac:dyDescent="0.3">
      <c r="F43" s="1"/>
      <c r="O43" s="15"/>
      <c r="R43" s="16"/>
      <c r="U43" s="16"/>
      <c r="AA43" s="46"/>
    </row>
    <row r="44" spans="6:27" x14ac:dyDescent="0.3">
      <c r="F44" s="1"/>
      <c r="O44" s="15"/>
      <c r="R44" s="16"/>
      <c r="AA44" s="43"/>
    </row>
    <row r="45" spans="6:27" x14ac:dyDescent="0.3">
      <c r="F45" s="1"/>
      <c r="O45" s="15"/>
      <c r="R45" s="16"/>
      <c r="AA45" s="43"/>
    </row>
    <row r="46" spans="6:27" x14ac:dyDescent="0.3">
      <c r="F46" s="1"/>
      <c r="O46" s="15"/>
      <c r="R46" s="16"/>
      <c r="AA46" s="43"/>
    </row>
    <row r="47" spans="6:27" x14ac:dyDescent="0.3">
      <c r="F47" s="1"/>
      <c r="O47" s="15"/>
      <c r="R47" s="16"/>
      <c r="AA47" s="43"/>
    </row>
    <row r="48" spans="6:27" x14ac:dyDescent="0.3">
      <c r="F48" s="1"/>
      <c r="O48" s="15"/>
      <c r="R48" s="16"/>
      <c r="AA48" s="43"/>
    </row>
    <row r="49" spans="6:27" x14ac:dyDescent="0.3">
      <c r="F49" s="1"/>
      <c r="O49" s="15"/>
      <c r="R49" s="16"/>
      <c r="AA49" s="43"/>
    </row>
    <row r="50" spans="6:27" x14ac:dyDescent="0.3">
      <c r="F50" s="1"/>
      <c r="O50" s="15"/>
      <c r="R50" s="16"/>
      <c r="AA50" s="43"/>
    </row>
    <row r="51" spans="6:27" x14ac:dyDescent="0.3">
      <c r="F51" s="1"/>
      <c r="O51" s="15"/>
      <c r="R51" s="16"/>
      <c r="AA51" s="43"/>
    </row>
    <row r="52" spans="6:27" x14ac:dyDescent="0.3">
      <c r="F52" s="1"/>
      <c r="O52" s="15"/>
      <c r="R52" s="16"/>
      <c r="AA52" s="43"/>
    </row>
    <row r="53" spans="6:27" x14ac:dyDescent="0.3">
      <c r="F53" s="1"/>
      <c r="O53" s="15"/>
      <c r="R53" s="16"/>
      <c r="AA53" s="43"/>
    </row>
    <row r="54" spans="6:27" x14ac:dyDescent="0.3">
      <c r="F54" s="1"/>
      <c r="O54" s="15"/>
      <c r="R54" s="16"/>
      <c r="AA54" s="43"/>
    </row>
    <row r="55" spans="6:27" x14ac:dyDescent="0.3">
      <c r="F55" s="1"/>
      <c r="O55" s="15"/>
      <c r="R55" s="16"/>
      <c r="AA55" s="43"/>
    </row>
    <row r="56" spans="6:27" x14ac:dyDescent="0.3">
      <c r="F56" s="1"/>
      <c r="O56" s="15"/>
      <c r="R56" s="16"/>
      <c r="AA56" s="43"/>
    </row>
    <row r="57" spans="6:27" x14ac:dyDescent="0.3">
      <c r="F57" s="1"/>
      <c r="O57" s="15"/>
      <c r="R57" s="16"/>
      <c r="AA57" s="43"/>
    </row>
    <row r="58" spans="6:27" x14ac:dyDescent="0.3">
      <c r="F58" s="1"/>
      <c r="O58" s="15"/>
      <c r="R58" s="16"/>
      <c r="AA58" s="43"/>
    </row>
    <row r="59" spans="6:27" x14ac:dyDescent="0.3">
      <c r="F59" s="1"/>
      <c r="O59" s="15"/>
      <c r="R59" s="16"/>
      <c r="AA59" s="43"/>
    </row>
    <row r="60" spans="6:27" x14ac:dyDescent="0.3">
      <c r="F60" s="1"/>
      <c r="O60" s="15"/>
      <c r="R60" s="16"/>
      <c r="AA60" s="43"/>
    </row>
    <row r="61" spans="6:27" x14ac:dyDescent="0.3">
      <c r="F61" s="1"/>
      <c r="O61" s="15"/>
      <c r="R61" s="16"/>
      <c r="AA61" s="43"/>
    </row>
    <row r="62" spans="6:27" x14ac:dyDescent="0.3">
      <c r="F62" s="1"/>
      <c r="O62" s="15"/>
      <c r="R62" s="16"/>
      <c r="AA62" s="43"/>
    </row>
    <row r="63" spans="6:27" x14ac:dyDescent="0.3">
      <c r="F63" s="1"/>
      <c r="O63" s="15"/>
      <c r="R63" s="16"/>
      <c r="AA63" s="43"/>
    </row>
    <row r="64" spans="6:27" x14ac:dyDescent="0.3">
      <c r="F64" s="1"/>
      <c r="O64" s="15"/>
      <c r="R64" s="16"/>
      <c r="AA64" s="43"/>
    </row>
    <row r="65" spans="6:27" x14ac:dyDescent="0.3">
      <c r="F65" s="1"/>
      <c r="O65" s="15"/>
      <c r="R65" s="16"/>
      <c r="AA65" s="43"/>
    </row>
    <row r="66" spans="6:27" x14ac:dyDescent="0.3">
      <c r="F66" s="1"/>
      <c r="O66" s="15"/>
      <c r="R66" s="16"/>
      <c r="AA66" s="43"/>
    </row>
    <row r="67" spans="6:27" x14ac:dyDescent="0.3">
      <c r="F67" s="1"/>
      <c r="O67" s="15"/>
      <c r="R67" s="16"/>
      <c r="AA67" s="43"/>
    </row>
    <row r="68" spans="6:27" x14ac:dyDescent="0.3">
      <c r="F68" s="1"/>
      <c r="O68" s="15"/>
      <c r="R68" s="16"/>
      <c r="AA68" s="43"/>
    </row>
    <row r="69" spans="6:27" x14ac:dyDescent="0.3">
      <c r="F69" s="1"/>
      <c r="O69" s="15"/>
      <c r="R69" s="16"/>
      <c r="AA69" s="43"/>
    </row>
    <row r="70" spans="6:27" x14ac:dyDescent="0.3">
      <c r="F70" s="1"/>
      <c r="O70" s="15"/>
      <c r="R70" s="16"/>
      <c r="AA70" s="43"/>
    </row>
    <row r="71" spans="6:27" x14ac:dyDescent="0.3">
      <c r="F71" s="1"/>
      <c r="O71" s="15"/>
      <c r="R71" s="16"/>
      <c r="AA71" s="43"/>
    </row>
    <row r="72" spans="6:27" x14ac:dyDescent="0.3">
      <c r="F72" s="1"/>
      <c r="O72" s="15"/>
      <c r="R72" s="16"/>
      <c r="AA72" s="43"/>
    </row>
    <row r="73" spans="6:27" x14ac:dyDescent="0.3">
      <c r="F73" s="1"/>
      <c r="O73" s="15"/>
      <c r="R73" s="16"/>
      <c r="AA73" s="43"/>
    </row>
    <row r="74" spans="6:27" x14ac:dyDescent="0.3">
      <c r="F74" s="1"/>
      <c r="O74" s="15"/>
      <c r="R74" s="16"/>
      <c r="AA74" s="43"/>
    </row>
    <row r="75" spans="6:27" x14ac:dyDescent="0.3">
      <c r="F75" s="1"/>
      <c r="O75" s="15"/>
      <c r="R75" s="16"/>
      <c r="AA75" s="43"/>
    </row>
    <row r="76" spans="6:27" x14ac:dyDescent="0.3">
      <c r="F76" s="1"/>
      <c r="O76" s="15"/>
      <c r="R76" s="16"/>
      <c r="AA76" s="43"/>
    </row>
    <row r="77" spans="6:27" x14ac:dyDescent="0.3">
      <c r="F77" s="1"/>
      <c r="O77" s="15"/>
      <c r="R77" s="16"/>
      <c r="AA77" s="43"/>
    </row>
    <row r="78" spans="6:27" x14ac:dyDescent="0.3">
      <c r="F78" s="1"/>
      <c r="O78" s="15"/>
      <c r="R78" s="16"/>
      <c r="AA78" s="43"/>
    </row>
    <row r="79" spans="6:27" x14ac:dyDescent="0.3">
      <c r="F79" s="1"/>
      <c r="O79" s="15"/>
      <c r="R79" s="16"/>
      <c r="AA79" s="43"/>
    </row>
    <row r="80" spans="6:27" x14ac:dyDescent="0.3">
      <c r="F80" s="1"/>
      <c r="O80" s="15"/>
      <c r="R80" s="16"/>
      <c r="AA80" s="43"/>
    </row>
    <row r="81" spans="6:27" x14ac:dyDescent="0.3">
      <c r="F81" s="1"/>
      <c r="O81" s="15"/>
      <c r="R81" s="16"/>
      <c r="AA81" s="43"/>
    </row>
    <row r="82" spans="6:27" x14ac:dyDescent="0.3">
      <c r="F82" s="1"/>
      <c r="O82" s="15"/>
      <c r="R82" s="16"/>
      <c r="AA82" s="43"/>
    </row>
    <row r="83" spans="6:27" x14ac:dyDescent="0.3">
      <c r="F83" s="1"/>
      <c r="O83" s="15"/>
      <c r="R83" s="16"/>
      <c r="AA83" s="43"/>
    </row>
    <row r="84" spans="6:27" x14ac:dyDescent="0.3">
      <c r="F84" s="1"/>
      <c r="O84" s="15"/>
      <c r="R84" s="16"/>
      <c r="AA84" s="43"/>
    </row>
    <row r="85" spans="6:27" x14ac:dyDescent="0.3">
      <c r="F85" s="1"/>
      <c r="O85" s="15"/>
      <c r="R85" s="16"/>
      <c r="AA85" s="43"/>
    </row>
    <row r="86" spans="6:27" x14ac:dyDescent="0.3">
      <c r="F86" s="1"/>
      <c r="O86" s="15"/>
      <c r="R86" s="16"/>
      <c r="AA86" s="43"/>
    </row>
    <row r="87" spans="6:27" x14ac:dyDescent="0.3">
      <c r="F87" s="1"/>
      <c r="O87" s="15"/>
      <c r="R87" s="16"/>
      <c r="AA87" s="43"/>
    </row>
    <row r="88" spans="6:27" x14ac:dyDescent="0.3">
      <c r="F88" s="1"/>
      <c r="O88" s="15"/>
      <c r="R88" s="16"/>
      <c r="AA88" s="43"/>
    </row>
    <row r="89" spans="6:27" x14ac:dyDescent="0.3">
      <c r="F89" s="1"/>
      <c r="O89" s="15"/>
      <c r="R89" s="16"/>
      <c r="AA89" s="43"/>
    </row>
    <row r="90" spans="6:27" x14ac:dyDescent="0.3">
      <c r="F90" s="1"/>
      <c r="O90" s="15"/>
      <c r="R90" s="16"/>
      <c r="AA90" s="43"/>
    </row>
    <row r="91" spans="6:27" x14ac:dyDescent="0.3">
      <c r="F91" s="1"/>
      <c r="O91" s="15"/>
      <c r="R91" s="16"/>
      <c r="AA91" s="43"/>
    </row>
    <row r="92" spans="6:27" x14ac:dyDescent="0.3">
      <c r="F92" s="1"/>
      <c r="O92" s="15"/>
      <c r="R92" s="16"/>
      <c r="AA92" s="43"/>
    </row>
    <row r="93" spans="6:27" x14ac:dyDescent="0.3">
      <c r="F93" s="1"/>
      <c r="O93" s="15"/>
      <c r="R93" s="16"/>
      <c r="AA93" s="43"/>
    </row>
    <row r="94" spans="6:27" x14ac:dyDescent="0.3">
      <c r="F94" s="1"/>
      <c r="O94" s="15"/>
      <c r="R94" s="16"/>
      <c r="AA94" s="43"/>
    </row>
    <row r="95" spans="6:27" x14ac:dyDescent="0.3">
      <c r="F95" s="1"/>
      <c r="O95" s="15"/>
      <c r="R95" s="16"/>
      <c r="AA95" s="43"/>
    </row>
    <row r="96" spans="6:27" x14ac:dyDescent="0.3">
      <c r="F96" s="1"/>
      <c r="O96" s="15"/>
      <c r="R96" s="16"/>
      <c r="AA96" s="43"/>
    </row>
    <row r="97" spans="6:27" x14ac:dyDescent="0.3">
      <c r="F97" s="1"/>
      <c r="O97" s="15"/>
      <c r="R97" s="16"/>
      <c r="AA97" s="43"/>
    </row>
    <row r="98" spans="6:27" x14ac:dyDescent="0.3">
      <c r="F98" s="1"/>
      <c r="O98" s="15"/>
      <c r="R98" s="16"/>
      <c r="AA98" s="43"/>
    </row>
    <row r="99" spans="6:27" x14ac:dyDescent="0.3">
      <c r="F99" s="1"/>
      <c r="O99" s="15"/>
      <c r="R99" s="16"/>
      <c r="AA99" s="43"/>
    </row>
    <row r="100" spans="6:27" x14ac:dyDescent="0.3">
      <c r="F100" s="1"/>
      <c r="O100" s="15"/>
      <c r="R100" s="16"/>
      <c r="AA100" s="43"/>
    </row>
    <row r="101" spans="6:27" x14ac:dyDescent="0.3">
      <c r="F101" s="1"/>
      <c r="O101" s="15"/>
      <c r="R101" s="16"/>
      <c r="AA101" s="43"/>
    </row>
    <row r="102" spans="6:27" x14ac:dyDescent="0.3">
      <c r="F102" s="1"/>
      <c r="O102" s="15"/>
      <c r="R102" s="16"/>
      <c r="AA102" s="43"/>
    </row>
    <row r="103" spans="6:27" x14ac:dyDescent="0.3">
      <c r="F103" s="1"/>
      <c r="O103" s="15"/>
      <c r="R103" s="16"/>
      <c r="AA103" s="43"/>
    </row>
    <row r="104" spans="6:27" x14ac:dyDescent="0.3">
      <c r="F104" s="1"/>
      <c r="O104" s="15"/>
      <c r="R104" s="16"/>
      <c r="AA104" s="43"/>
    </row>
    <row r="105" spans="6:27" x14ac:dyDescent="0.3">
      <c r="F105" s="1"/>
      <c r="O105" s="15"/>
      <c r="R105" s="16"/>
      <c r="AA105" s="43"/>
    </row>
    <row r="106" spans="6:27" x14ac:dyDescent="0.3">
      <c r="F106" s="1"/>
      <c r="O106" s="15"/>
      <c r="R106" s="16"/>
      <c r="AA106" s="43"/>
    </row>
    <row r="107" spans="6:27" x14ac:dyDescent="0.3">
      <c r="F107" s="1"/>
      <c r="O107" s="15"/>
      <c r="R107" s="16"/>
      <c r="AA107" s="43"/>
    </row>
    <row r="108" spans="6:27" x14ac:dyDescent="0.3">
      <c r="F108" s="1"/>
      <c r="O108" s="15"/>
      <c r="R108" s="16"/>
      <c r="AA108" s="43"/>
    </row>
    <row r="109" spans="6:27" x14ac:dyDescent="0.3">
      <c r="F109" s="1"/>
      <c r="O109" s="15"/>
      <c r="R109" s="16"/>
      <c r="AA109" s="43"/>
    </row>
    <row r="110" spans="6:27" x14ac:dyDescent="0.3">
      <c r="F110" s="1"/>
      <c r="O110" s="15"/>
      <c r="R110" s="16"/>
      <c r="AA110" s="43"/>
    </row>
    <row r="111" spans="6:27" x14ac:dyDescent="0.3">
      <c r="F111" s="1"/>
      <c r="O111" s="15"/>
      <c r="R111" s="16"/>
      <c r="AA111" s="43"/>
    </row>
    <row r="112" spans="6:27" x14ac:dyDescent="0.3">
      <c r="F112" s="1"/>
      <c r="O112" s="15"/>
      <c r="R112" s="16"/>
      <c r="AA112" s="43"/>
    </row>
    <row r="113" spans="6:27" x14ac:dyDescent="0.3">
      <c r="F113" s="1"/>
      <c r="O113" s="15"/>
      <c r="AA113" s="43"/>
    </row>
    <row r="114" spans="6:27" x14ac:dyDescent="0.3">
      <c r="F114" s="1"/>
      <c r="O114" s="15"/>
      <c r="AA114" s="43"/>
    </row>
    <row r="115" spans="6:27" x14ac:dyDescent="0.3">
      <c r="F115" s="1"/>
      <c r="O115" s="15"/>
      <c r="AA115" s="43"/>
    </row>
    <row r="116" spans="6:27" x14ac:dyDescent="0.3">
      <c r="F116" s="1"/>
      <c r="O116" s="15"/>
      <c r="AA116" s="43"/>
    </row>
    <row r="117" spans="6:27" x14ac:dyDescent="0.3">
      <c r="F117" s="1"/>
      <c r="O117" s="15"/>
      <c r="AA117" s="43"/>
    </row>
    <row r="118" spans="6:27" x14ac:dyDescent="0.3">
      <c r="F118" s="1"/>
      <c r="O118" s="15"/>
      <c r="AA118" s="43"/>
    </row>
    <row r="119" spans="6:27" x14ac:dyDescent="0.3">
      <c r="F119" s="1"/>
      <c r="O119" s="15"/>
      <c r="AA119" s="43"/>
    </row>
    <row r="120" spans="6:27" x14ac:dyDescent="0.3">
      <c r="F120" s="1"/>
      <c r="O120" s="15"/>
      <c r="AA120" s="43"/>
    </row>
    <row r="121" spans="6:27" x14ac:dyDescent="0.3">
      <c r="F121" s="1"/>
      <c r="O121" s="15"/>
      <c r="AA121" s="43"/>
    </row>
    <row r="122" spans="6:27" x14ac:dyDescent="0.3">
      <c r="F122" s="1"/>
      <c r="O122" s="15"/>
      <c r="AA122" s="43"/>
    </row>
    <row r="123" spans="6:27" x14ac:dyDescent="0.3">
      <c r="F123" s="1"/>
      <c r="O123" s="15"/>
      <c r="AA123" s="43"/>
    </row>
    <row r="124" spans="6:27" x14ac:dyDescent="0.3">
      <c r="F124" s="1"/>
      <c r="O124" s="15"/>
      <c r="AA124" s="43"/>
    </row>
    <row r="125" spans="6:27" x14ac:dyDescent="0.3">
      <c r="F125" s="1"/>
      <c r="O125" s="15"/>
      <c r="AA125" s="43"/>
    </row>
    <row r="126" spans="6:27" x14ac:dyDescent="0.3">
      <c r="F126" s="1"/>
      <c r="O126" s="15"/>
      <c r="AA126" s="43"/>
    </row>
    <row r="127" spans="6:27" x14ac:dyDescent="0.3">
      <c r="F127" s="1"/>
      <c r="O127" s="15"/>
      <c r="AA127" s="43"/>
    </row>
    <row r="128" spans="6:27" x14ac:dyDescent="0.3">
      <c r="F128" s="1"/>
      <c r="O128" s="15"/>
      <c r="AA128" s="43"/>
    </row>
    <row r="129" spans="6:27" x14ac:dyDescent="0.3">
      <c r="F129" s="1"/>
      <c r="O129" s="15"/>
      <c r="AA129" s="43"/>
    </row>
    <row r="130" spans="6:27" x14ac:dyDescent="0.3">
      <c r="F130" s="1"/>
      <c r="O130" s="15"/>
      <c r="AA130" s="43"/>
    </row>
    <row r="131" spans="6:27" x14ac:dyDescent="0.3">
      <c r="F131" s="1"/>
      <c r="O131" s="15"/>
      <c r="AA131" s="43"/>
    </row>
    <row r="132" spans="6:27" x14ac:dyDescent="0.3">
      <c r="F132" s="1"/>
      <c r="O132" s="15"/>
      <c r="AA132" s="43"/>
    </row>
    <row r="133" spans="6:27" x14ac:dyDescent="0.3">
      <c r="F133" s="1"/>
      <c r="O133" s="15"/>
      <c r="AA133" s="43"/>
    </row>
    <row r="134" spans="6:27" x14ac:dyDescent="0.3">
      <c r="F134" s="1"/>
      <c r="O134" s="15"/>
      <c r="AA134" s="43"/>
    </row>
    <row r="135" spans="6:27" x14ac:dyDescent="0.3">
      <c r="F135" s="1"/>
      <c r="O135" s="15"/>
      <c r="AA135" s="43"/>
    </row>
    <row r="136" spans="6:27" x14ac:dyDescent="0.3">
      <c r="F136" s="1"/>
      <c r="O136" s="15"/>
      <c r="AA136" s="43"/>
    </row>
    <row r="137" spans="6:27" x14ac:dyDescent="0.3">
      <c r="F137" s="1"/>
      <c r="O137" s="15"/>
      <c r="AA137" s="43"/>
    </row>
    <row r="138" spans="6:27" x14ac:dyDescent="0.3">
      <c r="F138" s="1"/>
      <c r="O138" s="15"/>
      <c r="AA138" s="43"/>
    </row>
    <row r="139" spans="6:27" x14ac:dyDescent="0.3">
      <c r="F139" s="1"/>
      <c r="O139" s="15"/>
      <c r="AA139" s="43"/>
    </row>
    <row r="140" spans="6:27" x14ac:dyDescent="0.3">
      <c r="F140" s="1"/>
      <c r="O140" s="15"/>
      <c r="AA140" s="43"/>
    </row>
    <row r="141" spans="6:27" x14ac:dyDescent="0.3">
      <c r="F141" s="1"/>
      <c r="O141" s="15"/>
      <c r="AA141" s="43"/>
    </row>
    <row r="142" spans="6:27" x14ac:dyDescent="0.3">
      <c r="F142" s="1"/>
      <c r="O142" s="15"/>
      <c r="AA142" s="43"/>
    </row>
    <row r="143" spans="6:27" x14ac:dyDescent="0.3">
      <c r="F143" s="1"/>
      <c r="O143" s="15"/>
      <c r="AA143" s="43"/>
    </row>
    <row r="144" spans="6:27" x14ac:dyDescent="0.3">
      <c r="F144" s="1"/>
      <c r="O144" s="15"/>
      <c r="AA144" s="43"/>
    </row>
    <row r="145" spans="6:27" x14ac:dyDescent="0.3">
      <c r="F145" s="1"/>
      <c r="O145" s="15"/>
      <c r="AA145" s="43"/>
    </row>
    <row r="146" spans="6:27" x14ac:dyDescent="0.3">
      <c r="F146" s="1"/>
      <c r="O146" s="15"/>
      <c r="AA146" s="43"/>
    </row>
    <row r="147" spans="6:27" x14ac:dyDescent="0.3">
      <c r="F147" s="1"/>
      <c r="O147" s="15"/>
      <c r="AA147" s="43"/>
    </row>
    <row r="148" spans="6:27" x14ac:dyDescent="0.3">
      <c r="F148" s="1"/>
      <c r="O148" s="15"/>
      <c r="AA148" s="43"/>
    </row>
    <row r="149" spans="6:27" x14ac:dyDescent="0.3">
      <c r="F149" s="1"/>
      <c r="O149" s="15"/>
      <c r="AA149" s="43"/>
    </row>
    <row r="150" spans="6:27" x14ac:dyDescent="0.3">
      <c r="F150" s="1"/>
      <c r="O150" s="15"/>
      <c r="AA150" s="43"/>
    </row>
    <row r="151" spans="6:27" x14ac:dyDescent="0.3">
      <c r="F151" s="1"/>
      <c r="O151" s="15"/>
      <c r="AA151" s="43"/>
    </row>
    <row r="152" spans="6:27" x14ac:dyDescent="0.3">
      <c r="F152" s="1"/>
      <c r="O152" s="15"/>
      <c r="AA152" s="43"/>
    </row>
    <row r="153" spans="6:27" x14ac:dyDescent="0.3">
      <c r="F153" s="1"/>
      <c r="O153" s="15"/>
      <c r="AA153" s="43"/>
    </row>
    <row r="154" spans="6:27" x14ac:dyDescent="0.3">
      <c r="F154" s="1"/>
      <c r="O154" s="15"/>
      <c r="AA154" s="43"/>
    </row>
    <row r="155" spans="6:27" x14ac:dyDescent="0.3">
      <c r="F155" s="1"/>
      <c r="O155" s="15"/>
      <c r="AA155" s="43"/>
    </row>
    <row r="156" spans="6:27" x14ac:dyDescent="0.3">
      <c r="F156" s="1"/>
      <c r="O156" s="15"/>
      <c r="AA156" s="43"/>
    </row>
    <row r="157" spans="6:27" x14ac:dyDescent="0.3">
      <c r="F157" s="1"/>
      <c r="O157" s="15"/>
      <c r="AA157" s="43"/>
    </row>
    <row r="158" spans="6:27" x14ac:dyDescent="0.3">
      <c r="F158" s="1"/>
      <c r="O158" s="15"/>
      <c r="AA158" s="43"/>
    </row>
    <row r="159" spans="6:27" x14ac:dyDescent="0.3">
      <c r="F159" s="1"/>
      <c r="O159" s="15"/>
      <c r="AA159" s="43"/>
    </row>
    <row r="160" spans="6:27" x14ac:dyDescent="0.3">
      <c r="F160" s="1"/>
      <c r="O160" s="15"/>
      <c r="AA160" s="43"/>
    </row>
    <row r="161" spans="6:27" x14ac:dyDescent="0.3">
      <c r="F161" s="1"/>
      <c r="O161" s="15"/>
      <c r="AA161" s="43"/>
    </row>
    <row r="162" spans="6:27" x14ac:dyDescent="0.3">
      <c r="F162" s="1"/>
      <c r="O162" s="15"/>
      <c r="AA162" s="43"/>
    </row>
    <row r="163" spans="6:27" x14ac:dyDescent="0.3">
      <c r="F163" s="1"/>
      <c r="O163" s="15"/>
      <c r="AA163" s="43"/>
    </row>
    <row r="164" spans="6:27" x14ac:dyDescent="0.3">
      <c r="F164" s="1"/>
      <c r="O164" s="15"/>
      <c r="AA164" s="43"/>
    </row>
    <row r="165" spans="6:27" x14ac:dyDescent="0.3">
      <c r="F165" s="1"/>
      <c r="O165" s="15"/>
      <c r="AA165" s="43"/>
    </row>
    <row r="166" spans="6:27" x14ac:dyDescent="0.3">
      <c r="F166" s="1"/>
      <c r="O166" s="15"/>
      <c r="AA166" s="43"/>
    </row>
    <row r="167" spans="6:27" x14ac:dyDescent="0.3">
      <c r="F167" s="1"/>
      <c r="O167" s="15"/>
      <c r="AA167" s="43"/>
    </row>
    <row r="168" spans="6:27" x14ac:dyDescent="0.3">
      <c r="F168" s="1"/>
      <c r="O168" s="15"/>
      <c r="AA168" s="43"/>
    </row>
    <row r="169" spans="6:27" x14ac:dyDescent="0.3">
      <c r="F169" s="1"/>
      <c r="O169" s="15"/>
      <c r="AA169" s="43"/>
    </row>
    <row r="170" spans="6:27" x14ac:dyDescent="0.3">
      <c r="F170" s="1"/>
      <c r="O170" s="15"/>
      <c r="AA170" s="43"/>
    </row>
    <row r="171" spans="6:27" x14ac:dyDescent="0.3">
      <c r="F171" s="1"/>
      <c r="O171" s="15"/>
      <c r="AA171" s="43"/>
    </row>
    <row r="172" spans="6:27" x14ac:dyDescent="0.3">
      <c r="F172" s="1"/>
      <c r="O172" s="15"/>
      <c r="AA172" s="43"/>
    </row>
    <row r="173" spans="6:27" x14ac:dyDescent="0.3">
      <c r="F173" s="1"/>
      <c r="O173" s="15"/>
      <c r="AA173" s="43"/>
    </row>
    <row r="174" spans="6:27" x14ac:dyDescent="0.3">
      <c r="F174" s="1"/>
      <c r="O174" s="15"/>
      <c r="AA174" s="43"/>
    </row>
    <row r="175" spans="6:27" x14ac:dyDescent="0.3">
      <c r="F175" s="1"/>
      <c r="O175" s="15"/>
      <c r="AA175" s="43"/>
    </row>
    <row r="176" spans="6:27" x14ac:dyDescent="0.3">
      <c r="F176" s="1"/>
      <c r="O176" s="15"/>
      <c r="AA176" s="43"/>
    </row>
    <row r="177" spans="6:27" x14ac:dyDescent="0.3">
      <c r="F177" s="1"/>
      <c r="O177" s="15"/>
      <c r="AA177" s="43"/>
    </row>
    <row r="178" spans="6:27" x14ac:dyDescent="0.3">
      <c r="F178" s="1"/>
      <c r="O178" s="15"/>
      <c r="AA178" s="43"/>
    </row>
    <row r="179" spans="6:27" x14ac:dyDescent="0.3">
      <c r="F179" s="1"/>
      <c r="O179" s="15"/>
      <c r="AA179" s="43"/>
    </row>
    <row r="180" spans="6:27" x14ac:dyDescent="0.3">
      <c r="F180" s="1"/>
      <c r="O180" s="15"/>
      <c r="AA180" s="43"/>
    </row>
    <row r="181" spans="6:27" x14ac:dyDescent="0.3">
      <c r="F181" s="1"/>
      <c r="O181" s="15"/>
      <c r="AA181" s="43"/>
    </row>
    <row r="182" spans="6:27" x14ac:dyDescent="0.3">
      <c r="F182" s="1"/>
      <c r="O182" s="15"/>
      <c r="AA182" s="43"/>
    </row>
    <row r="183" spans="6:27" x14ac:dyDescent="0.3">
      <c r="F183" s="1"/>
      <c r="O183" s="15"/>
      <c r="AA183" s="43"/>
    </row>
    <row r="184" spans="6:27" x14ac:dyDescent="0.3">
      <c r="F184" s="1"/>
      <c r="O184" s="15"/>
      <c r="AA184" s="43"/>
    </row>
    <row r="185" spans="6:27" x14ac:dyDescent="0.3">
      <c r="F185" s="1"/>
      <c r="O185" s="15"/>
      <c r="AA185" s="43"/>
    </row>
    <row r="186" spans="6:27" x14ac:dyDescent="0.3">
      <c r="F186" s="1"/>
      <c r="O186" s="15"/>
      <c r="AA186" s="43"/>
    </row>
    <row r="187" spans="6:27" x14ac:dyDescent="0.3">
      <c r="F187" s="1"/>
      <c r="O187" s="15"/>
      <c r="AA187" s="43"/>
    </row>
    <row r="188" spans="6:27" x14ac:dyDescent="0.3">
      <c r="F188" s="1"/>
      <c r="O188" s="15"/>
      <c r="AA188" s="43"/>
    </row>
    <row r="189" spans="6:27" x14ac:dyDescent="0.3">
      <c r="F189" s="1"/>
      <c r="O189" s="15"/>
      <c r="AA189" s="43"/>
    </row>
    <row r="190" spans="6:27" x14ac:dyDescent="0.3">
      <c r="F190" s="1"/>
      <c r="O190" s="15"/>
      <c r="AA190" s="43"/>
    </row>
    <row r="191" spans="6:27" x14ac:dyDescent="0.3">
      <c r="F191" s="1"/>
      <c r="O191" s="15"/>
      <c r="AA191" s="43"/>
    </row>
    <row r="192" spans="6:27" x14ac:dyDescent="0.3">
      <c r="F192" s="1"/>
      <c r="O192" s="15"/>
      <c r="AA192" s="43"/>
    </row>
    <row r="193" spans="6:27" x14ac:dyDescent="0.3">
      <c r="F193" s="1"/>
      <c r="O193" s="15"/>
      <c r="AA193" s="43"/>
    </row>
    <row r="194" spans="6:27" x14ac:dyDescent="0.3">
      <c r="F194" s="1"/>
      <c r="O194" s="15"/>
      <c r="AA194" s="43"/>
    </row>
    <row r="195" spans="6:27" x14ac:dyDescent="0.3">
      <c r="F195" s="1"/>
      <c r="O195" s="15"/>
      <c r="AA195" s="43"/>
    </row>
    <row r="196" spans="6:27" x14ac:dyDescent="0.3">
      <c r="F196" s="1"/>
      <c r="O196" s="15"/>
      <c r="AA196" s="43"/>
    </row>
    <row r="197" spans="6:27" x14ac:dyDescent="0.3">
      <c r="F197" s="1"/>
      <c r="O197" s="15"/>
      <c r="AA197" s="43"/>
    </row>
    <row r="198" spans="6:27" x14ac:dyDescent="0.3">
      <c r="F198" s="1"/>
      <c r="O198" s="15"/>
      <c r="AA198" s="43"/>
    </row>
    <row r="199" spans="6:27" x14ac:dyDescent="0.3">
      <c r="F199" s="1"/>
      <c r="O199" s="15"/>
      <c r="AA199" s="43"/>
    </row>
    <row r="200" spans="6:27" x14ac:dyDescent="0.3">
      <c r="F200" s="1"/>
      <c r="O200" s="15"/>
      <c r="AA200" s="43"/>
    </row>
    <row r="201" spans="6:27" x14ac:dyDescent="0.3">
      <c r="F201" s="1"/>
      <c r="O201" s="15"/>
      <c r="AA201" s="43"/>
    </row>
    <row r="202" spans="6:27" x14ac:dyDescent="0.3">
      <c r="F202" s="1"/>
      <c r="O202" s="15"/>
      <c r="AA202" s="43"/>
    </row>
    <row r="203" spans="6:27" x14ac:dyDescent="0.3">
      <c r="F203" s="1"/>
      <c r="O203" s="15"/>
      <c r="AA203" s="43"/>
    </row>
    <row r="204" spans="6:27" x14ac:dyDescent="0.3">
      <c r="F204" s="1"/>
      <c r="O204" s="15"/>
      <c r="AA204" s="43"/>
    </row>
    <row r="205" spans="6:27" x14ac:dyDescent="0.3">
      <c r="F205" s="1"/>
      <c r="O205" s="15"/>
      <c r="AA205" s="43"/>
    </row>
    <row r="206" spans="6:27" x14ac:dyDescent="0.3">
      <c r="F206" s="1"/>
      <c r="O206" s="15"/>
      <c r="AA206" s="43"/>
    </row>
    <row r="207" spans="6:27" x14ac:dyDescent="0.3">
      <c r="F207" s="1"/>
      <c r="O207" s="15"/>
      <c r="AA207" s="43"/>
    </row>
    <row r="208" spans="6:27" x14ac:dyDescent="0.3">
      <c r="F208" s="1"/>
      <c r="O208" s="15"/>
      <c r="AA208" s="43"/>
    </row>
    <row r="209" spans="6:27" x14ac:dyDescent="0.3">
      <c r="F209" s="1"/>
      <c r="O209" s="15"/>
      <c r="AA209" s="43"/>
    </row>
    <row r="210" spans="6:27" x14ac:dyDescent="0.3">
      <c r="F210" s="1"/>
      <c r="O210" s="15"/>
      <c r="AA210" s="43"/>
    </row>
    <row r="211" spans="6:27" x14ac:dyDescent="0.3">
      <c r="F211" s="1"/>
      <c r="O211" s="15"/>
      <c r="AA211" s="43"/>
    </row>
    <row r="212" spans="6:27" x14ac:dyDescent="0.3">
      <c r="F212" s="1"/>
      <c r="O212" s="15"/>
      <c r="AA212" s="43"/>
    </row>
    <row r="213" spans="6:27" x14ac:dyDescent="0.3">
      <c r="F213" s="1"/>
      <c r="O213" s="15"/>
      <c r="AA213" s="43"/>
    </row>
    <row r="214" spans="6:27" x14ac:dyDescent="0.3">
      <c r="F214" s="1"/>
      <c r="O214" s="15"/>
      <c r="AA214" s="43"/>
    </row>
    <row r="215" spans="6:27" x14ac:dyDescent="0.3">
      <c r="F215" s="1"/>
      <c r="O215" s="15"/>
      <c r="AA215" s="43"/>
    </row>
    <row r="216" spans="6:27" x14ac:dyDescent="0.3">
      <c r="F216" s="1"/>
      <c r="O216" s="15"/>
      <c r="AA216" s="43"/>
    </row>
    <row r="217" spans="6:27" x14ac:dyDescent="0.3">
      <c r="F217" s="1"/>
      <c r="O217" s="15"/>
      <c r="AA217" s="43"/>
    </row>
    <row r="218" spans="6:27" x14ac:dyDescent="0.3">
      <c r="F218" s="1"/>
      <c r="O218" s="15"/>
      <c r="AA218" s="43"/>
    </row>
    <row r="219" spans="6:27" x14ac:dyDescent="0.3">
      <c r="F219" s="1"/>
      <c r="O219" s="15"/>
      <c r="AA219" s="43"/>
    </row>
    <row r="220" spans="6:27" x14ac:dyDescent="0.3">
      <c r="F220" s="1"/>
      <c r="O220" s="15"/>
      <c r="AA220" s="43"/>
    </row>
    <row r="221" spans="6:27" x14ac:dyDescent="0.3">
      <c r="F221" s="1"/>
      <c r="O221" s="15"/>
      <c r="AA221" s="43"/>
    </row>
    <row r="222" spans="6:27" x14ac:dyDescent="0.3">
      <c r="F222" s="1"/>
      <c r="O222" s="15"/>
      <c r="AA222" s="43"/>
    </row>
    <row r="223" spans="6:27" x14ac:dyDescent="0.3">
      <c r="F223" s="1"/>
      <c r="O223" s="15"/>
      <c r="AA223" s="43"/>
    </row>
    <row r="224" spans="6:27" x14ac:dyDescent="0.3">
      <c r="F224" s="1"/>
      <c r="O224" s="15"/>
      <c r="AA224" s="43"/>
    </row>
    <row r="225" spans="6:27" x14ac:dyDescent="0.3">
      <c r="F225" s="1"/>
      <c r="O225" s="15"/>
      <c r="AA225" s="43"/>
    </row>
    <row r="226" spans="6:27" x14ac:dyDescent="0.3">
      <c r="F226" s="1"/>
      <c r="O226" s="15"/>
      <c r="AA226" s="43"/>
    </row>
    <row r="227" spans="6:27" x14ac:dyDescent="0.3">
      <c r="F227" s="1"/>
      <c r="O227" s="15"/>
      <c r="AA227" s="43"/>
    </row>
    <row r="228" spans="6:27" x14ac:dyDescent="0.3">
      <c r="F228" s="1"/>
      <c r="O228" s="15"/>
      <c r="AA228" s="43"/>
    </row>
    <row r="229" spans="6:27" x14ac:dyDescent="0.3">
      <c r="F229" s="1"/>
      <c r="O229" s="15"/>
      <c r="AA229" s="43"/>
    </row>
    <row r="230" spans="6:27" x14ac:dyDescent="0.3">
      <c r="F230" s="1"/>
      <c r="O230" s="15"/>
      <c r="AA230" s="43"/>
    </row>
    <row r="231" spans="6:27" x14ac:dyDescent="0.3">
      <c r="F231" s="1"/>
      <c r="O231" s="15"/>
      <c r="AA231" s="43"/>
    </row>
    <row r="232" spans="6:27" x14ac:dyDescent="0.3">
      <c r="F232" s="1"/>
      <c r="O232" s="15"/>
      <c r="AA232" s="43"/>
    </row>
    <row r="233" spans="6:27" x14ac:dyDescent="0.3">
      <c r="F233" s="1"/>
      <c r="O233" s="15"/>
      <c r="AA233" s="43"/>
    </row>
    <row r="234" spans="6:27" x14ac:dyDescent="0.3">
      <c r="F234" s="1"/>
      <c r="O234" s="15"/>
      <c r="AA234" s="43"/>
    </row>
    <row r="235" spans="6:27" x14ac:dyDescent="0.3">
      <c r="F235" s="1"/>
      <c r="O235" s="15"/>
      <c r="AA235" s="43"/>
    </row>
    <row r="236" spans="6:27" x14ac:dyDescent="0.3">
      <c r="F236" s="1"/>
      <c r="O236" s="15"/>
      <c r="AA236" s="43"/>
    </row>
    <row r="237" spans="6:27" x14ac:dyDescent="0.3">
      <c r="F237" s="1"/>
      <c r="O237" s="15"/>
      <c r="AA237" s="43"/>
    </row>
    <row r="238" spans="6:27" x14ac:dyDescent="0.3">
      <c r="F238" s="1"/>
      <c r="O238" s="15"/>
      <c r="AA238" s="43"/>
    </row>
    <row r="239" spans="6:27" x14ac:dyDescent="0.3">
      <c r="F239" s="1"/>
      <c r="O239" s="15"/>
      <c r="AA239" s="43"/>
    </row>
    <row r="240" spans="6:27" x14ac:dyDescent="0.3">
      <c r="F240" s="1"/>
      <c r="O240" s="15"/>
      <c r="AA240" s="43"/>
    </row>
    <row r="241" spans="6:27" x14ac:dyDescent="0.3">
      <c r="F241" s="1"/>
      <c r="O241" s="15"/>
      <c r="AA241" s="43"/>
    </row>
    <row r="242" spans="6:27" x14ac:dyDescent="0.3">
      <c r="F242" s="1"/>
      <c r="O242" s="15"/>
      <c r="AA242" s="43"/>
    </row>
    <row r="243" spans="6:27" x14ac:dyDescent="0.3">
      <c r="F243" s="1"/>
      <c r="O243" s="15"/>
      <c r="AA243" s="43"/>
    </row>
    <row r="244" spans="6:27" x14ac:dyDescent="0.3">
      <c r="F244" s="1"/>
      <c r="O244" s="15"/>
      <c r="AA244" s="43"/>
    </row>
    <row r="245" spans="6:27" x14ac:dyDescent="0.3">
      <c r="F245" s="1"/>
      <c r="O245" s="15"/>
      <c r="AA245" s="43"/>
    </row>
    <row r="246" spans="6:27" x14ac:dyDescent="0.3">
      <c r="F246" s="1"/>
      <c r="O246" s="15"/>
      <c r="AA246" s="43"/>
    </row>
    <row r="247" spans="6:27" x14ac:dyDescent="0.3">
      <c r="F247" s="1"/>
      <c r="O247" s="15"/>
      <c r="AA247" s="43"/>
    </row>
    <row r="248" spans="6:27" x14ac:dyDescent="0.3">
      <c r="F248" s="1"/>
      <c r="O248" s="15"/>
      <c r="AA248" s="43"/>
    </row>
    <row r="249" spans="6:27" x14ac:dyDescent="0.3">
      <c r="F249" s="1"/>
      <c r="O249" s="15"/>
      <c r="AA249" s="43"/>
    </row>
    <row r="250" spans="6:27" x14ac:dyDescent="0.3">
      <c r="F250" s="1"/>
      <c r="O250" s="15"/>
      <c r="AA250" s="43"/>
    </row>
    <row r="251" spans="6:27" x14ac:dyDescent="0.3">
      <c r="F251" s="1"/>
      <c r="O251" s="15"/>
      <c r="AA251" s="43"/>
    </row>
    <row r="252" spans="6:27" x14ac:dyDescent="0.3">
      <c r="F252" s="1"/>
      <c r="O252" s="15"/>
      <c r="AA252" s="43"/>
    </row>
    <row r="253" spans="6:27" x14ac:dyDescent="0.3">
      <c r="F253" s="1"/>
      <c r="O253" s="15"/>
      <c r="AA253" s="43"/>
    </row>
    <row r="254" spans="6:27" x14ac:dyDescent="0.3">
      <c r="F254" s="1"/>
      <c r="O254" s="15"/>
      <c r="AA254" s="43"/>
    </row>
    <row r="255" spans="6:27" x14ac:dyDescent="0.3">
      <c r="F255" s="1"/>
      <c r="O255" s="15"/>
      <c r="AA255" s="43"/>
    </row>
    <row r="256" spans="6:27" x14ac:dyDescent="0.3">
      <c r="F256" s="1"/>
      <c r="O256" s="15"/>
      <c r="AA256" s="43"/>
    </row>
    <row r="257" spans="6:27" x14ac:dyDescent="0.3">
      <c r="F257" s="1"/>
      <c r="O257" s="15"/>
      <c r="AA257" s="43"/>
    </row>
    <row r="258" spans="6:27" x14ac:dyDescent="0.3">
      <c r="F258" s="1"/>
      <c r="O258" s="15"/>
      <c r="AA258" s="43"/>
    </row>
    <row r="259" spans="6:27" x14ac:dyDescent="0.3">
      <c r="F259" s="1"/>
      <c r="O259" s="15"/>
      <c r="AA259" s="43"/>
    </row>
    <row r="260" spans="6:27" x14ac:dyDescent="0.3">
      <c r="F260" s="1"/>
      <c r="O260" s="15"/>
      <c r="AA260" s="43"/>
    </row>
    <row r="261" spans="6:27" x14ac:dyDescent="0.3">
      <c r="F261" s="1"/>
      <c r="O261" s="15"/>
      <c r="AA261" s="43"/>
    </row>
    <row r="262" spans="6:27" x14ac:dyDescent="0.3">
      <c r="F262" s="1"/>
      <c r="O262" s="15"/>
      <c r="AA262" s="43"/>
    </row>
    <row r="263" spans="6:27" x14ac:dyDescent="0.3">
      <c r="F263" s="1"/>
      <c r="O263" s="15"/>
      <c r="AA263" s="43"/>
    </row>
    <row r="264" spans="6:27" x14ac:dyDescent="0.3">
      <c r="F264" s="1"/>
      <c r="O264" s="15"/>
      <c r="AA264" s="43"/>
    </row>
    <row r="265" spans="6:27" x14ac:dyDescent="0.3">
      <c r="F265" s="1"/>
      <c r="O265" s="15"/>
      <c r="AA265" s="43"/>
    </row>
    <row r="266" spans="6:27" x14ac:dyDescent="0.3">
      <c r="F266" s="1"/>
      <c r="O266" s="15"/>
      <c r="AA266" s="43"/>
    </row>
    <row r="267" spans="6:27" x14ac:dyDescent="0.3">
      <c r="F267" s="1"/>
      <c r="O267" s="15"/>
      <c r="AA267" s="43"/>
    </row>
    <row r="268" spans="6:27" x14ac:dyDescent="0.3">
      <c r="F268" s="1"/>
      <c r="O268" s="15"/>
      <c r="AA268" s="43"/>
    </row>
    <row r="269" spans="6:27" x14ac:dyDescent="0.3">
      <c r="F269" s="1"/>
      <c r="O269" s="15"/>
      <c r="AA269" s="43"/>
    </row>
    <row r="270" spans="6:27" x14ac:dyDescent="0.3">
      <c r="F270" s="1"/>
      <c r="O270" s="15"/>
      <c r="AA270" s="43"/>
    </row>
    <row r="271" spans="6:27" x14ac:dyDescent="0.3">
      <c r="F271" s="1"/>
      <c r="O271" s="15"/>
      <c r="AA271" s="43"/>
    </row>
    <row r="272" spans="6:27" x14ac:dyDescent="0.3">
      <c r="F272" s="1"/>
      <c r="O272" s="15"/>
      <c r="AA272" s="43"/>
    </row>
    <row r="273" spans="6:27" x14ac:dyDescent="0.3">
      <c r="F273" s="1"/>
      <c r="O273" s="15"/>
      <c r="AA273" s="43"/>
    </row>
    <row r="274" spans="6:27" x14ac:dyDescent="0.3">
      <c r="F274" s="1"/>
      <c r="O274" s="15"/>
      <c r="AA274" s="43"/>
    </row>
    <row r="275" spans="6:27" x14ac:dyDescent="0.3">
      <c r="F275" s="1"/>
      <c r="O275" s="15"/>
      <c r="AA275" s="43"/>
    </row>
    <row r="276" spans="6:27" x14ac:dyDescent="0.3">
      <c r="F276" s="1"/>
      <c r="O276" s="15"/>
      <c r="AA276" s="43"/>
    </row>
    <row r="277" spans="6:27" x14ac:dyDescent="0.3">
      <c r="F277" s="1"/>
      <c r="O277" s="15"/>
      <c r="AA277" s="43"/>
    </row>
    <row r="278" spans="6:27" x14ac:dyDescent="0.3">
      <c r="F278" s="1"/>
      <c r="O278" s="15"/>
      <c r="AA278" s="43"/>
    </row>
    <row r="279" spans="6:27" x14ac:dyDescent="0.3">
      <c r="F279" s="1"/>
      <c r="O279" s="15"/>
      <c r="AA279" s="43"/>
    </row>
    <row r="280" spans="6:27" x14ac:dyDescent="0.3">
      <c r="F280" s="1"/>
      <c r="O280" s="15"/>
      <c r="AA280" s="43"/>
    </row>
    <row r="281" spans="6:27" x14ac:dyDescent="0.3">
      <c r="F281" s="1"/>
      <c r="O281" s="15"/>
      <c r="AA281" s="43"/>
    </row>
    <row r="282" spans="6:27" x14ac:dyDescent="0.3">
      <c r="F282" s="1"/>
      <c r="O282" s="15"/>
      <c r="AA282" s="43"/>
    </row>
    <row r="283" spans="6:27" x14ac:dyDescent="0.3">
      <c r="F283" s="1"/>
      <c r="O283" s="15"/>
      <c r="AA283" s="43"/>
    </row>
    <row r="284" spans="6:27" x14ac:dyDescent="0.3">
      <c r="F284" s="1"/>
      <c r="O284" s="15"/>
      <c r="AA284" s="43"/>
    </row>
    <row r="285" spans="6:27" x14ac:dyDescent="0.3">
      <c r="F285" s="1"/>
      <c r="O285" s="15"/>
      <c r="AA285" s="43"/>
    </row>
    <row r="286" spans="6:27" x14ac:dyDescent="0.3">
      <c r="F286" s="1"/>
      <c r="O286" s="15"/>
      <c r="AA286" s="43"/>
    </row>
    <row r="287" spans="6:27" x14ac:dyDescent="0.3">
      <c r="F287" s="1"/>
      <c r="O287" s="15"/>
      <c r="AA287" s="43"/>
    </row>
    <row r="288" spans="6:27" x14ac:dyDescent="0.3">
      <c r="F288" s="1"/>
      <c r="O288" s="15"/>
      <c r="AA288" s="43"/>
    </row>
    <row r="289" spans="6:27" x14ac:dyDescent="0.3">
      <c r="F289" s="1"/>
      <c r="O289" s="15"/>
      <c r="AA289" s="43"/>
    </row>
    <row r="290" spans="6:27" x14ac:dyDescent="0.3">
      <c r="F290" s="1"/>
      <c r="O290" s="15"/>
      <c r="AA290" s="43"/>
    </row>
    <row r="291" spans="6:27" x14ac:dyDescent="0.3">
      <c r="F291" s="1"/>
      <c r="O291" s="15"/>
      <c r="AA291" s="43"/>
    </row>
    <row r="292" spans="6:27" x14ac:dyDescent="0.3">
      <c r="F292" s="1"/>
      <c r="O292" s="15"/>
      <c r="AA292" s="43"/>
    </row>
    <row r="293" spans="6:27" x14ac:dyDescent="0.3">
      <c r="F293" s="1"/>
      <c r="O293" s="15"/>
      <c r="AA293" s="43"/>
    </row>
    <row r="294" spans="6:27" x14ac:dyDescent="0.3">
      <c r="F294" s="1"/>
      <c r="O294" s="15"/>
      <c r="AA294" s="43"/>
    </row>
    <row r="295" spans="6:27" x14ac:dyDescent="0.3">
      <c r="F295" s="1"/>
      <c r="O295" s="15"/>
      <c r="AA295" s="43"/>
    </row>
    <row r="296" spans="6:27" x14ac:dyDescent="0.3">
      <c r="F296" s="1"/>
      <c r="O296" s="15"/>
      <c r="AA296" s="43"/>
    </row>
    <row r="297" spans="6:27" x14ac:dyDescent="0.3">
      <c r="F297" s="1"/>
      <c r="O297" s="15"/>
      <c r="AA297" s="43"/>
    </row>
    <row r="298" spans="6:27" x14ac:dyDescent="0.3">
      <c r="F298" s="1"/>
      <c r="O298" s="15"/>
      <c r="AA298" s="43"/>
    </row>
    <row r="299" spans="6:27" x14ac:dyDescent="0.3">
      <c r="F299" s="1"/>
      <c r="O299" s="15"/>
      <c r="AA299" s="43"/>
    </row>
    <row r="300" spans="6:27" x14ac:dyDescent="0.3">
      <c r="F300" s="1"/>
      <c r="O300" s="15"/>
      <c r="AA300" s="43"/>
    </row>
    <row r="301" spans="6:27" x14ac:dyDescent="0.3">
      <c r="F301" s="1"/>
      <c r="O301" s="15"/>
      <c r="AA301" s="43"/>
    </row>
    <row r="302" spans="6:27" x14ac:dyDescent="0.3">
      <c r="F302" s="1"/>
      <c r="O302" s="15"/>
      <c r="AA302" s="43"/>
    </row>
    <row r="303" spans="6:27" x14ac:dyDescent="0.3">
      <c r="F303" s="1"/>
      <c r="O303" s="15"/>
      <c r="AA303" s="43"/>
    </row>
    <row r="304" spans="6:27" x14ac:dyDescent="0.3">
      <c r="F304" s="1"/>
      <c r="O304" s="15"/>
      <c r="AA304" s="43"/>
    </row>
    <row r="305" spans="6:27" x14ac:dyDescent="0.3">
      <c r="F305" s="1"/>
      <c r="O305" s="15"/>
      <c r="AA305" s="43"/>
    </row>
    <row r="306" spans="6:27" x14ac:dyDescent="0.3">
      <c r="F306" s="1"/>
      <c r="O306" s="15"/>
      <c r="AA306" s="43"/>
    </row>
    <row r="307" spans="6:27" x14ac:dyDescent="0.3">
      <c r="F307" s="1"/>
      <c r="O307" s="15"/>
      <c r="AA307" s="43"/>
    </row>
    <row r="308" spans="6:27" x14ac:dyDescent="0.3">
      <c r="F308" s="1"/>
      <c r="O308" s="15"/>
      <c r="AA308" s="43"/>
    </row>
    <row r="309" spans="6:27" x14ac:dyDescent="0.3">
      <c r="F309" s="1"/>
      <c r="O309" s="15"/>
      <c r="AA309" s="43"/>
    </row>
    <row r="310" spans="6:27" x14ac:dyDescent="0.3">
      <c r="F310" s="1"/>
      <c r="O310" s="15"/>
      <c r="AA310" s="43"/>
    </row>
    <row r="311" spans="6:27" x14ac:dyDescent="0.3">
      <c r="F311" s="1"/>
      <c r="O311" s="15"/>
      <c r="AA311" s="43"/>
    </row>
    <row r="312" spans="6:27" x14ac:dyDescent="0.3">
      <c r="F312" s="1"/>
      <c r="O312" s="15"/>
      <c r="AA312" s="43"/>
    </row>
    <row r="313" spans="6:27" x14ac:dyDescent="0.3">
      <c r="F313" s="1"/>
      <c r="O313" s="15"/>
      <c r="AA313" s="43"/>
    </row>
    <row r="314" spans="6:27" x14ac:dyDescent="0.3">
      <c r="F314" s="1"/>
      <c r="O314" s="15"/>
      <c r="AA314" s="43"/>
    </row>
    <row r="315" spans="6:27" x14ac:dyDescent="0.3">
      <c r="F315" s="1"/>
      <c r="O315" s="15"/>
      <c r="AA315" s="43"/>
    </row>
    <row r="316" spans="6:27" x14ac:dyDescent="0.3">
      <c r="F316" s="1"/>
      <c r="O316" s="15"/>
      <c r="AA316" s="43"/>
    </row>
    <row r="317" spans="6:27" x14ac:dyDescent="0.3">
      <c r="F317" s="1"/>
      <c r="O317" s="15"/>
      <c r="AA317" s="43"/>
    </row>
    <row r="318" spans="6:27" x14ac:dyDescent="0.3">
      <c r="F318" s="1"/>
      <c r="O318" s="15"/>
      <c r="AA318" s="43"/>
    </row>
    <row r="319" spans="6:27" x14ac:dyDescent="0.3">
      <c r="F319" s="1"/>
      <c r="O319" s="15"/>
      <c r="AA319" s="43"/>
    </row>
    <row r="320" spans="6:27" x14ac:dyDescent="0.3">
      <c r="F320" s="1"/>
      <c r="O320" s="15"/>
      <c r="AA320" s="43"/>
    </row>
    <row r="321" spans="6:27" x14ac:dyDescent="0.3">
      <c r="F321" s="1"/>
      <c r="O321" s="15"/>
      <c r="AA321" s="43"/>
    </row>
    <row r="322" spans="6:27" x14ac:dyDescent="0.3">
      <c r="F322" s="1"/>
      <c r="O322" s="15"/>
      <c r="AA322" s="43"/>
    </row>
    <row r="323" spans="6:27" x14ac:dyDescent="0.3">
      <c r="F323" s="1"/>
      <c r="O323" s="15"/>
      <c r="AA323" s="43"/>
    </row>
    <row r="324" spans="6:27" x14ac:dyDescent="0.3">
      <c r="F324" s="1"/>
      <c r="O324" s="15"/>
      <c r="AA324" s="43"/>
    </row>
    <row r="325" spans="6:27" x14ac:dyDescent="0.3">
      <c r="F325" s="1"/>
      <c r="O325" s="15"/>
      <c r="AA325" s="43"/>
    </row>
    <row r="326" spans="6:27" x14ac:dyDescent="0.3">
      <c r="F326" s="1"/>
      <c r="O326" s="15"/>
      <c r="AA326" s="43"/>
    </row>
    <row r="327" spans="6:27" x14ac:dyDescent="0.3">
      <c r="F327" s="1"/>
      <c r="O327" s="15"/>
      <c r="AA327" s="43"/>
    </row>
    <row r="328" spans="6:27" x14ac:dyDescent="0.3">
      <c r="F328" s="1"/>
      <c r="O328" s="15"/>
      <c r="AA328" s="43"/>
    </row>
    <row r="329" spans="6:27" x14ac:dyDescent="0.3">
      <c r="F329" s="1"/>
      <c r="O329" s="15"/>
      <c r="AA329" s="43"/>
    </row>
    <row r="330" spans="6:27" x14ac:dyDescent="0.3">
      <c r="F330" s="1"/>
      <c r="O330" s="15"/>
      <c r="AA330" s="43"/>
    </row>
    <row r="331" spans="6:27" x14ac:dyDescent="0.3">
      <c r="F331" s="1"/>
      <c r="O331" s="15"/>
      <c r="AA331" s="43"/>
    </row>
    <row r="332" spans="6:27" x14ac:dyDescent="0.3">
      <c r="F332" s="1"/>
      <c r="O332" s="15"/>
      <c r="AA332" s="43"/>
    </row>
    <row r="333" spans="6:27" x14ac:dyDescent="0.3">
      <c r="F333" s="1"/>
      <c r="O333" s="15"/>
      <c r="AA333" s="43"/>
    </row>
    <row r="334" spans="6:27" x14ac:dyDescent="0.3">
      <c r="F334" s="1"/>
      <c r="O334" s="15"/>
      <c r="AA334" s="43"/>
    </row>
    <row r="335" spans="6:27" x14ac:dyDescent="0.3">
      <c r="F335" s="1"/>
      <c r="O335" s="15"/>
      <c r="AA335" s="43"/>
    </row>
    <row r="336" spans="6:27" x14ac:dyDescent="0.3">
      <c r="F336" s="1"/>
      <c r="O336" s="15"/>
      <c r="AA336" s="43"/>
    </row>
    <row r="337" spans="6:27" x14ac:dyDescent="0.3">
      <c r="F337" s="1"/>
      <c r="O337" s="15"/>
      <c r="AA337" s="43"/>
    </row>
    <row r="338" spans="6:27" x14ac:dyDescent="0.3">
      <c r="F338" s="1"/>
      <c r="O338" s="15"/>
      <c r="AA338" s="43"/>
    </row>
    <row r="339" spans="6:27" x14ac:dyDescent="0.3">
      <c r="F339" s="1"/>
      <c r="O339" s="15"/>
      <c r="AA339" s="43"/>
    </row>
    <row r="340" spans="6:27" x14ac:dyDescent="0.3">
      <c r="F340" s="1"/>
      <c r="O340" s="15"/>
      <c r="AA340" s="43"/>
    </row>
    <row r="341" spans="6:27" x14ac:dyDescent="0.3">
      <c r="F341" s="1"/>
      <c r="O341" s="15"/>
      <c r="AA341" s="43"/>
    </row>
    <row r="342" spans="6:27" x14ac:dyDescent="0.3">
      <c r="F342" s="1"/>
      <c r="O342" s="15"/>
      <c r="AA342" s="43"/>
    </row>
    <row r="343" spans="6:27" x14ac:dyDescent="0.3">
      <c r="F343" s="1"/>
      <c r="O343" s="15"/>
      <c r="AA343" s="43"/>
    </row>
    <row r="344" spans="6:27" x14ac:dyDescent="0.3">
      <c r="F344" s="1"/>
      <c r="O344" s="15"/>
      <c r="AA344" s="43"/>
    </row>
    <row r="345" spans="6:27" x14ac:dyDescent="0.3">
      <c r="F345" s="1"/>
      <c r="O345" s="15"/>
      <c r="AA345" s="43"/>
    </row>
    <row r="346" spans="6:27" x14ac:dyDescent="0.3">
      <c r="F346" s="1"/>
      <c r="O346" s="15"/>
      <c r="AA346" s="43"/>
    </row>
    <row r="347" spans="6:27" x14ac:dyDescent="0.3">
      <c r="F347" s="1"/>
      <c r="O347" s="15"/>
      <c r="AA347" s="43"/>
    </row>
    <row r="348" spans="6:27" x14ac:dyDescent="0.3">
      <c r="F348" s="1"/>
      <c r="O348" s="15"/>
      <c r="AA348" s="43"/>
    </row>
    <row r="349" spans="6:27" x14ac:dyDescent="0.3">
      <c r="F349" s="1"/>
      <c r="O349" s="15"/>
      <c r="AA349" s="43"/>
    </row>
    <row r="350" spans="6:27" x14ac:dyDescent="0.3">
      <c r="F350" s="1"/>
      <c r="O350" s="15"/>
      <c r="AA350" s="43"/>
    </row>
    <row r="351" spans="6:27" x14ac:dyDescent="0.3">
      <c r="F351" s="1"/>
      <c r="O351" s="15"/>
      <c r="AA351" s="43"/>
    </row>
    <row r="352" spans="6:27" x14ac:dyDescent="0.3">
      <c r="F352" s="1"/>
      <c r="O352" s="15"/>
      <c r="AA352" s="43"/>
    </row>
    <row r="353" spans="6:27" x14ac:dyDescent="0.3">
      <c r="F353" s="1"/>
      <c r="O353" s="15"/>
      <c r="AA353" s="43"/>
    </row>
    <row r="354" spans="6:27" x14ac:dyDescent="0.3">
      <c r="F354" s="1"/>
      <c r="O354" s="15"/>
      <c r="AA354" s="43"/>
    </row>
    <row r="355" spans="6:27" x14ac:dyDescent="0.3">
      <c r="F355" s="1"/>
      <c r="O355" s="15"/>
      <c r="AA355" s="43"/>
    </row>
    <row r="356" spans="6:27" x14ac:dyDescent="0.3">
      <c r="F356" s="1"/>
      <c r="O356" s="15"/>
      <c r="AA356" s="43"/>
    </row>
    <row r="357" spans="6:27" x14ac:dyDescent="0.3">
      <c r="F357" s="1"/>
      <c r="O357" s="15"/>
      <c r="AA357" s="43"/>
    </row>
    <row r="358" spans="6:27" x14ac:dyDescent="0.3">
      <c r="F358" s="1"/>
      <c r="O358" s="15"/>
      <c r="AA358" s="43"/>
    </row>
    <row r="359" spans="6:27" x14ac:dyDescent="0.3">
      <c r="F359" s="1"/>
      <c r="O359" s="15"/>
      <c r="AA359" s="43"/>
    </row>
    <row r="360" spans="6:27" x14ac:dyDescent="0.3">
      <c r="F360" s="1"/>
      <c r="O360" s="15"/>
      <c r="AA360" s="43"/>
    </row>
    <row r="361" spans="6:27" x14ac:dyDescent="0.3">
      <c r="F361" s="1"/>
      <c r="O361" s="15"/>
      <c r="AA361" s="43"/>
    </row>
    <row r="362" spans="6:27" x14ac:dyDescent="0.3">
      <c r="F362" s="1"/>
      <c r="O362" s="15"/>
      <c r="AA362" s="43"/>
    </row>
    <row r="363" spans="6:27" x14ac:dyDescent="0.3">
      <c r="F363" s="1"/>
      <c r="O363" s="15"/>
      <c r="AA363" s="43"/>
    </row>
    <row r="364" spans="6:27" x14ac:dyDescent="0.3">
      <c r="F364" s="1"/>
      <c r="O364" s="15"/>
      <c r="AA364" s="43"/>
    </row>
    <row r="365" spans="6:27" x14ac:dyDescent="0.3">
      <c r="F365" s="1"/>
      <c r="O365" s="15"/>
      <c r="AA365" s="43"/>
    </row>
    <row r="366" spans="6:27" x14ac:dyDescent="0.3">
      <c r="F366" s="1"/>
      <c r="O366" s="15"/>
      <c r="AA366" s="43"/>
    </row>
    <row r="367" spans="6:27" x14ac:dyDescent="0.3">
      <c r="F367" s="1"/>
      <c r="O367" s="15"/>
      <c r="AA367" s="43"/>
    </row>
    <row r="368" spans="6:27" x14ac:dyDescent="0.3">
      <c r="F368" s="1"/>
      <c r="O368" s="15"/>
      <c r="AA368" s="43"/>
    </row>
    <row r="369" spans="6:27" x14ac:dyDescent="0.3">
      <c r="F369" s="1"/>
      <c r="O369" s="15"/>
      <c r="AA369" s="43"/>
    </row>
    <row r="370" spans="6:27" x14ac:dyDescent="0.3">
      <c r="F370" s="1"/>
      <c r="O370" s="15"/>
      <c r="AA370" s="43"/>
    </row>
    <row r="371" spans="6:27" x14ac:dyDescent="0.3">
      <c r="F371" s="1"/>
      <c r="O371" s="15"/>
      <c r="AA371" s="43"/>
    </row>
    <row r="372" spans="6:27" x14ac:dyDescent="0.3">
      <c r="F372" s="1"/>
      <c r="O372" s="15"/>
      <c r="AA372" s="43"/>
    </row>
    <row r="373" spans="6:27" x14ac:dyDescent="0.3">
      <c r="F373" s="1"/>
      <c r="O373" s="15"/>
      <c r="AA373" s="43"/>
    </row>
    <row r="374" spans="6:27" x14ac:dyDescent="0.3">
      <c r="F374" s="1"/>
      <c r="O374" s="15"/>
      <c r="AA374" s="43"/>
    </row>
    <row r="375" spans="6:27" x14ac:dyDescent="0.3">
      <c r="F375" s="1"/>
      <c r="O375" s="15"/>
      <c r="AA375" s="43"/>
    </row>
    <row r="376" spans="6:27" x14ac:dyDescent="0.3">
      <c r="F376" s="1"/>
      <c r="O376" s="15"/>
      <c r="AA376" s="43"/>
    </row>
    <row r="377" spans="6:27" x14ac:dyDescent="0.3">
      <c r="F377" s="1"/>
      <c r="O377" s="15"/>
      <c r="AA377" s="43"/>
    </row>
    <row r="378" spans="6:27" x14ac:dyDescent="0.3">
      <c r="F378" s="1"/>
      <c r="O378" s="15"/>
      <c r="AA378" s="43"/>
    </row>
    <row r="379" spans="6:27" x14ac:dyDescent="0.3">
      <c r="F379" s="1"/>
      <c r="O379" s="15"/>
      <c r="AA379" s="43"/>
    </row>
    <row r="380" spans="6:27" x14ac:dyDescent="0.3">
      <c r="F380" s="1"/>
      <c r="O380" s="15"/>
      <c r="AA380" s="43"/>
    </row>
    <row r="381" spans="6:27" x14ac:dyDescent="0.3">
      <c r="F381" s="1"/>
      <c r="O381" s="15"/>
      <c r="AA381" s="43"/>
    </row>
    <row r="382" spans="6:27" x14ac:dyDescent="0.3">
      <c r="F382" s="1"/>
      <c r="O382" s="15"/>
      <c r="AA382" s="43"/>
    </row>
    <row r="383" spans="6:27" x14ac:dyDescent="0.3">
      <c r="F383" s="1"/>
      <c r="O383" s="15"/>
      <c r="AA383" s="43"/>
    </row>
    <row r="384" spans="6:27" x14ac:dyDescent="0.3">
      <c r="F384" s="1"/>
      <c r="O384" s="15"/>
      <c r="AA384" s="43"/>
    </row>
    <row r="385" spans="6:27" x14ac:dyDescent="0.3">
      <c r="F385" s="1"/>
      <c r="O385" s="15"/>
      <c r="AA385" s="43"/>
    </row>
    <row r="386" spans="6:27" x14ac:dyDescent="0.3">
      <c r="F386" s="1"/>
      <c r="O386" s="15"/>
      <c r="AA386" s="43"/>
    </row>
    <row r="387" spans="6:27" x14ac:dyDescent="0.3">
      <c r="F387" s="1"/>
      <c r="O387" s="15"/>
      <c r="AA387" s="43"/>
    </row>
    <row r="388" spans="6:27" x14ac:dyDescent="0.3">
      <c r="F388" s="1"/>
      <c r="O388" s="15"/>
      <c r="AA388" s="43"/>
    </row>
    <row r="389" spans="6:27" x14ac:dyDescent="0.3">
      <c r="F389" s="1"/>
      <c r="O389" s="15"/>
      <c r="AA389" s="43"/>
    </row>
    <row r="390" spans="6:27" x14ac:dyDescent="0.3">
      <c r="F390" s="1"/>
      <c r="O390" s="15"/>
      <c r="AA390" s="43"/>
    </row>
    <row r="391" spans="6:27" x14ac:dyDescent="0.3">
      <c r="F391" s="1"/>
      <c r="O391" s="15"/>
      <c r="AA391" s="43"/>
    </row>
    <row r="392" spans="6:27" x14ac:dyDescent="0.3">
      <c r="F392" s="1"/>
      <c r="O392" s="15"/>
      <c r="AA392" s="43"/>
    </row>
    <row r="393" spans="6:27" x14ac:dyDescent="0.3">
      <c r="F393" s="1"/>
      <c r="O393" s="15"/>
      <c r="AA393" s="43"/>
    </row>
    <row r="394" spans="6:27" x14ac:dyDescent="0.3">
      <c r="F394" s="1"/>
      <c r="O394" s="15"/>
      <c r="AA394" s="43"/>
    </row>
    <row r="395" spans="6:27" x14ac:dyDescent="0.3">
      <c r="F395" s="1"/>
      <c r="O395" s="15"/>
      <c r="AA395" s="43"/>
    </row>
    <row r="396" spans="6:27" x14ac:dyDescent="0.3">
      <c r="F396" s="1"/>
      <c r="O396" s="15"/>
      <c r="AA396" s="43"/>
    </row>
    <row r="397" spans="6:27" x14ac:dyDescent="0.3">
      <c r="F397" s="1"/>
      <c r="O397" s="15"/>
      <c r="AA397" s="43"/>
    </row>
    <row r="398" spans="6:27" x14ac:dyDescent="0.3">
      <c r="F398" s="1"/>
      <c r="O398" s="15"/>
      <c r="AA398" s="43"/>
    </row>
    <row r="399" spans="6:27" x14ac:dyDescent="0.3">
      <c r="F399" s="1"/>
      <c r="O399" s="15"/>
      <c r="AA399" s="43"/>
    </row>
    <row r="400" spans="6:27" x14ac:dyDescent="0.3">
      <c r="F400" s="1"/>
      <c r="O400" s="15"/>
      <c r="AA400" s="43"/>
    </row>
    <row r="401" spans="6:27" x14ac:dyDescent="0.3">
      <c r="F401" s="1"/>
      <c r="O401" s="15"/>
      <c r="AA401" s="43"/>
    </row>
    <row r="402" spans="6:27" x14ac:dyDescent="0.3">
      <c r="F402" s="1"/>
      <c r="O402" s="15"/>
      <c r="AA402" s="43"/>
    </row>
    <row r="403" spans="6:27" x14ac:dyDescent="0.3">
      <c r="F403" s="1"/>
      <c r="O403" s="15"/>
      <c r="AA403" s="43"/>
    </row>
    <row r="404" spans="6:27" x14ac:dyDescent="0.3">
      <c r="F404" s="1"/>
      <c r="O404" s="15"/>
      <c r="AA404" s="43"/>
    </row>
    <row r="405" spans="6:27" x14ac:dyDescent="0.3">
      <c r="F405" s="1"/>
      <c r="O405" s="15"/>
      <c r="AA405" s="43"/>
    </row>
    <row r="406" spans="6:27" x14ac:dyDescent="0.3">
      <c r="F406" s="1"/>
      <c r="O406" s="15"/>
      <c r="AA406" s="43"/>
    </row>
    <row r="407" spans="6:27" x14ac:dyDescent="0.3">
      <c r="F407" s="1"/>
      <c r="O407" s="15"/>
      <c r="AA407" s="43"/>
    </row>
    <row r="408" spans="6:27" x14ac:dyDescent="0.3">
      <c r="F408" s="1"/>
      <c r="O408" s="15"/>
      <c r="AA408" s="43"/>
    </row>
    <row r="409" spans="6:27" x14ac:dyDescent="0.3">
      <c r="F409" s="1"/>
      <c r="O409" s="15"/>
      <c r="AA409" s="43"/>
    </row>
    <row r="410" spans="6:27" x14ac:dyDescent="0.3">
      <c r="F410" s="1"/>
      <c r="O410" s="15"/>
      <c r="AA410" s="43"/>
    </row>
    <row r="411" spans="6:27" x14ac:dyDescent="0.3">
      <c r="F411" s="1"/>
      <c r="O411" s="15"/>
      <c r="AA411" s="43"/>
    </row>
    <row r="412" spans="6:27" x14ac:dyDescent="0.3">
      <c r="F412" s="1"/>
      <c r="O412" s="15"/>
      <c r="AA412" s="43"/>
    </row>
    <row r="413" spans="6:27" x14ac:dyDescent="0.3">
      <c r="F413" s="1"/>
      <c r="O413" s="15"/>
      <c r="AA413" s="43"/>
    </row>
    <row r="414" spans="6:27" x14ac:dyDescent="0.3">
      <c r="F414" s="1"/>
      <c r="O414" s="15"/>
      <c r="AA414" s="43"/>
    </row>
    <row r="415" spans="6:27" x14ac:dyDescent="0.3">
      <c r="F415" s="1"/>
      <c r="O415" s="15"/>
      <c r="AA415" s="43"/>
    </row>
    <row r="416" spans="6:27" x14ac:dyDescent="0.3">
      <c r="F416" s="1"/>
      <c r="O416" s="15"/>
      <c r="AA416" s="43"/>
    </row>
    <row r="417" spans="6:27" x14ac:dyDescent="0.3">
      <c r="F417" s="1"/>
      <c r="O417" s="15"/>
      <c r="AA417" s="43"/>
    </row>
    <row r="418" spans="6:27" x14ac:dyDescent="0.3">
      <c r="F418" s="1"/>
      <c r="O418" s="15"/>
      <c r="AA418" s="43"/>
    </row>
    <row r="419" spans="6:27" x14ac:dyDescent="0.3">
      <c r="F419" s="1"/>
      <c r="O419" s="15"/>
      <c r="AA419" s="43"/>
    </row>
    <row r="420" spans="6:27" x14ac:dyDescent="0.3">
      <c r="F420" s="1"/>
      <c r="O420" s="15"/>
      <c r="AA420" s="43"/>
    </row>
    <row r="421" spans="6:27" x14ac:dyDescent="0.3">
      <c r="F421" s="1"/>
      <c r="O421" s="15"/>
      <c r="AA421" s="43"/>
    </row>
    <row r="422" spans="6:27" x14ac:dyDescent="0.3">
      <c r="F422" s="1"/>
      <c r="O422" s="15"/>
      <c r="AA422" s="43"/>
    </row>
    <row r="423" spans="6:27" x14ac:dyDescent="0.3">
      <c r="F423" s="1"/>
      <c r="O423" s="15"/>
      <c r="AA423" s="43"/>
    </row>
    <row r="424" spans="6:27" x14ac:dyDescent="0.3">
      <c r="F424" s="1"/>
      <c r="O424" s="15"/>
      <c r="AA424" s="43"/>
    </row>
    <row r="425" spans="6:27" x14ac:dyDescent="0.3">
      <c r="F425" s="1"/>
      <c r="O425" s="15"/>
      <c r="AA425" s="43"/>
    </row>
    <row r="426" spans="6:27" x14ac:dyDescent="0.3">
      <c r="F426" s="1"/>
      <c r="O426" s="15"/>
      <c r="AA426" s="43"/>
    </row>
    <row r="427" spans="6:27" x14ac:dyDescent="0.3">
      <c r="F427" s="1"/>
      <c r="O427" s="15"/>
      <c r="AA427" s="43"/>
    </row>
    <row r="428" spans="6:27" x14ac:dyDescent="0.3">
      <c r="F428" s="1"/>
      <c r="O428" s="15"/>
      <c r="AA428" s="43"/>
    </row>
    <row r="429" spans="6:27" x14ac:dyDescent="0.3">
      <c r="F429" s="1"/>
      <c r="O429" s="15"/>
      <c r="AA429" s="43"/>
    </row>
    <row r="430" spans="6:27" x14ac:dyDescent="0.3">
      <c r="F430" s="1"/>
      <c r="O430" s="15"/>
      <c r="AA430" s="43"/>
    </row>
    <row r="431" spans="6:27" x14ac:dyDescent="0.3">
      <c r="F431" s="1"/>
      <c r="O431" s="15"/>
      <c r="AA431" s="43"/>
    </row>
    <row r="432" spans="6:27" x14ac:dyDescent="0.3">
      <c r="F432" s="1"/>
      <c r="O432" s="15"/>
      <c r="AA432" s="43"/>
    </row>
    <row r="433" spans="6:27" x14ac:dyDescent="0.3">
      <c r="F433" s="1"/>
      <c r="O433" s="15"/>
      <c r="AA433" s="43"/>
    </row>
    <row r="434" spans="6:27" x14ac:dyDescent="0.3">
      <c r="F434" s="1"/>
      <c r="O434" s="15"/>
      <c r="AA434" s="43"/>
    </row>
    <row r="435" spans="6:27" x14ac:dyDescent="0.3">
      <c r="F435" s="1"/>
      <c r="O435" s="15"/>
      <c r="AA435" s="43"/>
    </row>
    <row r="436" spans="6:27" x14ac:dyDescent="0.3">
      <c r="F436" s="1"/>
      <c r="O436" s="15"/>
      <c r="AA436" s="43"/>
    </row>
    <row r="437" spans="6:27" x14ac:dyDescent="0.3">
      <c r="F437" s="1"/>
      <c r="O437" s="15"/>
      <c r="AA437" s="43"/>
    </row>
    <row r="438" spans="6:27" x14ac:dyDescent="0.3">
      <c r="F438" s="1"/>
      <c r="O438" s="15"/>
      <c r="AA438" s="43"/>
    </row>
    <row r="439" spans="6:27" x14ac:dyDescent="0.3">
      <c r="F439" s="1"/>
      <c r="O439" s="15"/>
      <c r="AA439" s="43"/>
    </row>
    <row r="440" spans="6:27" x14ac:dyDescent="0.3">
      <c r="F440" s="1"/>
      <c r="O440" s="15"/>
      <c r="AA440" s="43"/>
    </row>
    <row r="441" spans="6:27" x14ac:dyDescent="0.3">
      <c r="F441" s="1"/>
      <c r="O441" s="15"/>
      <c r="AA441" s="43"/>
    </row>
    <row r="442" spans="6:27" x14ac:dyDescent="0.3">
      <c r="F442" s="1"/>
      <c r="O442" s="15"/>
      <c r="AA442" s="43"/>
    </row>
    <row r="443" spans="6:27" x14ac:dyDescent="0.3">
      <c r="F443" s="1"/>
      <c r="O443" s="15"/>
      <c r="AA443" s="43"/>
    </row>
    <row r="444" spans="6:27" x14ac:dyDescent="0.3">
      <c r="F444" s="1"/>
      <c r="O444" s="15"/>
      <c r="AA444" s="43"/>
    </row>
    <row r="445" spans="6:27" x14ac:dyDescent="0.3">
      <c r="F445" s="1"/>
      <c r="O445" s="15"/>
      <c r="AA445" s="43"/>
    </row>
    <row r="446" spans="6:27" x14ac:dyDescent="0.3">
      <c r="F446" s="1"/>
      <c r="O446" s="15"/>
      <c r="AA446" s="43"/>
    </row>
    <row r="447" spans="6:27" x14ac:dyDescent="0.3">
      <c r="F447" s="1"/>
      <c r="O447" s="15"/>
      <c r="AA447" s="43"/>
    </row>
    <row r="448" spans="6:27" x14ac:dyDescent="0.3">
      <c r="F448" s="1"/>
      <c r="O448" s="15"/>
      <c r="AA448" s="43"/>
    </row>
    <row r="449" spans="6:27" x14ac:dyDescent="0.3">
      <c r="F449" s="1"/>
      <c r="O449" s="15"/>
      <c r="AA449" s="43"/>
    </row>
    <row r="450" spans="6:27" x14ac:dyDescent="0.3">
      <c r="F450" s="1"/>
      <c r="O450" s="15"/>
      <c r="AA450" s="43"/>
    </row>
    <row r="451" spans="6:27" x14ac:dyDescent="0.3">
      <c r="F451" s="1"/>
      <c r="O451" s="15"/>
      <c r="AA451" s="43"/>
    </row>
    <row r="452" spans="6:27" x14ac:dyDescent="0.3">
      <c r="F452" s="1"/>
      <c r="O452" s="15"/>
      <c r="AA452" s="43"/>
    </row>
    <row r="453" spans="6:27" x14ac:dyDescent="0.3">
      <c r="F453" s="1"/>
      <c r="O453" s="15"/>
      <c r="AA453" s="43"/>
    </row>
    <row r="454" spans="6:27" x14ac:dyDescent="0.3">
      <c r="F454" s="1"/>
      <c r="O454" s="15"/>
      <c r="AA454" s="43"/>
    </row>
    <row r="455" spans="6:27" x14ac:dyDescent="0.3">
      <c r="F455" s="1"/>
      <c r="O455" s="15"/>
      <c r="AA455" s="43"/>
    </row>
    <row r="456" spans="6:27" x14ac:dyDescent="0.3">
      <c r="F456" s="1"/>
      <c r="O456" s="15"/>
      <c r="AA456" s="43"/>
    </row>
    <row r="457" spans="6:27" x14ac:dyDescent="0.3">
      <c r="F457" s="1"/>
      <c r="O457" s="15"/>
      <c r="AA457" s="43"/>
    </row>
    <row r="458" spans="6:27" x14ac:dyDescent="0.3">
      <c r="F458" s="1"/>
      <c r="O458" s="15"/>
      <c r="AA458" s="43"/>
    </row>
    <row r="459" spans="6:27" x14ac:dyDescent="0.3">
      <c r="F459" s="1"/>
      <c r="O459" s="15"/>
      <c r="AA459" s="43"/>
    </row>
    <row r="460" spans="6:27" x14ac:dyDescent="0.3">
      <c r="F460" s="1"/>
      <c r="O460" s="15"/>
      <c r="AA460" s="43"/>
    </row>
    <row r="461" spans="6:27" x14ac:dyDescent="0.3">
      <c r="F461" s="1"/>
      <c r="O461" s="15"/>
      <c r="AA461" s="43"/>
    </row>
    <row r="462" spans="6:27" x14ac:dyDescent="0.3">
      <c r="F462" s="1"/>
      <c r="O462" s="15"/>
      <c r="AA462" s="43"/>
    </row>
    <row r="463" spans="6:27" x14ac:dyDescent="0.3">
      <c r="F463" s="1"/>
      <c r="O463" s="15"/>
      <c r="AA463" s="43"/>
    </row>
    <row r="464" spans="6:27" x14ac:dyDescent="0.3">
      <c r="F464" s="1"/>
      <c r="O464" s="15"/>
      <c r="AA464" s="43"/>
    </row>
    <row r="465" spans="6:27" x14ac:dyDescent="0.3">
      <c r="F465" s="1"/>
      <c r="O465" s="15"/>
      <c r="AA465" s="43"/>
    </row>
    <row r="466" spans="6:27" x14ac:dyDescent="0.3">
      <c r="F466" s="1"/>
      <c r="O466" s="15"/>
      <c r="AA466" s="43"/>
    </row>
    <row r="467" spans="6:27" x14ac:dyDescent="0.3">
      <c r="F467" s="1"/>
      <c r="O467" s="15"/>
      <c r="AA467" s="43"/>
    </row>
    <row r="468" spans="6:27" x14ac:dyDescent="0.3">
      <c r="F468" s="1"/>
      <c r="O468" s="15"/>
      <c r="AA468" s="43"/>
    </row>
    <row r="469" spans="6:27" x14ac:dyDescent="0.3">
      <c r="F469" s="1"/>
      <c r="O469" s="15"/>
      <c r="AA469" s="43"/>
    </row>
    <row r="470" spans="6:27" x14ac:dyDescent="0.3">
      <c r="F470" s="1"/>
      <c r="O470" s="15"/>
      <c r="AA470" s="43"/>
    </row>
    <row r="471" spans="6:27" x14ac:dyDescent="0.3">
      <c r="F471" s="1"/>
      <c r="O471" s="15"/>
      <c r="AA471" s="43"/>
    </row>
    <row r="472" spans="6:27" x14ac:dyDescent="0.3">
      <c r="F472" s="1"/>
      <c r="O472" s="15"/>
      <c r="AA472" s="43"/>
    </row>
    <row r="473" spans="6:27" x14ac:dyDescent="0.3">
      <c r="F473" s="1"/>
      <c r="O473" s="15"/>
      <c r="AA473" s="43"/>
    </row>
    <row r="474" spans="6:27" x14ac:dyDescent="0.3">
      <c r="F474" s="1"/>
      <c r="O474" s="15"/>
      <c r="AA474" s="43"/>
    </row>
    <row r="475" spans="6:27" x14ac:dyDescent="0.3">
      <c r="F475" s="1"/>
      <c r="O475" s="15"/>
      <c r="AA475" s="43"/>
    </row>
    <row r="476" spans="6:27" x14ac:dyDescent="0.3">
      <c r="F476" s="1"/>
      <c r="O476" s="15"/>
      <c r="AA476" s="43"/>
    </row>
    <row r="477" spans="6:27" x14ac:dyDescent="0.3">
      <c r="F477" s="1"/>
      <c r="O477" s="15"/>
      <c r="AA477" s="43"/>
    </row>
    <row r="478" spans="6:27" x14ac:dyDescent="0.3">
      <c r="F478" s="1"/>
      <c r="O478" s="15"/>
      <c r="AA478" s="43"/>
    </row>
    <row r="479" spans="6:27" x14ac:dyDescent="0.3">
      <c r="F479" s="1"/>
      <c r="O479" s="15"/>
      <c r="AA479" s="43"/>
    </row>
    <row r="480" spans="6:27" x14ac:dyDescent="0.3">
      <c r="F480" s="1"/>
      <c r="O480" s="15"/>
      <c r="AA480" s="43"/>
    </row>
    <row r="481" spans="6:27" x14ac:dyDescent="0.3">
      <c r="F481" s="1"/>
      <c r="O481" s="15"/>
      <c r="AA481" s="43"/>
    </row>
    <row r="482" spans="6:27" x14ac:dyDescent="0.3">
      <c r="F482" s="1"/>
      <c r="O482" s="15"/>
      <c r="AA482" s="43"/>
    </row>
    <row r="483" spans="6:27" x14ac:dyDescent="0.3">
      <c r="F483" s="1"/>
      <c r="O483" s="15"/>
      <c r="AA483" s="43"/>
    </row>
    <row r="484" spans="6:27" x14ac:dyDescent="0.3">
      <c r="F484" s="1"/>
      <c r="O484" s="15"/>
      <c r="AA484" s="43"/>
    </row>
    <row r="485" spans="6:27" x14ac:dyDescent="0.3">
      <c r="F485" s="1"/>
      <c r="O485" s="15"/>
      <c r="AA485" s="43"/>
    </row>
    <row r="486" spans="6:27" x14ac:dyDescent="0.3">
      <c r="F486" s="1"/>
      <c r="O486" s="15"/>
      <c r="AA486" s="43"/>
    </row>
    <row r="487" spans="6:27" x14ac:dyDescent="0.3">
      <c r="F487" s="1"/>
      <c r="O487" s="15"/>
      <c r="AA487" s="43"/>
    </row>
    <row r="488" spans="6:27" x14ac:dyDescent="0.3">
      <c r="F488" s="1"/>
      <c r="O488" s="15"/>
      <c r="AA488" s="43"/>
    </row>
    <row r="489" spans="6:27" x14ac:dyDescent="0.3">
      <c r="F489" s="1"/>
      <c r="O489" s="15"/>
      <c r="AA489" s="43"/>
    </row>
    <row r="490" spans="6:27" x14ac:dyDescent="0.3">
      <c r="F490" s="1"/>
      <c r="O490" s="15"/>
      <c r="AA490" s="43"/>
    </row>
    <row r="491" spans="6:27" x14ac:dyDescent="0.3">
      <c r="F491" s="1"/>
      <c r="O491" s="15"/>
      <c r="AA491" s="43"/>
    </row>
    <row r="492" spans="6:27" x14ac:dyDescent="0.3">
      <c r="F492" s="1"/>
      <c r="O492" s="15"/>
      <c r="AA492" s="43"/>
    </row>
    <row r="493" spans="6:27" x14ac:dyDescent="0.3">
      <c r="F493" s="1"/>
      <c r="O493" s="15"/>
      <c r="AA493" s="43"/>
    </row>
    <row r="494" spans="6:27" x14ac:dyDescent="0.3">
      <c r="F494" s="1"/>
      <c r="O494" s="15"/>
      <c r="AA494" s="43"/>
    </row>
    <row r="495" spans="6:27" x14ac:dyDescent="0.3">
      <c r="F495" s="1"/>
      <c r="O495" s="15"/>
      <c r="AA495" s="43"/>
    </row>
    <row r="496" spans="6:27" x14ac:dyDescent="0.3">
      <c r="F496" s="1"/>
      <c r="O496" s="15"/>
      <c r="AA496" s="43"/>
    </row>
    <row r="497" spans="6:27" x14ac:dyDescent="0.3">
      <c r="F497" s="1"/>
      <c r="O497" s="15"/>
      <c r="AA497" s="43"/>
    </row>
    <row r="498" spans="6:27" x14ac:dyDescent="0.3">
      <c r="F498" s="1"/>
      <c r="O498" s="15"/>
      <c r="AA498" s="43"/>
    </row>
    <row r="499" spans="6:27" x14ac:dyDescent="0.3">
      <c r="F499" s="1"/>
      <c r="O499" s="15"/>
      <c r="AA499" s="43"/>
    </row>
    <row r="500" spans="6:27" x14ac:dyDescent="0.3">
      <c r="F500" s="1"/>
      <c r="O500" s="15"/>
      <c r="AA500" s="43"/>
    </row>
    <row r="501" spans="6:27" x14ac:dyDescent="0.3">
      <c r="F501" s="1"/>
      <c r="O501" s="15"/>
      <c r="AA501" s="43"/>
    </row>
    <row r="502" spans="6:27" x14ac:dyDescent="0.3">
      <c r="F502" s="1"/>
      <c r="O502" s="15"/>
      <c r="AA502" s="43"/>
    </row>
    <row r="503" spans="6:27" x14ac:dyDescent="0.3">
      <c r="F503" s="1"/>
      <c r="O503" s="15"/>
      <c r="AA503" s="43"/>
    </row>
    <row r="504" spans="6:27" x14ac:dyDescent="0.3">
      <c r="F504" s="1"/>
      <c r="O504" s="15"/>
      <c r="AA504" s="43"/>
    </row>
    <row r="505" spans="6:27" x14ac:dyDescent="0.3">
      <c r="F505" s="1"/>
      <c r="O505" s="15"/>
      <c r="AA505" s="43"/>
    </row>
    <row r="506" spans="6:27" x14ac:dyDescent="0.3">
      <c r="F506" s="1"/>
      <c r="O506" s="15"/>
      <c r="AA506" s="43"/>
    </row>
    <row r="507" spans="6:27" x14ac:dyDescent="0.3">
      <c r="F507" s="1"/>
      <c r="O507" s="15"/>
      <c r="AA507" s="43"/>
    </row>
    <row r="508" spans="6:27" x14ac:dyDescent="0.3">
      <c r="F508" s="1"/>
      <c r="O508" s="15"/>
      <c r="AA508" s="43"/>
    </row>
    <row r="509" spans="6:27" x14ac:dyDescent="0.3">
      <c r="F509" s="1"/>
      <c r="O509" s="15"/>
      <c r="AA509" s="43"/>
    </row>
    <row r="510" spans="6:27" x14ac:dyDescent="0.3">
      <c r="F510" s="1"/>
      <c r="O510" s="15"/>
      <c r="AA510" s="43"/>
    </row>
    <row r="511" spans="6:27" x14ac:dyDescent="0.3">
      <c r="F511" s="1"/>
      <c r="O511" s="15"/>
      <c r="AA511" s="43"/>
    </row>
    <row r="512" spans="6:27" x14ac:dyDescent="0.3">
      <c r="F512" s="1"/>
      <c r="O512" s="15"/>
      <c r="AA512" s="43"/>
    </row>
    <row r="513" spans="6:27" x14ac:dyDescent="0.3">
      <c r="F513" s="1"/>
      <c r="O513" s="15"/>
      <c r="AA513" s="43"/>
    </row>
    <row r="514" spans="6:27" x14ac:dyDescent="0.3">
      <c r="F514" s="1"/>
      <c r="O514" s="15"/>
      <c r="AA514" s="43"/>
    </row>
    <row r="515" spans="6:27" x14ac:dyDescent="0.3">
      <c r="F515" s="1"/>
      <c r="O515" s="15"/>
      <c r="AA515" s="43"/>
    </row>
    <row r="516" spans="6:27" x14ac:dyDescent="0.3">
      <c r="F516" s="1"/>
      <c r="O516" s="15"/>
      <c r="AA516" s="43"/>
    </row>
    <row r="517" spans="6:27" x14ac:dyDescent="0.3">
      <c r="F517" s="1"/>
      <c r="O517" s="15"/>
      <c r="AA517" s="43"/>
    </row>
    <row r="518" spans="6:27" x14ac:dyDescent="0.3">
      <c r="F518" s="1"/>
      <c r="O518" s="15"/>
      <c r="AA518" s="43"/>
    </row>
    <row r="519" spans="6:27" x14ac:dyDescent="0.3">
      <c r="F519" s="1"/>
      <c r="O519" s="15"/>
      <c r="AA519" s="43"/>
    </row>
    <row r="520" spans="6:27" x14ac:dyDescent="0.3">
      <c r="F520" s="1"/>
      <c r="O520" s="15"/>
      <c r="AA520" s="43"/>
    </row>
    <row r="521" spans="6:27" x14ac:dyDescent="0.3">
      <c r="F521" s="1"/>
      <c r="O521" s="15"/>
      <c r="AA521" s="43"/>
    </row>
    <row r="522" spans="6:27" x14ac:dyDescent="0.3">
      <c r="F522" s="1"/>
      <c r="O522" s="15"/>
      <c r="AA522" s="43"/>
    </row>
    <row r="523" spans="6:27" x14ac:dyDescent="0.3">
      <c r="F523" s="1"/>
      <c r="O523" s="15"/>
      <c r="AA523" s="43"/>
    </row>
    <row r="524" spans="6:27" x14ac:dyDescent="0.3">
      <c r="F524" s="1"/>
      <c r="O524" s="15"/>
      <c r="AA524" s="43"/>
    </row>
    <row r="525" spans="6:27" x14ac:dyDescent="0.3">
      <c r="F525" s="1"/>
      <c r="O525" s="15"/>
      <c r="AA525" s="43"/>
    </row>
    <row r="526" spans="6:27" x14ac:dyDescent="0.3">
      <c r="F526" s="1"/>
      <c r="O526" s="15"/>
      <c r="AA526" s="43"/>
    </row>
    <row r="527" spans="6:27" x14ac:dyDescent="0.3">
      <c r="F527" s="1"/>
      <c r="O527" s="15"/>
      <c r="AA527" s="43"/>
    </row>
    <row r="528" spans="6:27" x14ac:dyDescent="0.3">
      <c r="F528" s="1"/>
      <c r="O528" s="15"/>
      <c r="AA528" s="43"/>
    </row>
    <row r="529" spans="6:27" x14ac:dyDescent="0.3">
      <c r="F529" s="1"/>
      <c r="O529" s="15"/>
      <c r="AA529" s="43"/>
    </row>
    <row r="530" spans="6:27" x14ac:dyDescent="0.3">
      <c r="F530" s="1"/>
      <c r="O530" s="15"/>
      <c r="AA530" s="43"/>
    </row>
    <row r="531" spans="6:27" x14ac:dyDescent="0.3">
      <c r="F531" s="1"/>
      <c r="O531" s="15"/>
      <c r="AA531" s="43"/>
    </row>
    <row r="532" spans="6:27" x14ac:dyDescent="0.3">
      <c r="F532" s="1"/>
      <c r="O532" s="15"/>
      <c r="AA532" s="43"/>
    </row>
    <row r="533" spans="6:27" x14ac:dyDescent="0.3">
      <c r="F533" s="1"/>
      <c r="O533" s="15"/>
      <c r="AA533" s="43"/>
    </row>
    <row r="534" spans="6:27" x14ac:dyDescent="0.3">
      <c r="F534" s="1"/>
      <c r="O534" s="15"/>
      <c r="AA534" s="43"/>
    </row>
    <row r="535" spans="6:27" x14ac:dyDescent="0.3">
      <c r="F535" s="1"/>
      <c r="O535" s="15"/>
      <c r="AA535" s="43"/>
    </row>
    <row r="536" spans="6:27" x14ac:dyDescent="0.3">
      <c r="F536" s="1"/>
      <c r="O536" s="15"/>
      <c r="AA536" s="43"/>
    </row>
    <row r="537" spans="6:27" x14ac:dyDescent="0.3">
      <c r="F537" s="1"/>
      <c r="O537" s="15"/>
      <c r="AA537" s="43"/>
    </row>
    <row r="538" spans="6:27" x14ac:dyDescent="0.3">
      <c r="F538" s="1"/>
      <c r="O538" s="15"/>
      <c r="AA538" s="43"/>
    </row>
    <row r="539" spans="6:27" x14ac:dyDescent="0.3">
      <c r="F539" s="1"/>
      <c r="O539" s="15"/>
      <c r="AA539" s="43"/>
    </row>
    <row r="540" spans="6:27" x14ac:dyDescent="0.3">
      <c r="F540" s="1"/>
      <c r="O540" s="15"/>
      <c r="AA540" s="43"/>
    </row>
    <row r="541" spans="6:27" x14ac:dyDescent="0.3">
      <c r="F541" s="1"/>
      <c r="O541" s="15"/>
      <c r="AA541" s="43"/>
    </row>
    <row r="542" spans="6:27" x14ac:dyDescent="0.3">
      <c r="F542" s="1"/>
      <c r="O542" s="15"/>
      <c r="AA542" s="43"/>
    </row>
    <row r="543" spans="6:27" x14ac:dyDescent="0.3">
      <c r="F543" s="1"/>
      <c r="O543" s="15"/>
      <c r="AA543" s="43"/>
    </row>
    <row r="544" spans="6:27" x14ac:dyDescent="0.3">
      <c r="F544" s="1"/>
      <c r="O544" s="15"/>
      <c r="AA544" s="43"/>
    </row>
    <row r="545" spans="6:27" x14ac:dyDescent="0.3">
      <c r="F545" s="1"/>
      <c r="O545" s="15"/>
      <c r="AA545" s="43"/>
    </row>
    <row r="546" spans="6:27" x14ac:dyDescent="0.3">
      <c r="F546" s="1"/>
      <c r="O546" s="15"/>
      <c r="AA546" s="43"/>
    </row>
    <row r="547" spans="6:27" x14ac:dyDescent="0.3">
      <c r="F547" s="1"/>
      <c r="O547" s="15"/>
      <c r="AA547" s="43"/>
    </row>
    <row r="548" spans="6:27" x14ac:dyDescent="0.3">
      <c r="F548" s="1"/>
      <c r="O548" s="15"/>
      <c r="AA548" s="43"/>
    </row>
    <row r="549" spans="6:27" x14ac:dyDescent="0.3">
      <c r="F549" s="1"/>
      <c r="O549" s="15"/>
      <c r="AA549" s="43"/>
    </row>
    <row r="550" spans="6:27" x14ac:dyDescent="0.3">
      <c r="F550" s="1"/>
      <c r="O550" s="15"/>
      <c r="AA550" s="43"/>
    </row>
    <row r="551" spans="6:27" x14ac:dyDescent="0.3">
      <c r="F551" s="1"/>
      <c r="O551" s="15"/>
      <c r="AA551" s="43"/>
    </row>
    <row r="552" spans="6:27" x14ac:dyDescent="0.3">
      <c r="F552" s="1"/>
      <c r="O552" s="15"/>
      <c r="AA552" s="43"/>
    </row>
    <row r="553" spans="6:27" x14ac:dyDescent="0.3">
      <c r="F553" s="1"/>
      <c r="O553" s="15"/>
      <c r="AA553" s="43"/>
    </row>
    <row r="554" spans="6:27" x14ac:dyDescent="0.3">
      <c r="F554" s="1"/>
      <c r="O554" s="15"/>
      <c r="AA554" s="43"/>
    </row>
    <row r="555" spans="6:27" x14ac:dyDescent="0.3">
      <c r="F555" s="1"/>
      <c r="O555" s="15"/>
      <c r="AA555" s="43"/>
    </row>
    <row r="556" spans="6:27" x14ac:dyDescent="0.3">
      <c r="F556" s="1"/>
      <c r="O556" s="15"/>
      <c r="AA556" s="43"/>
    </row>
    <row r="557" spans="6:27" x14ac:dyDescent="0.3">
      <c r="F557" s="1"/>
      <c r="O557" s="15"/>
      <c r="AA557" s="43"/>
    </row>
    <row r="558" spans="6:27" x14ac:dyDescent="0.3">
      <c r="F558" s="1"/>
      <c r="O558" s="15"/>
      <c r="AA558" s="43"/>
    </row>
    <row r="559" spans="6:27" x14ac:dyDescent="0.3">
      <c r="F559" s="1"/>
      <c r="O559" s="15"/>
      <c r="AA559" s="43"/>
    </row>
    <row r="560" spans="6:27" x14ac:dyDescent="0.3">
      <c r="F560" s="1"/>
      <c r="O560" s="15"/>
      <c r="AA560" s="43"/>
    </row>
    <row r="561" spans="6:27" x14ac:dyDescent="0.3">
      <c r="F561" s="1"/>
      <c r="O561" s="15"/>
      <c r="AA561" s="43"/>
    </row>
    <row r="562" spans="6:27" x14ac:dyDescent="0.3">
      <c r="F562" s="1"/>
      <c r="O562" s="15"/>
      <c r="AA562" s="43"/>
    </row>
    <row r="563" spans="6:27" x14ac:dyDescent="0.3">
      <c r="F563" s="1"/>
      <c r="O563" s="15"/>
      <c r="AA563" s="43"/>
    </row>
    <row r="564" spans="6:27" x14ac:dyDescent="0.3">
      <c r="F564" s="1"/>
      <c r="O564" s="15"/>
      <c r="AA564" s="43"/>
    </row>
    <row r="565" spans="6:27" x14ac:dyDescent="0.3">
      <c r="F565" s="1"/>
      <c r="O565" s="15"/>
      <c r="AA565" s="43"/>
    </row>
    <row r="566" spans="6:27" x14ac:dyDescent="0.3">
      <c r="F566" s="1"/>
      <c r="O566" s="15"/>
      <c r="AA566" s="43"/>
    </row>
    <row r="567" spans="6:27" x14ac:dyDescent="0.3">
      <c r="F567" s="1"/>
      <c r="O567" s="15"/>
      <c r="AA567" s="43"/>
    </row>
    <row r="568" spans="6:27" x14ac:dyDescent="0.3">
      <c r="F568" s="1"/>
      <c r="O568" s="15"/>
      <c r="AA568" s="43"/>
    </row>
    <row r="569" spans="6:27" x14ac:dyDescent="0.3">
      <c r="F569" s="1"/>
      <c r="O569" s="15"/>
      <c r="AA569" s="43"/>
    </row>
    <row r="570" spans="6:27" x14ac:dyDescent="0.3">
      <c r="F570" s="1"/>
      <c r="O570" s="15"/>
      <c r="AA570" s="43"/>
    </row>
    <row r="571" spans="6:27" x14ac:dyDescent="0.3">
      <c r="F571" s="1"/>
      <c r="O571" s="15"/>
      <c r="AA571" s="43"/>
    </row>
    <row r="572" spans="6:27" x14ac:dyDescent="0.3">
      <c r="F572" s="1"/>
      <c r="O572" s="15"/>
      <c r="AA572" s="43"/>
    </row>
    <row r="573" spans="6:27" x14ac:dyDescent="0.3">
      <c r="F573" s="1"/>
      <c r="O573" s="15"/>
      <c r="AA573" s="43"/>
    </row>
    <row r="574" spans="6:27" x14ac:dyDescent="0.3">
      <c r="F574" s="1"/>
      <c r="O574" s="15"/>
      <c r="AA574" s="43"/>
    </row>
    <row r="575" spans="6:27" x14ac:dyDescent="0.3">
      <c r="F575" s="1"/>
      <c r="O575" s="15"/>
      <c r="AA575" s="43"/>
    </row>
    <row r="576" spans="6:27" x14ac:dyDescent="0.3">
      <c r="F576" s="1"/>
      <c r="O576" s="15"/>
      <c r="AA576" s="43"/>
    </row>
    <row r="577" spans="6:27" x14ac:dyDescent="0.3">
      <c r="F577" s="1"/>
      <c r="O577" s="15"/>
      <c r="AA577" s="43"/>
    </row>
    <row r="578" spans="6:27" x14ac:dyDescent="0.3">
      <c r="F578" s="1"/>
      <c r="O578" s="15"/>
      <c r="AA578" s="43"/>
    </row>
    <row r="579" spans="6:27" x14ac:dyDescent="0.3">
      <c r="F579" s="1"/>
      <c r="O579" s="15"/>
      <c r="AA579" s="43"/>
    </row>
    <row r="580" spans="6:27" x14ac:dyDescent="0.3">
      <c r="F580" s="1"/>
      <c r="O580" s="15"/>
      <c r="AA580" s="43"/>
    </row>
    <row r="581" spans="6:27" x14ac:dyDescent="0.3">
      <c r="F581" s="1"/>
      <c r="O581" s="15"/>
      <c r="AA581" s="43"/>
    </row>
    <row r="582" spans="6:27" x14ac:dyDescent="0.3">
      <c r="F582" s="1"/>
      <c r="O582" s="15"/>
      <c r="AA582" s="43"/>
    </row>
    <row r="583" spans="6:27" x14ac:dyDescent="0.3">
      <c r="F583" s="1"/>
      <c r="O583" s="15"/>
      <c r="AA583" s="43"/>
    </row>
    <row r="584" spans="6:27" x14ac:dyDescent="0.3">
      <c r="F584" s="1"/>
      <c r="O584" s="15"/>
      <c r="AA584" s="43"/>
    </row>
    <row r="585" spans="6:27" x14ac:dyDescent="0.3">
      <c r="F585" s="1"/>
      <c r="O585" s="15"/>
      <c r="AA585" s="43"/>
    </row>
    <row r="586" spans="6:27" x14ac:dyDescent="0.3">
      <c r="F586" s="1"/>
      <c r="O586" s="15"/>
      <c r="AA586" s="43"/>
    </row>
    <row r="587" spans="6:27" x14ac:dyDescent="0.3">
      <c r="F587" s="1"/>
      <c r="O587" s="15"/>
      <c r="AA587" s="43"/>
    </row>
    <row r="588" spans="6:27" x14ac:dyDescent="0.3">
      <c r="F588" s="1"/>
      <c r="O588" s="15"/>
      <c r="AA588" s="43"/>
    </row>
    <row r="589" spans="6:27" x14ac:dyDescent="0.3">
      <c r="F589" s="1"/>
      <c r="O589" s="15"/>
      <c r="AA589" s="43"/>
    </row>
    <row r="590" spans="6:27" x14ac:dyDescent="0.3">
      <c r="F590" s="1"/>
      <c r="O590" s="15"/>
      <c r="AA590" s="43"/>
    </row>
    <row r="591" spans="6:27" x14ac:dyDescent="0.3">
      <c r="F591" s="1"/>
      <c r="O591" s="15"/>
      <c r="AA591" s="43"/>
    </row>
    <row r="592" spans="6:27" x14ac:dyDescent="0.3">
      <c r="F592" s="1"/>
      <c r="O592" s="15"/>
      <c r="AA592" s="43"/>
    </row>
    <row r="593" spans="6:27" x14ac:dyDescent="0.3">
      <c r="F593" s="1"/>
      <c r="O593" s="15"/>
      <c r="AA593" s="43"/>
    </row>
    <row r="594" spans="6:27" x14ac:dyDescent="0.3">
      <c r="F594" s="1"/>
      <c r="O594" s="15"/>
      <c r="AA594" s="43"/>
    </row>
    <row r="595" spans="6:27" x14ac:dyDescent="0.3">
      <c r="F595" s="1"/>
      <c r="O595" s="15"/>
      <c r="AA595" s="43"/>
    </row>
    <row r="596" spans="6:27" x14ac:dyDescent="0.3">
      <c r="F596" s="1"/>
      <c r="O596" s="15"/>
      <c r="AA596" s="43"/>
    </row>
    <row r="597" spans="6:27" x14ac:dyDescent="0.3">
      <c r="F597" s="1"/>
      <c r="O597" s="15"/>
      <c r="AA597" s="43"/>
    </row>
    <row r="598" spans="6:27" x14ac:dyDescent="0.3">
      <c r="F598" s="1"/>
      <c r="O598" s="15"/>
      <c r="AA598" s="43"/>
    </row>
    <row r="599" spans="6:27" x14ac:dyDescent="0.3">
      <c r="F599" s="1"/>
      <c r="O599" s="15"/>
      <c r="AA599" s="43"/>
    </row>
    <row r="600" spans="6:27" x14ac:dyDescent="0.3">
      <c r="F600" s="1"/>
      <c r="O600" s="15"/>
      <c r="AA600" s="43"/>
    </row>
    <row r="601" spans="6:27" x14ac:dyDescent="0.3">
      <c r="F601" s="1"/>
      <c r="O601" s="15"/>
      <c r="AA601" s="43"/>
    </row>
    <row r="602" spans="6:27" x14ac:dyDescent="0.3">
      <c r="F602" s="1"/>
      <c r="O602" s="15"/>
      <c r="AA602" s="43"/>
    </row>
    <row r="603" spans="6:27" x14ac:dyDescent="0.3">
      <c r="F603" s="1"/>
      <c r="O603" s="15"/>
      <c r="AA603" s="43"/>
    </row>
    <row r="604" spans="6:27" x14ac:dyDescent="0.3">
      <c r="F604" s="1"/>
      <c r="O604" s="15"/>
      <c r="AA604" s="43"/>
    </row>
    <row r="605" spans="6:27" x14ac:dyDescent="0.3">
      <c r="F605" s="1"/>
      <c r="O605" s="15"/>
      <c r="AA605" s="43"/>
    </row>
    <row r="606" spans="6:27" x14ac:dyDescent="0.3">
      <c r="F606" s="1"/>
      <c r="O606" s="15"/>
      <c r="AA606" s="43"/>
    </row>
    <row r="607" spans="6:27" x14ac:dyDescent="0.3">
      <c r="F607" s="1"/>
      <c r="O607" s="15"/>
      <c r="AA607" s="43"/>
    </row>
    <row r="608" spans="6:27" x14ac:dyDescent="0.3">
      <c r="F608" s="1"/>
      <c r="O608" s="15"/>
      <c r="AA608" s="43"/>
    </row>
    <row r="609" spans="6:27" x14ac:dyDescent="0.3">
      <c r="F609" s="1"/>
      <c r="O609" s="15"/>
      <c r="AA609" s="43"/>
    </row>
    <row r="610" spans="6:27" x14ac:dyDescent="0.3">
      <c r="F610" s="1"/>
      <c r="O610" s="15"/>
      <c r="AA610" s="43"/>
    </row>
    <row r="611" spans="6:27" x14ac:dyDescent="0.3">
      <c r="F611" s="1"/>
      <c r="O611" s="15"/>
      <c r="AA611" s="43"/>
    </row>
    <row r="612" spans="6:27" x14ac:dyDescent="0.3">
      <c r="F612" s="1"/>
      <c r="O612" s="15"/>
      <c r="AA612" s="43"/>
    </row>
    <row r="613" spans="6:27" x14ac:dyDescent="0.3">
      <c r="F613" s="1"/>
      <c r="O613" s="15"/>
      <c r="AA613" s="43"/>
    </row>
    <row r="614" spans="6:27" x14ac:dyDescent="0.3">
      <c r="F614" s="1"/>
      <c r="O614" s="15"/>
      <c r="AA614" s="43"/>
    </row>
    <row r="615" spans="6:27" x14ac:dyDescent="0.3">
      <c r="F615" s="1"/>
      <c r="O615" s="15"/>
      <c r="AA615" s="43"/>
    </row>
    <row r="616" spans="6:27" x14ac:dyDescent="0.3">
      <c r="F616" s="1"/>
      <c r="O616" s="15"/>
      <c r="AA616" s="43"/>
    </row>
    <row r="617" spans="6:27" x14ac:dyDescent="0.3">
      <c r="F617" s="1"/>
      <c r="O617" s="15"/>
      <c r="AA617" s="43"/>
    </row>
    <row r="618" spans="6:27" x14ac:dyDescent="0.3">
      <c r="F618" s="1"/>
      <c r="O618" s="15"/>
      <c r="AA618" s="43"/>
    </row>
    <row r="619" spans="6:27" x14ac:dyDescent="0.3">
      <c r="F619" s="1"/>
      <c r="O619" s="15"/>
      <c r="AA619" s="43"/>
    </row>
    <row r="620" spans="6:27" x14ac:dyDescent="0.3">
      <c r="F620" s="1"/>
      <c r="O620" s="15"/>
      <c r="AA620" s="43"/>
    </row>
    <row r="621" spans="6:27" x14ac:dyDescent="0.3">
      <c r="F621" s="1"/>
      <c r="O621" s="15"/>
      <c r="AA621" s="43"/>
    </row>
    <row r="622" spans="6:27" x14ac:dyDescent="0.3">
      <c r="F622" s="1"/>
      <c r="O622" s="15"/>
      <c r="AA622" s="43"/>
    </row>
    <row r="623" spans="6:27" x14ac:dyDescent="0.3">
      <c r="F623" s="1"/>
      <c r="O623" s="15"/>
      <c r="AA623" s="43"/>
    </row>
    <row r="624" spans="6:27" x14ac:dyDescent="0.3">
      <c r="F624" s="1"/>
      <c r="O624" s="15"/>
      <c r="AA624" s="43"/>
    </row>
    <row r="625" spans="6:27" x14ac:dyDescent="0.3">
      <c r="F625" s="1"/>
      <c r="O625" s="15"/>
      <c r="AA625" s="43"/>
    </row>
    <row r="626" spans="6:27" x14ac:dyDescent="0.3">
      <c r="F626" s="1"/>
      <c r="O626" s="15"/>
      <c r="AA626" s="43"/>
    </row>
    <row r="627" spans="6:27" x14ac:dyDescent="0.3">
      <c r="F627" s="1"/>
      <c r="O627" s="15"/>
      <c r="AA627" s="43"/>
    </row>
    <row r="628" spans="6:27" x14ac:dyDescent="0.3">
      <c r="F628" s="1"/>
      <c r="O628" s="15"/>
      <c r="AA628" s="43"/>
    </row>
    <row r="629" spans="6:27" x14ac:dyDescent="0.3">
      <c r="F629" s="1"/>
      <c r="O629" s="15"/>
      <c r="AA629" s="43"/>
    </row>
    <row r="630" spans="6:27" x14ac:dyDescent="0.3">
      <c r="F630" s="1"/>
      <c r="O630" s="15"/>
      <c r="AA630" s="43"/>
    </row>
    <row r="631" spans="6:27" x14ac:dyDescent="0.3">
      <c r="F631" s="1"/>
      <c r="O631" s="15"/>
      <c r="AA631" s="43"/>
    </row>
    <row r="632" spans="6:27" x14ac:dyDescent="0.3">
      <c r="F632" s="1"/>
      <c r="O632" s="15"/>
      <c r="AA632" s="43"/>
    </row>
    <row r="633" spans="6:27" x14ac:dyDescent="0.3">
      <c r="F633" s="1"/>
      <c r="O633" s="15"/>
      <c r="AA633" s="43"/>
    </row>
    <row r="634" spans="6:27" x14ac:dyDescent="0.3">
      <c r="F634" s="1"/>
      <c r="O634" s="15"/>
      <c r="AA634" s="43"/>
    </row>
    <row r="635" spans="6:27" x14ac:dyDescent="0.3">
      <c r="F635" s="1"/>
      <c r="O635" s="15"/>
    </row>
    <row r="636" spans="6:27" x14ac:dyDescent="0.3">
      <c r="F636" s="1"/>
      <c r="O636" s="15"/>
    </row>
    <row r="637" spans="6:27" x14ac:dyDescent="0.3">
      <c r="F637" s="1"/>
      <c r="O637" s="15"/>
    </row>
    <row r="638" spans="6:27" x14ac:dyDescent="0.3">
      <c r="F638" s="1"/>
      <c r="O638" s="15"/>
    </row>
    <row r="639" spans="6:27" x14ac:dyDescent="0.3">
      <c r="F639" s="1"/>
      <c r="O639" s="15"/>
    </row>
    <row r="640" spans="6:27" x14ac:dyDescent="0.3">
      <c r="F640" s="1"/>
      <c r="O640" s="15"/>
    </row>
    <row r="641" spans="6:15" x14ac:dyDescent="0.3">
      <c r="F641" s="1"/>
      <c r="O641" s="15"/>
    </row>
    <row r="642" spans="6:15" x14ac:dyDescent="0.3">
      <c r="F642" s="1"/>
      <c r="O642" s="15"/>
    </row>
    <row r="643" spans="6:15" x14ac:dyDescent="0.3">
      <c r="F643" s="1"/>
      <c r="O643" s="15"/>
    </row>
    <row r="644" spans="6:15" x14ac:dyDescent="0.3">
      <c r="F644" s="1"/>
      <c r="O644" s="15"/>
    </row>
    <row r="645" spans="6:15" x14ac:dyDescent="0.3">
      <c r="F645" s="1"/>
      <c r="O645" s="15"/>
    </row>
    <row r="646" spans="6:15" x14ac:dyDescent="0.3">
      <c r="F646" s="1"/>
      <c r="O646" s="15"/>
    </row>
    <row r="647" spans="6:15" x14ac:dyDescent="0.3">
      <c r="F647" s="1"/>
      <c r="O647" s="15"/>
    </row>
    <row r="648" spans="6:15" x14ac:dyDescent="0.3">
      <c r="F648" s="1"/>
      <c r="O648" s="15"/>
    </row>
    <row r="649" spans="6:15" x14ac:dyDescent="0.3">
      <c r="F649" s="1"/>
      <c r="O649" s="15"/>
    </row>
    <row r="650" spans="6:15" x14ac:dyDescent="0.3">
      <c r="F650" s="1"/>
      <c r="O650" s="15"/>
    </row>
    <row r="651" spans="6:15" x14ac:dyDescent="0.3">
      <c r="F651" s="1"/>
      <c r="O651" s="15"/>
    </row>
    <row r="652" spans="6:15" x14ac:dyDescent="0.3">
      <c r="F652" s="1"/>
      <c r="O652" s="15"/>
    </row>
    <row r="653" spans="6:15" x14ac:dyDescent="0.3">
      <c r="F653" s="1"/>
      <c r="O653" s="15"/>
    </row>
    <row r="654" spans="6:15" x14ac:dyDescent="0.3">
      <c r="F654" s="1"/>
      <c r="O654" s="15"/>
    </row>
    <row r="655" spans="6:15" x14ac:dyDescent="0.3">
      <c r="F655" s="1"/>
      <c r="O655" s="15"/>
    </row>
    <row r="656" spans="6:15" x14ac:dyDescent="0.3">
      <c r="F656" s="1"/>
      <c r="O656" s="15"/>
    </row>
    <row r="657" spans="6:15" x14ac:dyDescent="0.3">
      <c r="F657" s="1"/>
      <c r="O657" s="15"/>
    </row>
    <row r="658" spans="6:15" x14ac:dyDescent="0.3">
      <c r="F658" s="1"/>
      <c r="O658" s="15"/>
    </row>
    <row r="659" spans="6:15" x14ac:dyDescent="0.3">
      <c r="F659" s="1"/>
      <c r="O659" s="15"/>
    </row>
    <row r="660" spans="6:15" x14ac:dyDescent="0.3">
      <c r="F660" s="1"/>
      <c r="O660" s="15"/>
    </row>
    <row r="661" spans="6:15" x14ac:dyDescent="0.3">
      <c r="F661" s="1"/>
      <c r="O661" s="15"/>
    </row>
    <row r="662" spans="6:15" x14ac:dyDescent="0.3">
      <c r="F662" s="1"/>
      <c r="O662" s="15"/>
    </row>
    <row r="663" spans="6:15" x14ac:dyDescent="0.3">
      <c r="F663" s="1"/>
      <c r="O663" s="15"/>
    </row>
    <row r="664" spans="6:15" x14ac:dyDescent="0.3">
      <c r="F664" s="1"/>
      <c r="O664" s="15"/>
    </row>
    <row r="665" spans="6:15" x14ac:dyDescent="0.3">
      <c r="F665" s="1"/>
      <c r="O665" s="15"/>
    </row>
    <row r="666" spans="6:15" x14ac:dyDescent="0.3">
      <c r="F666" s="1"/>
      <c r="O666" s="15"/>
    </row>
    <row r="667" spans="6:15" x14ac:dyDescent="0.3">
      <c r="F667" s="1"/>
      <c r="O667" s="15"/>
    </row>
    <row r="668" spans="6:15" x14ac:dyDescent="0.3">
      <c r="F668" s="1"/>
      <c r="O668" s="15"/>
    </row>
    <row r="669" spans="6:15" x14ac:dyDescent="0.3">
      <c r="F669" s="1"/>
      <c r="O669" s="15"/>
    </row>
    <row r="670" spans="6:15" x14ac:dyDescent="0.3">
      <c r="F670" s="1"/>
      <c r="O670" s="15"/>
    </row>
    <row r="671" spans="6:15" x14ac:dyDescent="0.3">
      <c r="F671" s="1"/>
      <c r="O671" s="15"/>
    </row>
    <row r="672" spans="6:15" x14ac:dyDescent="0.3">
      <c r="F672" s="1"/>
      <c r="O672" s="15"/>
    </row>
    <row r="673" spans="6:15" x14ac:dyDescent="0.3">
      <c r="F673" s="1"/>
      <c r="O673" s="15"/>
    </row>
    <row r="674" spans="6:15" x14ac:dyDescent="0.3">
      <c r="F674" s="1"/>
      <c r="O674" s="15"/>
    </row>
    <row r="675" spans="6:15" x14ac:dyDescent="0.3">
      <c r="F675" s="1"/>
      <c r="O675" s="15"/>
    </row>
    <row r="676" spans="6:15" x14ac:dyDescent="0.3">
      <c r="F676" s="1"/>
      <c r="O676" s="15"/>
    </row>
    <row r="677" spans="6:15" x14ac:dyDescent="0.3">
      <c r="F677" s="1"/>
      <c r="O677" s="15"/>
    </row>
    <row r="678" spans="6:15" x14ac:dyDescent="0.3">
      <c r="F678" s="1"/>
      <c r="O678" s="15"/>
    </row>
    <row r="679" spans="6:15" x14ac:dyDescent="0.3">
      <c r="F679" s="1"/>
      <c r="O679" s="15"/>
    </row>
    <row r="680" spans="6:15" x14ac:dyDescent="0.3">
      <c r="F680" s="1"/>
      <c r="O680" s="15"/>
    </row>
    <row r="681" spans="6:15" x14ac:dyDescent="0.3">
      <c r="F681" s="1"/>
      <c r="O681" s="15"/>
    </row>
    <row r="682" spans="6:15" x14ac:dyDescent="0.3">
      <c r="F682" s="1"/>
      <c r="O682" s="15"/>
    </row>
    <row r="683" spans="6:15" x14ac:dyDescent="0.3">
      <c r="F683" s="1"/>
      <c r="O683" s="15"/>
    </row>
    <row r="684" spans="6:15" x14ac:dyDescent="0.3">
      <c r="F684" s="1"/>
      <c r="O684" s="15"/>
    </row>
    <row r="685" spans="6:15" x14ac:dyDescent="0.3">
      <c r="F685" s="1"/>
      <c r="O685" s="15"/>
    </row>
    <row r="686" spans="6:15" x14ac:dyDescent="0.3">
      <c r="F686" s="1"/>
      <c r="O686" s="15"/>
    </row>
    <row r="687" spans="6:15" x14ac:dyDescent="0.3">
      <c r="F687" s="1"/>
      <c r="O687" s="15"/>
    </row>
    <row r="688" spans="6:15" x14ac:dyDescent="0.3">
      <c r="F688" s="1"/>
      <c r="O688" s="15"/>
    </row>
    <row r="689" spans="6:15" x14ac:dyDescent="0.3">
      <c r="F689" s="1"/>
      <c r="O689" s="15"/>
    </row>
    <row r="690" spans="6:15" x14ac:dyDescent="0.3">
      <c r="F690" s="1"/>
      <c r="O690" s="15"/>
    </row>
    <row r="691" spans="6:15" x14ac:dyDescent="0.3">
      <c r="F691" s="1"/>
      <c r="O691" s="15"/>
    </row>
    <row r="692" spans="6:15" x14ac:dyDescent="0.3">
      <c r="F692" s="1"/>
      <c r="O692" s="15"/>
    </row>
    <row r="693" spans="6:15" x14ac:dyDescent="0.3">
      <c r="F693" s="1"/>
      <c r="O693" s="15"/>
    </row>
    <row r="694" spans="6:15" x14ac:dyDescent="0.3">
      <c r="F694" s="1"/>
      <c r="O694" s="15"/>
    </row>
    <row r="695" spans="6:15" x14ac:dyDescent="0.3">
      <c r="F695" s="1"/>
      <c r="O695" s="15"/>
    </row>
    <row r="696" spans="6:15" x14ac:dyDescent="0.3">
      <c r="F696" s="1"/>
      <c r="O696" s="15"/>
    </row>
    <row r="697" spans="6:15" x14ac:dyDescent="0.3">
      <c r="F697" s="1"/>
      <c r="O697" s="15"/>
    </row>
    <row r="698" spans="6:15" x14ac:dyDescent="0.3">
      <c r="F698" s="1"/>
      <c r="O698" s="15"/>
    </row>
    <row r="699" spans="6:15" x14ac:dyDescent="0.3">
      <c r="F699" s="1"/>
      <c r="O699" s="15"/>
    </row>
    <row r="700" spans="6:15" x14ac:dyDescent="0.3">
      <c r="F700" s="1"/>
      <c r="O700" s="15"/>
    </row>
    <row r="701" spans="6:15" x14ac:dyDescent="0.3">
      <c r="F701" s="1"/>
      <c r="O701" s="15"/>
    </row>
    <row r="702" spans="6:15" x14ac:dyDescent="0.3">
      <c r="F702" s="1"/>
      <c r="O702" s="15"/>
    </row>
    <row r="703" spans="6:15" x14ac:dyDescent="0.3">
      <c r="F703" s="1"/>
      <c r="O703" s="15"/>
    </row>
    <row r="704" spans="6:15" x14ac:dyDescent="0.3">
      <c r="F704" s="1"/>
      <c r="O704" s="15"/>
    </row>
    <row r="705" spans="6:15" x14ac:dyDescent="0.3">
      <c r="F705" s="1"/>
      <c r="O705" s="15"/>
    </row>
    <row r="706" spans="6:15" x14ac:dyDescent="0.3">
      <c r="F706" s="1"/>
      <c r="O706" s="15"/>
    </row>
    <row r="707" spans="6:15" x14ac:dyDescent="0.3">
      <c r="F707" s="1"/>
      <c r="O707" s="15"/>
    </row>
    <row r="708" spans="6:15" x14ac:dyDescent="0.3">
      <c r="F708" s="1"/>
      <c r="O708" s="15"/>
    </row>
    <row r="709" spans="6:15" x14ac:dyDescent="0.3">
      <c r="F709" s="1"/>
      <c r="O709" s="15"/>
    </row>
    <row r="710" spans="6:15" x14ac:dyDescent="0.3">
      <c r="F710" s="1"/>
      <c r="O710" s="15"/>
    </row>
    <row r="711" spans="6:15" x14ac:dyDescent="0.3">
      <c r="F711" s="1"/>
      <c r="O711" s="15"/>
    </row>
    <row r="712" spans="6:15" x14ac:dyDescent="0.3">
      <c r="F712" s="1"/>
      <c r="O712" s="15"/>
    </row>
    <row r="713" spans="6:15" x14ac:dyDescent="0.3">
      <c r="F713" s="1"/>
      <c r="O713" s="15"/>
    </row>
    <row r="714" spans="6:15" x14ac:dyDescent="0.3">
      <c r="F714" s="1"/>
      <c r="O714" s="15"/>
    </row>
    <row r="715" spans="6:15" x14ac:dyDescent="0.3">
      <c r="F715" s="1"/>
      <c r="O715" s="15"/>
    </row>
    <row r="716" spans="6:15" x14ac:dyDescent="0.3">
      <c r="F716" s="1"/>
      <c r="O716" s="15"/>
    </row>
    <row r="717" spans="6:15" x14ac:dyDescent="0.3">
      <c r="F717" s="1"/>
      <c r="O717" s="15"/>
    </row>
    <row r="718" spans="6:15" x14ac:dyDescent="0.3">
      <c r="F718" s="1"/>
      <c r="O718" s="15"/>
    </row>
    <row r="719" spans="6:15" x14ac:dyDescent="0.3">
      <c r="F719" s="1"/>
      <c r="O719" s="15"/>
    </row>
    <row r="720" spans="6:15" x14ac:dyDescent="0.3">
      <c r="F720" s="1"/>
      <c r="O720" s="15"/>
    </row>
    <row r="721" spans="6:15" x14ac:dyDescent="0.3">
      <c r="F721" s="1"/>
      <c r="O721" s="15"/>
    </row>
    <row r="722" spans="6:15" x14ac:dyDescent="0.3">
      <c r="F722" s="1"/>
      <c r="O722" s="15"/>
    </row>
    <row r="723" spans="6:15" x14ac:dyDescent="0.3">
      <c r="F723" s="1"/>
      <c r="O723" s="15"/>
    </row>
    <row r="724" spans="6:15" x14ac:dyDescent="0.3">
      <c r="F724" s="1"/>
      <c r="O724" s="15"/>
    </row>
    <row r="725" spans="6:15" x14ac:dyDescent="0.3">
      <c r="F725" s="1"/>
      <c r="O725" s="15"/>
    </row>
    <row r="726" spans="6:15" x14ac:dyDescent="0.3">
      <c r="F726" s="1"/>
      <c r="O726" s="15"/>
    </row>
    <row r="727" spans="6:15" x14ac:dyDescent="0.3">
      <c r="F727" s="1"/>
      <c r="O727" s="15"/>
    </row>
    <row r="728" spans="6:15" x14ac:dyDescent="0.3">
      <c r="F728" s="1"/>
      <c r="O728" s="15"/>
    </row>
    <row r="729" spans="6:15" x14ac:dyDescent="0.3">
      <c r="F729" s="1"/>
      <c r="O729" s="15"/>
    </row>
    <row r="730" spans="6:15" x14ac:dyDescent="0.3">
      <c r="F730" s="1"/>
      <c r="O730" s="15"/>
    </row>
    <row r="731" spans="6:15" x14ac:dyDescent="0.3">
      <c r="F731" s="1"/>
      <c r="O731" s="15"/>
    </row>
    <row r="732" spans="6:15" x14ac:dyDescent="0.3">
      <c r="F732" s="1"/>
      <c r="O732" s="15"/>
    </row>
    <row r="733" spans="6:15" x14ac:dyDescent="0.3">
      <c r="F733" s="1"/>
      <c r="O733" s="15"/>
    </row>
    <row r="734" spans="6:15" x14ac:dyDescent="0.3">
      <c r="F734" s="1"/>
      <c r="O734" s="15"/>
    </row>
    <row r="735" spans="6:15" x14ac:dyDescent="0.3">
      <c r="F735" s="1"/>
      <c r="O735" s="15"/>
    </row>
    <row r="736" spans="6:15" x14ac:dyDescent="0.3">
      <c r="F736" s="1"/>
      <c r="O736" s="15"/>
    </row>
    <row r="737" spans="6:15" x14ac:dyDescent="0.3">
      <c r="F737" s="1"/>
      <c r="O737" s="15"/>
    </row>
    <row r="738" spans="6:15" x14ac:dyDescent="0.3">
      <c r="F738" s="1"/>
      <c r="O738" s="15"/>
    </row>
    <row r="739" spans="6:15" x14ac:dyDescent="0.3">
      <c r="F739" s="1"/>
      <c r="O739" s="15"/>
    </row>
    <row r="740" spans="6:15" x14ac:dyDescent="0.3">
      <c r="F740" s="1"/>
      <c r="O740" s="15"/>
    </row>
    <row r="741" spans="6:15" x14ac:dyDescent="0.3">
      <c r="F741" s="1"/>
      <c r="O741" s="15"/>
    </row>
    <row r="742" spans="6:15" x14ac:dyDescent="0.3">
      <c r="F742" s="1"/>
      <c r="O742" s="15"/>
    </row>
    <row r="743" spans="6:15" x14ac:dyDescent="0.3">
      <c r="F743" s="1"/>
      <c r="O743" s="15"/>
    </row>
    <row r="744" spans="6:15" x14ac:dyDescent="0.3">
      <c r="F744" s="1"/>
      <c r="O744" s="15"/>
    </row>
    <row r="745" spans="6:15" x14ac:dyDescent="0.3">
      <c r="F745" s="1"/>
      <c r="O745" s="15"/>
    </row>
    <row r="1490" spans="17:17" x14ac:dyDescent="0.3">
      <c r="Q1490" s="18"/>
    </row>
    <row r="1491" spans="17:17" x14ac:dyDescent="0.3">
      <c r="Q1491" s="19"/>
    </row>
  </sheetData>
  <mergeCells count="10">
    <mergeCell ref="W6:X6"/>
    <mergeCell ref="Q11:R11"/>
    <mergeCell ref="W11:X11"/>
    <mergeCell ref="I1:L1"/>
    <mergeCell ref="Q6:R6"/>
    <mergeCell ref="W4:X4"/>
    <mergeCell ref="W5:X5"/>
    <mergeCell ref="M1:O1"/>
    <mergeCell ref="Q4:R4"/>
    <mergeCell ref="Q5:R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Roma Collegio Romano CREA - Pio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Iafrate (CREA-UTS2)</dc:creator>
  <cp:lastModifiedBy>Rosella Brandini  (CREA-UG4)</cp:lastModifiedBy>
  <dcterms:created xsi:type="dcterms:W3CDTF">2026-03-27T05:01:45Z</dcterms:created>
  <dcterms:modified xsi:type="dcterms:W3CDTF">2026-03-27T12:28:19Z</dcterms:modified>
</cp:coreProperties>
</file>