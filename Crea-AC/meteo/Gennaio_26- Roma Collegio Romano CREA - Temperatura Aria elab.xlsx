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6\caricati\"/>
    </mc:Choice>
  </mc:AlternateContent>
  <xr:revisionPtr revIDLastSave="0" documentId="8_{4F461337-00FC-4DA9-A9B9-42EBC3F012B7}" xr6:coauthVersionLast="47" xr6:coauthVersionMax="47" xr10:uidLastSave="{00000000-0000-0000-0000-000000000000}"/>
  <bookViews>
    <workbookView xWindow="-108" yWindow="-108" windowWidth="23256" windowHeight="12456" activeTab="2" xr2:uid="{614EAED9-73A5-41D8-98AF-74962171D855}"/>
  </bookViews>
  <sheets>
    <sheet name="Foglio1" sheetId="2" r:id="rId1"/>
    <sheet name="Roma Collegio Romano CREA - Tem" sheetId="1" r:id="rId2"/>
    <sheet name="Foglio2" sheetId="3" r:id="rId3"/>
  </sheets>
  <calcPr calcId="191029"/>
  <pivotCaches>
    <pivotCache cacheId="83" r:id="rId4"/>
    <pivotCache cacheId="8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N9" i="1"/>
  <c r="F3" i="1"/>
  <c r="Q13" i="1" l="1"/>
  <c r="N13" i="1"/>
  <c r="K33" i="1"/>
  <c r="J33" i="1"/>
  <c r="G33" i="1"/>
  <c r="K32" i="1"/>
  <c r="J32" i="1"/>
  <c r="G32" i="1"/>
  <c r="K31" i="1"/>
  <c r="J31" i="1"/>
  <c r="G31" i="1"/>
  <c r="K30" i="1"/>
  <c r="J30" i="1"/>
  <c r="G30" i="1"/>
  <c r="K29" i="1"/>
  <c r="J29" i="1"/>
  <c r="G29" i="1"/>
  <c r="K28" i="1"/>
  <c r="J28" i="1"/>
  <c r="G28" i="1"/>
  <c r="K27" i="1"/>
  <c r="J27" i="1"/>
  <c r="G27" i="1"/>
  <c r="K26" i="1"/>
  <c r="J26" i="1"/>
  <c r="G26" i="1"/>
  <c r="K25" i="1"/>
  <c r="J25" i="1"/>
  <c r="G25" i="1"/>
  <c r="K24" i="1"/>
  <c r="J24" i="1"/>
  <c r="G24" i="1"/>
  <c r="G23" i="1"/>
  <c r="K23" i="1"/>
  <c r="J23" i="1"/>
  <c r="K22" i="1"/>
  <c r="J22" i="1"/>
  <c r="G22" i="1"/>
  <c r="K21" i="1"/>
  <c r="J21" i="1"/>
  <c r="G21" i="1"/>
  <c r="K20" i="1"/>
  <c r="J20" i="1"/>
  <c r="G20" i="1"/>
  <c r="K19" i="1"/>
  <c r="J19" i="1"/>
  <c r="G19" i="1"/>
  <c r="K18" i="1"/>
  <c r="J18" i="1"/>
  <c r="G18" i="1"/>
  <c r="K17" i="1"/>
  <c r="J17" i="1"/>
  <c r="G17" i="1"/>
  <c r="K16" i="1"/>
  <c r="J16" i="1"/>
  <c r="G16" i="1"/>
  <c r="K15" i="1"/>
  <c r="J15" i="1"/>
  <c r="G15" i="1"/>
  <c r="K14" i="1"/>
  <c r="J14" i="1"/>
  <c r="G14" i="1"/>
  <c r="K13" i="1"/>
  <c r="J13" i="1"/>
  <c r="G13" i="1"/>
  <c r="K12" i="1"/>
  <c r="J12" i="1"/>
  <c r="G12" i="1"/>
  <c r="K11" i="1"/>
  <c r="J11" i="1"/>
  <c r="G11" i="1"/>
  <c r="K10" i="1"/>
  <c r="J10" i="1"/>
  <c r="G10" i="1"/>
  <c r="K9" i="1"/>
  <c r="J9" i="1"/>
  <c r="G9" i="1"/>
  <c r="K8" i="1"/>
  <c r="J8" i="1"/>
  <c r="G8" i="1"/>
  <c r="K7" i="1"/>
  <c r="J7" i="1"/>
  <c r="G7" i="1"/>
  <c r="K6" i="1"/>
  <c r="J6" i="1"/>
  <c r="G6" i="1"/>
  <c r="K5" i="1"/>
  <c r="J5" i="1"/>
  <c r="K4" i="1"/>
  <c r="J4" i="1"/>
  <c r="K3" i="1"/>
  <c r="Q8" i="1" s="1"/>
  <c r="J3" i="1"/>
  <c r="F12" i="1" l="1"/>
  <c r="G5" i="1"/>
  <c r="G4" i="1"/>
  <c r="G3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5" i="1"/>
  <c r="F4" i="1"/>
  <c r="P13" i="1"/>
  <c r="M13" i="1"/>
  <c r="H11" i="1" l="1"/>
  <c r="C9" i="1"/>
  <c r="C21" i="1"/>
  <c r="C33" i="1"/>
  <c r="C45" i="1"/>
  <c r="C57" i="1"/>
  <c r="C69" i="1"/>
  <c r="C81" i="1"/>
  <c r="C93" i="1"/>
  <c r="C105" i="1"/>
  <c r="C3" i="1"/>
  <c r="C15" i="1"/>
  <c r="C27" i="1"/>
  <c r="C39" i="1"/>
  <c r="C51" i="1"/>
  <c r="C63" i="1"/>
  <c r="C75" i="1"/>
  <c r="C87" i="1"/>
  <c r="C99" i="1"/>
  <c r="C4" i="1"/>
  <c r="C16" i="1"/>
  <c r="C28" i="1"/>
  <c r="C40" i="1"/>
  <c r="C52" i="1"/>
  <c r="C64" i="1"/>
  <c r="C76" i="1"/>
  <c r="C88" i="1"/>
  <c r="C100" i="1"/>
  <c r="C1491" i="1"/>
  <c r="C17" i="1"/>
  <c r="C32" i="1"/>
  <c r="C48" i="1"/>
  <c r="C65" i="1"/>
  <c r="C80" i="1"/>
  <c r="C96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639" i="1"/>
  <c r="C651" i="1"/>
  <c r="C663" i="1"/>
  <c r="C675" i="1"/>
  <c r="C687" i="1"/>
  <c r="C699" i="1"/>
  <c r="C711" i="1"/>
  <c r="C723" i="1"/>
  <c r="C6" i="1"/>
  <c r="C22" i="1"/>
  <c r="C37" i="1"/>
  <c r="C54" i="1"/>
  <c r="C70" i="1"/>
  <c r="C85" i="1"/>
  <c r="C102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7" i="1"/>
  <c r="C23" i="1"/>
  <c r="C38" i="1"/>
  <c r="C55" i="1"/>
  <c r="C71" i="1"/>
  <c r="C86" i="1"/>
  <c r="C103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10" i="1"/>
  <c r="C30" i="1"/>
  <c r="C50" i="1"/>
  <c r="C73" i="1"/>
  <c r="C94" i="1"/>
  <c r="C113" i="1"/>
  <c r="C130" i="1"/>
  <c r="C145" i="1"/>
  <c r="C161" i="1"/>
  <c r="C178" i="1"/>
  <c r="C193" i="1"/>
  <c r="C209" i="1"/>
  <c r="C226" i="1"/>
  <c r="C241" i="1"/>
  <c r="C257" i="1"/>
  <c r="C274" i="1"/>
  <c r="C289" i="1"/>
  <c r="C305" i="1"/>
  <c r="C322" i="1"/>
  <c r="C337" i="1"/>
  <c r="C353" i="1"/>
  <c r="C370" i="1"/>
  <c r="C385" i="1"/>
  <c r="C401" i="1"/>
  <c r="C415" i="1"/>
  <c r="C430" i="1"/>
  <c r="C444" i="1"/>
  <c r="C458" i="1"/>
  <c r="C473" i="1"/>
  <c r="C486" i="1"/>
  <c r="C499" i="1"/>
  <c r="C512" i="1"/>
  <c r="C525" i="1"/>
  <c r="C538" i="1"/>
  <c r="C551" i="1"/>
  <c r="C564" i="1"/>
  <c r="C577" i="1"/>
  <c r="C590" i="1"/>
  <c r="C604" i="1"/>
  <c r="C617" i="1"/>
  <c r="C630" i="1"/>
  <c r="C643" i="1"/>
  <c r="C656" i="1"/>
  <c r="C669" i="1"/>
  <c r="C682" i="1"/>
  <c r="C695" i="1"/>
  <c r="C708" i="1"/>
  <c r="C721" i="1"/>
  <c r="C734" i="1"/>
  <c r="C746" i="1"/>
  <c r="C758" i="1"/>
  <c r="C770" i="1"/>
  <c r="C782" i="1"/>
  <c r="C794" i="1"/>
  <c r="C806" i="1"/>
  <c r="C818" i="1"/>
  <c r="C830" i="1"/>
  <c r="C842" i="1"/>
  <c r="C854" i="1"/>
  <c r="C866" i="1"/>
  <c r="C878" i="1"/>
  <c r="C890" i="1"/>
  <c r="C902" i="1"/>
  <c r="C914" i="1"/>
  <c r="C926" i="1"/>
  <c r="C938" i="1"/>
  <c r="C950" i="1"/>
  <c r="C962" i="1"/>
  <c r="C974" i="1"/>
  <c r="C986" i="1"/>
  <c r="C998" i="1"/>
  <c r="C1010" i="1"/>
  <c r="C1022" i="1"/>
  <c r="C1034" i="1"/>
  <c r="C1046" i="1"/>
  <c r="C1058" i="1"/>
  <c r="C1070" i="1"/>
  <c r="C1082" i="1"/>
  <c r="C1094" i="1"/>
  <c r="C1106" i="1"/>
  <c r="C1118" i="1"/>
  <c r="C1130" i="1"/>
  <c r="C1142" i="1"/>
  <c r="C1154" i="1"/>
  <c r="C1166" i="1"/>
  <c r="C1178" i="1"/>
  <c r="C1190" i="1"/>
  <c r="C1202" i="1"/>
  <c r="C1214" i="1"/>
  <c r="C1226" i="1"/>
  <c r="C1238" i="1"/>
  <c r="C1250" i="1"/>
  <c r="C1262" i="1"/>
  <c r="C1274" i="1"/>
  <c r="C1286" i="1"/>
  <c r="C1298" i="1"/>
  <c r="C1310" i="1"/>
  <c r="C1322" i="1"/>
  <c r="C1334" i="1"/>
  <c r="C1346" i="1"/>
  <c r="C1358" i="1"/>
  <c r="C1370" i="1"/>
  <c r="C1382" i="1"/>
  <c r="C1394" i="1"/>
  <c r="C1406" i="1"/>
  <c r="C1418" i="1"/>
  <c r="C1430" i="1"/>
  <c r="C1442" i="1"/>
  <c r="C1454" i="1"/>
  <c r="C1466" i="1"/>
  <c r="C1478" i="1"/>
  <c r="C11" i="1"/>
  <c r="C31" i="1"/>
  <c r="C53" i="1"/>
  <c r="C74" i="1"/>
  <c r="C95" i="1"/>
  <c r="C114" i="1"/>
  <c r="C131" i="1"/>
  <c r="C146" i="1"/>
  <c r="C162" i="1"/>
  <c r="C179" i="1"/>
  <c r="C194" i="1"/>
  <c r="C210" i="1"/>
  <c r="C227" i="1"/>
  <c r="C242" i="1"/>
  <c r="C258" i="1"/>
  <c r="C275" i="1"/>
  <c r="C290" i="1"/>
  <c r="C306" i="1"/>
  <c r="C323" i="1"/>
  <c r="C338" i="1"/>
  <c r="C354" i="1"/>
  <c r="C371" i="1"/>
  <c r="C386" i="1"/>
  <c r="C402" i="1"/>
  <c r="C417" i="1"/>
  <c r="C431" i="1"/>
  <c r="C445" i="1"/>
  <c r="C460" i="1"/>
  <c r="C474" i="1"/>
  <c r="C487" i="1"/>
  <c r="C500" i="1"/>
  <c r="C513" i="1"/>
  <c r="C526" i="1"/>
  <c r="C539" i="1"/>
  <c r="C552" i="1"/>
  <c r="C565" i="1"/>
  <c r="C578" i="1"/>
  <c r="C592" i="1"/>
  <c r="C605" i="1"/>
  <c r="C618" i="1"/>
  <c r="C631" i="1"/>
  <c r="C644" i="1"/>
  <c r="C657" i="1"/>
  <c r="C670" i="1"/>
  <c r="C683" i="1"/>
  <c r="C696" i="1"/>
  <c r="C709" i="1"/>
  <c r="C722" i="1"/>
  <c r="C735" i="1"/>
  <c r="C747" i="1"/>
  <c r="C759" i="1"/>
  <c r="C771" i="1"/>
  <c r="C783" i="1"/>
  <c r="C795" i="1"/>
  <c r="C807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963" i="1"/>
  <c r="C975" i="1"/>
  <c r="C987" i="1"/>
  <c r="C999" i="1"/>
  <c r="C1011" i="1"/>
  <c r="C1023" i="1"/>
  <c r="C1035" i="1"/>
  <c r="C1047" i="1"/>
  <c r="C1059" i="1"/>
  <c r="C1071" i="1"/>
  <c r="C1083" i="1"/>
  <c r="C1095" i="1"/>
  <c r="C1107" i="1"/>
  <c r="C1119" i="1"/>
  <c r="C1131" i="1"/>
  <c r="C1143" i="1"/>
  <c r="C1155" i="1"/>
  <c r="C1167" i="1"/>
  <c r="C1179" i="1"/>
  <c r="C1191" i="1"/>
  <c r="C1203" i="1"/>
  <c r="C1215" i="1"/>
  <c r="C1227" i="1"/>
  <c r="C1239" i="1"/>
  <c r="C1251" i="1"/>
  <c r="C1263" i="1"/>
  <c r="C1275" i="1"/>
  <c r="C1287" i="1"/>
  <c r="C1299" i="1"/>
  <c r="C1311" i="1"/>
  <c r="C1323" i="1"/>
  <c r="C1335" i="1"/>
  <c r="C1347" i="1"/>
  <c r="C1359" i="1"/>
  <c r="C1371" i="1"/>
  <c r="C1383" i="1"/>
  <c r="C1395" i="1"/>
  <c r="C1407" i="1"/>
  <c r="C1419" i="1"/>
  <c r="C1431" i="1"/>
  <c r="C1443" i="1"/>
  <c r="C1455" i="1"/>
  <c r="C1467" i="1"/>
  <c r="C1479" i="1"/>
  <c r="C12" i="1"/>
  <c r="C34" i="1"/>
  <c r="C56" i="1"/>
  <c r="C77" i="1"/>
  <c r="C97" i="1"/>
  <c r="C117" i="1"/>
  <c r="C132" i="1"/>
  <c r="C148" i="1"/>
  <c r="C165" i="1"/>
  <c r="C180" i="1"/>
  <c r="C196" i="1"/>
  <c r="C213" i="1"/>
  <c r="C228" i="1"/>
  <c r="C244" i="1"/>
  <c r="C261" i="1"/>
  <c r="C276" i="1"/>
  <c r="C292" i="1"/>
  <c r="C309" i="1"/>
  <c r="C324" i="1"/>
  <c r="C340" i="1"/>
  <c r="C357" i="1"/>
  <c r="C372" i="1"/>
  <c r="C388" i="1"/>
  <c r="C403" i="1"/>
  <c r="C418" i="1"/>
  <c r="C432" i="1"/>
  <c r="C446" i="1"/>
  <c r="C461" i="1"/>
  <c r="C475" i="1"/>
  <c r="C488" i="1"/>
  <c r="C501" i="1"/>
  <c r="C514" i="1"/>
  <c r="C527" i="1"/>
  <c r="C540" i="1"/>
  <c r="C553" i="1"/>
  <c r="C566" i="1"/>
  <c r="C580" i="1"/>
  <c r="C593" i="1"/>
  <c r="C606" i="1"/>
  <c r="C619" i="1"/>
  <c r="C632" i="1"/>
  <c r="C645" i="1"/>
  <c r="C658" i="1"/>
  <c r="C671" i="1"/>
  <c r="C684" i="1"/>
  <c r="C697" i="1"/>
  <c r="C710" i="1"/>
  <c r="C724" i="1"/>
  <c r="C736" i="1"/>
  <c r="C748" i="1"/>
  <c r="C760" i="1"/>
  <c r="C772" i="1"/>
  <c r="C784" i="1"/>
  <c r="C18" i="1"/>
  <c r="C41" i="1"/>
  <c r="C60" i="1"/>
  <c r="C82" i="1"/>
  <c r="C104" i="1"/>
  <c r="C120" i="1"/>
  <c r="C136" i="1"/>
  <c r="C153" i="1"/>
  <c r="C168" i="1"/>
  <c r="C184" i="1"/>
  <c r="C201" i="1"/>
  <c r="C216" i="1"/>
  <c r="C232" i="1"/>
  <c r="C249" i="1"/>
  <c r="C264" i="1"/>
  <c r="C280" i="1"/>
  <c r="C297" i="1"/>
  <c r="C312" i="1"/>
  <c r="C328" i="1"/>
  <c r="C345" i="1"/>
  <c r="C360" i="1"/>
  <c r="C376" i="1"/>
  <c r="C393" i="1"/>
  <c r="C407" i="1"/>
  <c r="C421" i="1"/>
  <c r="C436" i="1"/>
  <c r="C450" i="1"/>
  <c r="C465" i="1"/>
  <c r="C478" i="1"/>
  <c r="C491" i="1"/>
  <c r="C504" i="1"/>
  <c r="C517" i="1"/>
  <c r="C530" i="1"/>
  <c r="C544" i="1"/>
  <c r="C557" i="1"/>
  <c r="C570" i="1"/>
  <c r="C583" i="1"/>
  <c r="C596" i="1"/>
  <c r="C609" i="1"/>
  <c r="C622" i="1"/>
  <c r="C635" i="1"/>
  <c r="C648" i="1"/>
  <c r="C661" i="1"/>
  <c r="C674" i="1"/>
  <c r="C688" i="1"/>
  <c r="C701" i="1"/>
  <c r="C714" i="1"/>
  <c r="C727" i="1"/>
  <c r="C739" i="1"/>
  <c r="C751" i="1"/>
  <c r="C763" i="1"/>
  <c r="C775" i="1"/>
  <c r="C787" i="1"/>
  <c r="C799" i="1"/>
  <c r="C811" i="1"/>
  <c r="C823" i="1"/>
  <c r="C835" i="1"/>
  <c r="C847" i="1"/>
  <c r="C859" i="1"/>
  <c r="C871" i="1"/>
  <c r="C883" i="1"/>
  <c r="C895" i="1"/>
  <c r="C907" i="1"/>
  <c r="C919" i="1"/>
  <c r="C931" i="1"/>
  <c r="C943" i="1"/>
  <c r="C955" i="1"/>
  <c r="C967" i="1"/>
  <c r="C979" i="1"/>
  <c r="C991" i="1"/>
  <c r="C1003" i="1"/>
  <c r="C1015" i="1"/>
  <c r="C1027" i="1"/>
  <c r="C1039" i="1"/>
  <c r="C1051" i="1"/>
  <c r="C1063" i="1"/>
  <c r="C1075" i="1"/>
  <c r="C1087" i="1"/>
  <c r="C1099" i="1"/>
  <c r="C1111" i="1"/>
  <c r="C1123" i="1"/>
  <c r="C1135" i="1"/>
  <c r="C1147" i="1"/>
  <c r="C1159" i="1"/>
  <c r="C1171" i="1"/>
  <c r="C1183" i="1"/>
  <c r="C1195" i="1"/>
  <c r="C1207" i="1"/>
  <c r="C1219" i="1"/>
  <c r="C1231" i="1"/>
  <c r="C1243" i="1"/>
  <c r="C1255" i="1"/>
  <c r="C1267" i="1"/>
  <c r="C1279" i="1"/>
  <c r="C1291" i="1"/>
  <c r="C1303" i="1"/>
  <c r="C1315" i="1"/>
  <c r="C1327" i="1"/>
  <c r="C1339" i="1"/>
  <c r="C1351" i="1"/>
  <c r="C1363" i="1"/>
  <c r="C1375" i="1"/>
  <c r="C1387" i="1"/>
  <c r="C1399" i="1"/>
  <c r="C1411" i="1"/>
  <c r="C1423" i="1"/>
  <c r="C1435" i="1"/>
  <c r="C1447" i="1"/>
  <c r="C1459" i="1"/>
  <c r="C1471" i="1"/>
  <c r="C1483" i="1"/>
  <c r="C19" i="1"/>
  <c r="C42" i="1"/>
  <c r="C61" i="1"/>
  <c r="C83" i="1"/>
  <c r="C106" i="1"/>
  <c r="C121" i="1"/>
  <c r="C137" i="1"/>
  <c r="C154" i="1"/>
  <c r="C169" i="1"/>
  <c r="C185" i="1"/>
  <c r="C202" i="1"/>
  <c r="C217" i="1"/>
  <c r="C233" i="1"/>
  <c r="C250" i="1"/>
  <c r="C265" i="1"/>
  <c r="C281" i="1"/>
  <c r="C298" i="1"/>
  <c r="C313" i="1"/>
  <c r="C329" i="1"/>
  <c r="C346" i="1"/>
  <c r="C361" i="1"/>
  <c r="C377" i="1"/>
  <c r="C394" i="1"/>
  <c r="C408" i="1"/>
  <c r="C422" i="1"/>
  <c r="C437" i="1"/>
  <c r="C451" i="1"/>
  <c r="C466" i="1"/>
  <c r="C479" i="1"/>
  <c r="C492" i="1"/>
  <c r="C505" i="1"/>
  <c r="C518" i="1"/>
  <c r="C532" i="1"/>
  <c r="C545" i="1"/>
  <c r="C558" i="1"/>
  <c r="C571" i="1"/>
  <c r="C584" i="1"/>
  <c r="C597" i="1"/>
  <c r="C610" i="1"/>
  <c r="C623" i="1"/>
  <c r="C636" i="1"/>
  <c r="C649" i="1"/>
  <c r="C662" i="1"/>
  <c r="C676" i="1"/>
  <c r="C689" i="1"/>
  <c r="C702" i="1"/>
  <c r="C715" i="1"/>
  <c r="C728" i="1"/>
  <c r="C740" i="1"/>
  <c r="C752" i="1"/>
  <c r="C764" i="1"/>
  <c r="C776" i="1"/>
  <c r="C788" i="1"/>
  <c r="C800" i="1"/>
  <c r="C812" i="1"/>
  <c r="C824" i="1"/>
  <c r="C836" i="1"/>
  <c r="C848" i="1"/>
  <c r="C860" i="1"/>
  <c r="C872" i="1"/>
  <c r="C884" i="1"/>
  <c r="C896" i="1"/>
  <c r="C908" i="1"/>
  <c r="C920" i="1"/>
  <c r="C932" i="1"/>
  <c r="C944" i="1"/>
  <c r="C956" i="1"/>
  <c r="C968" i="1"/>
  <c r="C980" i="1"/>
  <c r="C992" i="1"/>
  <c r="C1004" i="1"/>
  <c r="C1016" i="1"/>
  <c r="C1028" i="1"/>
  <c r="C1040" i="1"/>
  <c r="C1052" i="1"/>
  <c r="C1064" i="1"/>
  <c r="C1076" i="1"/>
  <c r="C1088" i="1"/>
  <c r="C1100" i="1"/>
  <c r="C1112" i="1"/>
  <c r="C1124" i="1"/>
  <c r="C1136" i="1"/>
  <c r="C1148" i="1"/>
  <c r="C1160" i="1"/>
  <c r="C1172" i="1"/>
  <c r="C1184" i="1"/>
  <c r="C1196" i="1"/>
  <c r="C1208" i="1"/>
  <c r="C1220" i="1"/>
  <c r="C1232" i="1"/>
  <c r="C1244" i="1"/>
  <c r="C1256" i="1"/>
  <c r="C1268" i="1"/>
  <c r="C1280" i="1"/>
  <c r="C1292" i="1"/>
  <c r="C1304" i="1"/>
  <c r="C1316" i="1"/>
  <c r="C1328" i="1"/>
  <c r="C1340" i="1"/>
  <c r="C1352" i="1"/>
  <c r="C1364" i="1"/>
  <c r="C1376" i="1"/>
  <c r="C1388" i="1"/>
  <c r="C1400" i="1"/>
  <c r="C1412" i="1"/>
  <c r="C1424" i="1"/>
  <c r="C1436" i="1"/>
  <c r="C1448" i="1"/>
  <c r="C1460" i="1"/>
  <c r="C1472" i="1"/>
  <c r="C1484" i="1"/>
  <c r="C1490" i="1"/>
  <c r="C20" i="1"/>
  <c r="C43" i="1"/>
  <c r="C62" i="1"/>
  <c r="C84" i="1"/>
  <c r="C107" i="1"/>
  <c r="C122" i="1"/>
  <c r="C138" i="1"/>
  <c r="C155" i="1"/>
  <c r="C170" i="1"/>
  <c r="C186" i="1"/>
  <c r="C203" i="1"/>
  <c r="C218" i="1"/>
  <c r="C234" i="1"/>
  <c r="C251" i="1"/>
  <c r="C266" i="1"/>
  <c r="C282" i="1"/>
  <c r="C299" i="1"/>
  <c r="C314" i="1"/>
  <c r="C330" i="1"/>
  <c r="C347" i="1"/>
  <c r="C362" i="1"/>
  <c r="C378" i="1"/>
  <c r="C395" i="1"/>
  <c r="C409" i="1"/>
  <c r="C424" i="1"/>
  <c r="C438" i="1"/>
  <c r="C453" i="1"/>
  <c r="C467" i="1"/>
  <c r="C480" i="1"/>
  <c r="C493" i="1"/>
  <c r="C506" i="1"/>
  <c r="C520" i="1"/>
  <c r="C533" i="1"/>
  <c r="C546" i="1"/>
  <c r="C559" i="1"/>
  <c r="C585" i="1"/>
  <c r="C598" i="1"/>
  <c r="C611" i="1"/>
  <c r="C624" i="1"/>
  <c r="C637" i="1"/>
  <c r="C25" i="1"/>
  <c r="C67" i="1"/>
  <c r="C109" i="1"/>
  <c r="C142" i="1"/>
  <c r="C173" i="1"/>
  <c r="C205" i="1"/>
  <c r="C238" i="1"/>
  <c r="C269" i="1"/>
  <c r="C301" i="1"/>
  <c r="C334" i="1"/>
  <c r="C365" i="1"/>
  <c r="C397" i="1"/>
  <c r="C426" i="1"/>
  <c r="C455" i="1"/>
  <c r="C482" i="1"/>
  <c r="C509" i="1"/>
  <c r="C535" i="1"/>
  <c r="C561" i="1"/>
  <c r="C586" i="1"/>
  <c r="C612" i="1"/>
  <c r="C638" i="1"/>
  <c r="C660" i="1"/>
  <c r="C681" i="1"/>
  <c r="C705" i="1"/>
  <c r="C729" i="1"/>
  <c r="C749" i="1"/>
  <c r="C768" i="1"/>
  <c r="C790" i="1"/>
  <c r="C808" i="1"/>
  <c r="C826" i="1"/>
  <c r="C844" i="1"/>
  <c r="C862" i="1"/>
  <c r="C880" i="1"/>
  <c r="C898" i="1"/>
  <c r="C916" i="1"/>
  <c r="C934" i="1"/>
  <c r="C952" i="1"/>
  <c r="C970" i="1"/>
  <c r="C988" i="1"/>
  <c r="C1006" i="1"/>
  <c r="C1024" i="1"/>
  <c r="C1042" i="1"/>
  <c r="C1060" i="1"/>
  <c r="C1078" i="1"/>
  <c r="C1096" i="1"/>
  <c r="C1114" i="1"/>
  <c r="C1132" i="1"/>
  <c r="C1150" i="1"/>
  <c r="C1168" i="1"/>
  <c r="C1186" i="1"/>
  <c r="C1204" i="1"/>
  <c r="C1222" i="1"/>
  <c r="C1240" i="1"/>
  <c r="C1258" i="1"/>
  <c r="C1276" i="1"/>
  <c r="C1294" i="1"/>
  <c r="C1312" i="1"/>
  <c r="C1330" i="1"/>
  <c r="C1348" i="1"/>
  <c r="C1366" i="1"/>
  <c r="C1384" i="1"/>
  <c r="C1402" i="1"/>
  <c r="C1420" i="1"/>
  <c r="C1438" i="1"/>
  <c r="C1456" i="1"/>
  <c r="C1474" i="1"/>
  <c r="C846" i="1"/>
  <c r="C1260" i="1"/>
  <c r="C1386" i="1"/>
  <c r="C1440" i="1"/>
  <c r="C1476" i="1"/>
  <c r="C26" i="1"/>
  <c r="C68" i="1"/>
  <c r="C110" i="1"/>
  <c r="C143" i="1"/>
  <c r="C174" i="1"/>
  <c r="C206" i="1"/>
  <c r="C239" i="1"/>
  <c r="C270" i="1"/>
  <c r="C302" i="1"/>
  <c r="C335" i="1"/>
  <c r="C366" i="1"/>
  <c r="C398" i="1"/>
  <c r="C427" i="1"/>
  <c r="C456" i="1"/>
  <c r="C484" i="1"/>
  <c r="C510" i="1"/>
  <c r="C536" i="1"/>
  <c r="C562" i="1"/>
  <c r="C587" i="1"/>
  <c r="C613" i="1"/>
  <c r="C640" i="1"/>
  <c r="C664" i="1"/>
  <c r="C685" i="1"/>
  <c r="C706" i="1"/>
  <c r="C730" i="1"/>
  <c r="C750" i="1"/>
  <c r="C769" i="1"/>
  <c r="C791" i="1"/>
  <c r="C809" i="1"/>
  <c r="C827" i="1"/>
  <c r="C845" i="1"/>
  <c r="C863" i="1"/>
  <c r="C881" i="1"/>
  <c r="C899" i="1"/>
  <c r="C917" i="1"/>
  <c r="C935" i="1"/>
  <c r="C953" i="1"/>
  <c r="C971" i="1"/>
  <c r="C989" i="1"/>
  <c r="C1007" i="1"/>
  <c r="C1025" i="1"/>
  <c r="C1043" i="1"/>
  <c r="C1061" i="1"/>
  <c r="C1079" i="1"/>
  <c r="C1097" i="1"/>
  <c r="C1115" i="1"/>
  <c r="C1133" i="1"/>
  <c r="C1151" i="1"/>
  <c r="C1169" i="1"/>
  <c r="C1187" i="1"/>
  <c r="C1205" i="1"/>
  <c r="C1223" i="1"/>
  <c r="C1241" i="1"/>
  <c r="C1259" i="1"/>
  <c r="C1277" i="1"/>
  <c r="C1295" i="1"/>
  <c r="C1313" i="1"/>
  <c r="C1331" i="1"/>
  <c r="C1349" i="1"/>
  <c r="C1367" i="1"/>
  <c r="C1385" i="1"/>
  <c r="C1403" i="1"/>
  <c r="C1421" i="1"/>
  <c r="C1439" i="1"/>
  <c r="C1457" i="1"/>
  <c r="C1475" i="1"/>
  <c r="C29" i="1"/>
  <c r="C72" i="1"/>
  <c r="C112" i="1"/>
  <c r="C144" i="1"/>
  <c r="C177" i="1"/>
  <c r="C208" i="1"/>
  <c r="C240" i="1"/>
  <c r="C273" i="1"/>
  <c r="C304" i="1"/>
  <c r="C336" i="1"/>
  <c r="C369" i="1"/>
  <c r="C400" i="1"/>
  <c r="C429" i="1"/>
  <c r="C457" i="1"/>
  <c r="C485" i="1"/>
  <c r="C511" i="1"/>
  <c r="C537" i="1"/>
  <c r="C563" i="1"/>
  <c r="C588" i="1"/>
  <c r="C614" i="1"/>
  <c r="C641" i="1"/>
  <c r="C665" i="1"/>
  <c r="C686" i="1"/>
  <c r="C707" i="1"/>
  <c r="C731" i="1"/>
  <c r="C753" i="1"/>
  <c r="C773" i="1"/>
  <c r="C792" i="1"/>
  <c r="C810" i="1"/>
  <c r="C828" i="1"/>
  <c r="C864" i="1"/>
  <c r="C882" i="1"/>
  <c r="C900" i="1"/>
  <c r="C918" i="1"/>
  <c r="C936" i="1"/>
  <c r="C954" i="1"/>
  <c r="C972" i="1"/>
  <c r="C990" i="1"/>
  <c r="C1008" i="1"/>
  <c r="C1026" i="1"/>
  <c r="C1044" i="1"/>
  <c r="C1062" i="1"/>
  <c r="C1080" i="1"/>
  <c r="C1098" i="1"/>
  <c r="C1116" i="1"/>
  <c r="C1134" i="1"/>
  <c r="C1152" i="1"/>
  <c r="C1170" i="1"/>
  <c r="C1188" i="1"/>
  <c r="C1206" i="1"/>
  <c r="C1224" i="1"/>
  <c r="C1242" i="1"/>
  <c r="C1278" i="1"/>
  <c r="C1296" i="1"/>
  <c r="C1314" i="1"/>
  <c r="C1332" i="1"/>
  <c r="C1350" i="1"/>
  <c r="C1368" i="1"/>
  <c r="C1404" i="1"/>
  <c r="C1422" i="1"/>
  <c r="C1458" i="1"/>
  <c r="C1492" i="1"/>
  <c r="C44" i="1"/>
  <c r="C89" i="1"/>
  <c r="C124" i="1"/>
  <c r="C156" i="1"/>
  <c r="C189" i="1"/>
  <c r="C220" i="1"/>
  <c r="C252" i="1"/>
  <c r="C285" i="1"/>
  <c r="C316" i="1"/>
  <c r="C348" i="1"/>
  <c r="C381" i="1"/>
  <c r="C410" i="1"/>
  <c r="C439" i="1"/>
  <c r="C468" i="1"/>
  <c r="C494" i="1"/>
  <c r="C521" i="1"/>
  <c r="C547" i="1"/>
  <c r="C572" i="1"/>
  <c r="C595" i="1"/>
  <c r="C621" i="1"/>
  <c r="C647" i="1"/>
  <c r="C668" i="1"/>
  <c r="C692" i="1"/>
  <c r="C716" i="1"/>
  <c r="C737" i="1"/>
  <c r="C756" i="1"/>
  <c r="C778" i="1"/>
  <c r="C797" i="1"/>
  <c r="C815" i="1"/>
  <c r="C833" i="1"/>
  <c r="C851" i="1"/>
  <c r="C869" i="1"/>
  <c r="C887" i="1"/>
  <c r="C905" i="1"/>
  <c r="C923" i="1"/>
  <c r="C941" i="1"/>
  <c r="C959" i="1"/>
  <c r="C977" i="1"/>
  <c r="C995" i="1"/>
  <c r="C1013" i="1"/>
  <c r="C1031" i="1"/>
  <c r="C1049" i="1"/>
  <c r="C1067" i="1"/>
  <c r="C1085" i="1"/>
  <c r="C1103" i="1"/>
  <c r="C1121" i="1"/>
  <c r="C1139" i="1"/>
  <c r="C1157" i="1"/>
  <c r="C1175" i="1"/>
  <c r="C1193" i="1"/>
  <c r="C1211" i="1"/>
  <c r="C1229" i="1"/>
  <c r="C1247" i="1"/>
  <c r="C1265" i="1"/>
  <c r="C1283" i="1"/>
  <c r="C1301" i="1"/>
  <c r="C1319" i="1"/>
  <c r="C1337" i="1"/>
  <c r="C1355" i="1"/>
  <c r="C1373" i="1"/>
  <c r="C1391" i="1"/>
  <c r="C1409" i="1"/>
  <c r="C1427" i="1"/>
  <c r="C1445" i="1"/>
  <c r="C1463" i="1"/>
  <c r="C1481" i="1"/>
  <c r="C1493" i="1"/>
  <c r="C46" i="1"/>
  <c r="C90" i="1"/>
  <c r="C125" i="1"/>
  <c r="C157" i="1"/>
  <c r="C190" i="1"/>
  <c r="C221" i="1"/>
  <c r="C253" i="1"/>
  <c r="C286" i="1"/>
  <c r="C317" i="1"/>
  <c r="C349" i="1"/>
  <c r="C382" i="1"/>
  <c r="C412" i="1"/>
  <c r="C441" i="1"/>
  <c r="C469" i="1"/>
  <c r="C496" i="1"/>
  <c r="C522" i="1"/>
  <c r="C548" i="1"/>
  <c r="C573" i="1"/>
  <c r="C599" i="1"/>
  <c r="C625" i="1"/>
  <c r="C650" i="1"/>
  <c r="C672" i="1"/>
  <c r="C693" i="1"/>
  <c r="C717" i="1"/>
  <c r="C738" i="1"/>
  <c r="C757" i="1"/>
  <c r="C779" i="1"/>
  <c r="C798" i="1"/>
  <c r="C816" i="1"/>
  <c r="C13" i="1"/>
  <c r="C91" i="1"/>
  <c r="C149" i="1"/>
  <c r="C198" i="1"/>
  <c r="C256" i="1"/>
  <c r="C311" i="1"/>
  <c r="C364" i="1"/>
  <c r="C419" i="1"/>
  <c r="C470" i="1"/>
  <c r="C515" i="1"/>
  <c r="C556" i="1"/>
  <c r="C601" i="1"/>
  <c r="C646" i="1"/>
  <c r="C680" i="1"/>
  <c r="C720" i="1"/>
  <c r="C761" i="1"/>
  <c r="C793" i="1"/>
  <c r="C822" i="1"/>
  <c r="C852" i="1"/>
  <c r="C876" i="1"/>
  <c r="C906" i="1"/>
  <c r="C930" i="1"/>
  <c r="C960" i="1"/>
  <c r="C984" i="1"/>
  <c r="C1014" i="1"/>
  <c r="C1038" i="1"/>
  <c r="C1068" i="1"/>
  <c r="C1092" i="1"/>
  <c r="C1122" i="1"/>
  <c r="C1146" i="1"/>
  <c r="C1176" i="1"/>
  <c r="C1200" i="1"/>
  <c r="C1230" i="1"/>
  <c r="C1254" i="1"/>
  <c r="C1284" i="1"/>
  <c r="C1308" i="1"/>
  <c r="C1338" i="1"/>
  <c r="C1362" i="1"/>
  <c r="C1392" i="1"/>
  <c r="C1416" i="1"/>
  <c r="C1446" i="1"/>
  <c r="C1470" i="1"/>
  <c r="C14" i="1"/>
  <c r="C92" i="1"/>
  <c r="C150" i="1"/>
  <c r="C204" i="1"/>
  <c r="C262" i="1"/>
  <c r="C318" i="1"/>
  <c r="C373" i="1"/>
  <c r="C420" i="1"/>
  <c r="C472" i="1"/>
  <c r="C516" i="1"/>
  <c r="C560" i="1"/>
  <c r="C602" i="1"/>
  <c r="C652" i="1"/>
  <c r="C690" i="1"/>
  <c r="C725" i="1"/>
  <c r="C762" i="1"/>
  <c r="C796" i="1"/>
  <c r="C825" i="1"/>
  <c r="C853" i="1"/>
  <c r="C877" i="1"/>
  <c r="C909" i="1"/>
  <c r="C933" i="1"/>
  <c r="C961" i="1"/>
  <c r="C985" i="1"/>
  <c r="C1017" i="1"/>
  <c r="C1041" i="1"/>
  <c r="C1069" i="1"/>
  <c r="C1093" i="1"/>
  <c r="C1125" i="1"/>
  <c r="C1149" i="1"/>
  <c r="C1177" i="1"/>
  <c r="C1201" i="1"/>
  <c r="C1233" i="1"/>
  <c r="C1257" i="1"/>
  <c r="C1285" i="1"/>
  <c r="C1309" i="1"/>
  <c r="C1341" i="1"/>
  <c r="C1365" i="1"/>
  <c r="C1393" i="1"/>
  <c r="C1417" i="1"/>
  <c r="C1449" i="1"/>
  <c r="C1473" i="1"/>
  <c r="C24" i="1"/>
  <c r="C98" i="1"/>
  <c r="C158" i="1"/>
  <c r="C214" i="1"/>
  <c r="C263" i="1"/>
  <c r="C321" i="1"/>
  <c r="C374" i="1"/>
  <c r="C425" i="1"/>
  <c r="C476" i="1"/>
  <c r="C523" i="1"/>
  <c r="C568" i="1"/>
  <c r="C607" i="1"/>
  <c r="C653" i="1"/>
  <c r="C691" i="1"/>
  <c r="C726" i="1"/>
  <c r="C765" i="1"/>
  <c r="C801" i="1"/>
  <c r="C829" i="1"/>
  <c r="C856" i="1"/>
  <c r="C885" i="1"/>
  <c r="C910" i="1"/>
  <c r="C937" i="1"/>
  <c r="C964" i="1"/>
  <c r="C993" i="1"/>
  <c r="C1018" i="1"/>
  <c r="C1045" i="1"/>
  <c r="C1072" i="1"/>
  <c r="C1101" i="1"/>
  <c r="C1126" i="1"/>
  <c r="C1153" i="1"/>
  <c r="C1180" i="1"/>
  <c r="C1209" i="1"/>
  <c r="C1234" i="1"/>
  <c r="C1261" i="1"/>
  <c r="C1288" i="1"/>
  <c r="C1317" i="1"/>
  <c r="C1342" i="1"/>
  <c r="C1369" i="1"/>
  <c r="C1396" i="1"/>
  <c r="C1425" i="1"/>
  <c r="C1450" i="1"/>
  <c r="C1477" i="1"/>
  <c r="C994" i="1"/>
  <c r="C1127" i="1"/>
  <c r="C1210" i="1"/>
  <c r="C1264" i="1"/>
  <c r="C1318" i="1"/>
  <c r="C1372" i="1"/>
  <c r="C1426" i="1"/>
  <c r="C1480" i="1"/>
  <c r="C36" i="1"/>
  <c r="C166" i="1"/>
  <c r="C277" i="1"/>
  <c r="C384" i="1"/>
  <c r="C481" i="1"/>
  <c r="C574" i="1"/>
  <c r="C655" i="1"/>
  <c r="C35" i="1"/>
  <c r="C101" i="1"/>
  <c r="C160" i="1"/>
  <c r="C215" i="1"/>
  <c r="C268" i="1"/>
  <c r="C325" i="1"/>
  <c r="C383" i="1"/>
  <c r="C433" i="1"/>
  <c r="C477" i="1"/>
  <c r="C524" i="1"/>
  <c r="C569" i="1"/>
  <c r="C608" i="1"/>
  <c r="C654" i="1"/>
  <c r="C694" i="1"/>
  <c r="C732" i="1"/>
  <c r="C766" i="1"/>
  <c r="C802" i="1"/>
  <c r="C832" i="1"/>
  <c r="C857" i="1"/>
  <c r="C886" i="1"/>
  <c r="C911" i="1"/>
  <c r="C940" i="1"/>
  <c r="C965" i="1"/>
  <c r="C1019" i="1"/>
  <c r="C1048" i="1"/>
  <c r="C1073" i="1"/>
  <c r="C1102" i="1"/>
  <c r="C1156" i="1"/>
  <c r="C1181" i="1"/>
  <c r="C1235" i="1"/>
  <c r="C1289" i="1"/>
  <c r="C1343" i="1"/>
  <c r="C1397" i="1"/>
  <c r="C1451" i="1"/>
  <c r="C108" i="1"/>
  <c r="C222" i="1"/>
  <c r="C326" i="1"/>
  <c r="C434" i="1"/>
  <c r="C528" i="1"/>
  <c r="C616" i="1"/>
  <c r="C698" i="1"/>
  <c r="C47" i="1"/>
  <c r="C118" i="1"/>
  <c r="C167" i="1"/>
  <c r="C225" i="1"/>
  <c r="C278" i="1"/>
  <c r="C333" i="1"/>
  <c r="C389" i="1"/>
  <c r="C442" i="1"/>
  <c r="C489" i="1"/>
  <c r="C529" i="1"/>
  <c r="C575" i="1"/>
  <c r="C620" i="1"/>
  <c r="C659" i="1"/>
  <c r="C700" i="1"/>
  <c r="C741" i="1"/>
  <c r="C774" i="1"/>
  <c r="C804" i="1"/>
  <c r="C837" i="1"/>
  <c r="C861" i="1"/>
  <c r="C889" i="1"/>
  <c r="C913" i="1"/>
  <c r="C945" i="1"/>
  <c r="C969" i="1"/>
  <c r="C997" i="1"/>
  <c r="C1021" i="1"/>
  <c r="C1053" i="1"/>
  <c r="C1077" i="1"/>
  <c r="C1105" i="1"/>
  <c r="C1129" i="1"/>
  <c r="C1161" i="1"/>
  <c r="C1185" i="1"/>
  <c r="C1213" i="1"/>
  <c r="C1237" i="1"/>
  <c r="C1269" i="1"/>
  <c r="C1293" i="1"/>
  <c r="C1321" i="1"/>
  <c r="C1345" i="1"/>
  <c r="C1377" i="1"/>
  <c r="C1401" i="1"/>
  <c r="C1429" i="1"/>
  <c r="C1453" i="1"/>
  <c r="C1485" i="1"/>
  <c r="C490" i="1"/>
  <c r="C1054" i="1"/>
  <c r="C1162" i="1"/>
  <c r="C1245" i="1"/>
  <c r="C1297" i="1"/>
  <c r="C1353" i="1"/>
  <c r="C1405" i="1"/>
  <c r="C1461" i="1"/>
  <c r="C1486" i="1"/>
  <c r="C126" i="1"/>
  <c r="C230" i="1"/>
  <c r="C342" i="1"/>
  <c r="C448" i="1"/>
  <c r="C541" i="1"/>
  <c r="C628" i="1"/>
  <c r="C704" i="1"/>
  <c r="C780" i="1"/>
  <c r="C839" i="1"/>
  <c r="C893" i="1"/>
  <c r="C947" i="1"/>
  <c r="C1001" i="1"/>
  <c r="C1055" i="1"/>
  <c r="C1109" i="1"/>
  <c r="C1163" i="1"/>
  <c r="C1217" i="1"/>
  <c r="C1271" i="1"/>
  <c r="C1325" i="1"/>
  <c r="C1379" i="1"/>
  <c r="C1433" i="1"/>
  <c r="C1487" i="1"/>
  <c r="C59" i="1"/>
  <c r="C129" i="1"/>
  <c r="C182" i="1"/>
  <c r="C293" i="1"/>
  <c r="C405" i="1"/>
  <c r="C498" i="1"/>
  <c r="C582" i="1"/>
  <c r="C673" i="1"/>
  <c r="C744" i="1"/>
  <c r="C814" i="1"/>
  <c r="C870" i="1"/>
  <c r="C924" i="1"/>
  <c r="C978" i="1"/>
  <c r="C1032" i="1"/>
  <c r="C1086" i="1"/>
  <c r="C1140" i="1"/>
  <c r="C1194" i="1"/>
  <c r="C1218" i="1"/>
  <c r="C1272" i="1"/>
  <c r="C1326" i="1"/>
  <c r="C1380" i="1"/>
  <c r="C1410" i="1"/>
  <c r="C1464" i="1"/>
  <c r="C133" i="1"/>
  <c r="C245" i="1"/>
  <c r="C352" i="1"/>
  <c r="C454" i="1"/>
  <c r="C589" i="1"/>
  <c r="C677" i="1"/>
  <c r="C745" i="1"/>
  <c r="C817" i="1"/>
  <c r="C873" i="1"/>
  <c r="C925" i="1"/>
  <c r="C981" i="1"/>
  <c r="C1033" i="1"/>
  <c r="C1089" i="1"/>
  <c r="C1141" i="1"/>
  <c r="C1197" i="1"/>
  <c r="C1273" i="1"/>
  <c r="C1329" i="1"/>
  <c r="C1381" i="1"/>
  <c r="C1437" i="1"/>
  <c r="C49" i="1"/>
  <c r="C119" i="1"/>
  <c r="C172" i="1"/>
  <c r="C229" i="1"/>
  <c r="C287" i="1"/>
  <c r="C341" i="1"/>
  <c r="C390" i="1"/>
  <c r="C443" i="1"/>
  <c r="C534" i="1"/>
  <c r="C576" i="1"/>
  <c r="C626" i="1"/>
  <c r="C666" i="1"/>
  <c r="C703" i="1"/>
  <c r="C742" i="1"/>
  <c r="C777" i="1"/>
  <c r="C805" i="1"/>
  <c r="C838" i="1"/>
  <c r="C865" i="1"/>
  <c r="C892" i="1"/>
  <c r="C921" i="1"/>
  <c r="C946" i="1"/>
  <c r="C973" i="1"/>
  <c r="C1000" i="1"/>
  <c r="C1029" i="1"/>
  <c r="C1081" i="1"/>
  <c r="C1108" i="1"/>
  <c r="C1137" i="1"/>
  <c r="C1189" i="1"/>
  <c r="C1216" i="1"/>
  <c r="C1270" i="1"/>
  <c r="C1324" i="1"/>
  <c r="C1378" i="1"/>
  <c r="C1432" i="1"/>
  <c r="C58" i="1"/>
  <c r="C181" i="1"/>
  <c r="C288" i="1"/>
  <c r="C396" i="1"/>
  <c r="C497" i="1"/>
  <c r="C581" i="1"/>
  <c r="C667" i="1"/>
  <c r="C743" i="1"/>
  <c r="C813" i="1"/>
  <c r="C868" i="1"/>
  <c r="C922" i="1"/>
  <c r="C976" i="1"/>
  <c r="C1030" i="1"/>
  <c r="C1084" i="1"/>
  <c r="C1138" i="1"/>
  <c r="C1192" i="1"/>
  <c r="C1246" i="1"/>
  <c r="C1300" i="1"/>
  <c r="C1354" i="1"/>
  <c r="C1408" i="1"/>
  <c r="C1462" i="1"/>
  <c r="C237" i="1"/>
  <c r="C350" i="1"/>
  <c r="C449" i="1"/>
  <c r="C542" i="1"/>
  <c r="C629" i="1"/>
  <c r="C712" i="1"/>
  <c r="C781" i="1"/>
  <c r="C840" i="1"/>
  <c r="C894" i="1"/>
  <c r="C948" i="1"/>
  <c r="C1002" i="1"/>
  <c r="C1056" i="1"/>
  <c r="C1110" i="1"/>
  <c r="C1164" i="1"/>
  <c r="C1248" i="1"/>
  <c r="C1302" i="1"/>
  <c r="C1356" i="1"/>
  <c r="C1434" i="1"/>
  <c r="C1488" i="1"/>
  <c r="C66" i="1"/>
  <c r="C191" i="1"/>
  <c r="C294" i="1"/>
  <c r="C406" i="1"/>
  <c r="C502" i="1"/>
  <c r="C633" i="1"/>
  <c r="C713" i="1"/>
  <c r="C785" i="1"/>
  <c r="C841" i="1"/>
  <c r="C897" i="1"/>
  <c r="C949" i="1"/>
  <c r="C1005" i="1"/>
  <c r="C1057" i="1"/>
  <c r="C1113" i="1"/>
  <c r="C1165" i="1"/>
  <c r="C1249" i="1"/>
  <c r="C1305" i="1"/>
  <c r="C1357" i="1"/>
  <c r="C1413" i="1"/>
  <c r="C1465" i="1"/>
  <c r="C549" i="1"/>
  <c r="C1221" i="1"/>
  <c r="C1489" i="1"/>
  <c r="C192" i="1"/>
  <c r="C503" i="1"/>
  <c r="C733" i="1"/>
  <c r="C858" i="1"/>
  <c r="C966" i="1"/>
  <c r="C1074" i="1"/>
  <c r="C1182" i="1"/>
  <c r="C1290" i="1"/>
  <c r="C1398" i="1"/>
  <c r="C246" i="1"/>
  <c r="C550" i="1"/>
  <c r="C875" i="1"/>
  <c r="C1091" i="1"/>
  <c r="C1307" i="1"/>
  <c r="C554" i="1"/>
  <c r="C888" i="1"/>
  <c r="C1104" i="1"/>
  <c r="C1320" i="1"/>
  <c r="C789" i="1"/>
  <c r="C1228" i="1"/>
  <c r="C5" i="1"/>
  <c r="C634" i="1"/>
  <c r="C912" i="1"/>
  <c r="C1236" i="1"/>
  <c r="C359" i="1"/>
  <c r="C928" i="1"/>
  <c r="C1252" i="1"/>
  <c r="C78" i="1"/>
  <c r="C678" i="1"/>
  <c r="C1037" i="1"/>
  <c r="C1361" i="1"/>
  <c r="C679" i="1"/>
  <c r="C1050" i="1"/>
  <c r="C1482" i="1"/>
  <c r="C134" i="1"/>
  <c r="C849" i="1"/>
  <c r="C1065" i="1"/>
  <c r="C1389" i="1"/>
  <c r="C463" i="1"/>
  <c r="C958" i="1"/>
  <c r="C1174" i="1"/>
  <c r="C1390" i="1"/>
  <c r="C197" i="1"/>
  <c r="C508" i="1"/>
  <c r="C754" i="1"/>
  <c r="C874" i="1"/>
  <c r="C982" i="1"/>
  <c r="C1090" i="1"/>
  <c r="C1198" i="1"/>
  <c r="C1306" i="1"/>
  <c r="C1414" i="1"/>
  <c r="C755" i="1"/>
  <c r="C983" i="1"/>
  <c r="C1199" i="1"/>
  <c r="C1415" i="1"/>
  <c r="C254" i="1"/>
  <c r="C767" i="1"/>
  <c r="C996" i="1"/>
  <c r="C1212" i="1"/>
  <c r="C1428" i="1"/>
  <c r="C310" i="1"/>
  <c r="C1012" i="1"/>
  <c r="C1336" i="1"/>
  <c r="C358" i="1"/>
  <c r="C803" i="1"/>
  <c r="C1128" i="1"/>
  <c r="C1344" i="1"/>
  <c r="C8" i="1"/>
  <c r="C820" i="1"/>
  <c r="C1144" i="1"/>
  <c r="C1468" i="1"/>
  <c r="C413" i="1"/>
  <c r="C929" i="1"/>
  <c r="C1253" i="1"/>
  <c r="C79" i="1"/>
  <c r="C834" i="1"/>
  <c r="C1158" i="1"/>
  <c r="C1374" i="1"/>
  <c r="C718" i="1"/>
  <c r="C1173" i="1"/>
  <c r="C141" i="1"/>
  <c r="C850" i="1"/>
  <c r="C1282" i="1"/>
  <c r="C300" i="1"/>
  <c r="C594" i="1"/>
  <c r="C786" i="1"/>
  <c r="C901" i="1"/>
  <c r="C1009" i="1"/>
  <c r="C1117" i="1"/>
  <c r="C1225" i="1"/>
  <c r="C1333" i="1"/>
  <c r="C1441" i="1"/>
  <c r="C600" i="1"/>
  <c r="C904" i="1"/>
  <c r="C1120" i="1"/>
  <c r="C1444" i="1"/>
  <c r="C1020" i="1"/>
  <c r="C1452" i="1"/>
  <c r="C642" i="1"/>
  <c r="C1036" i="1"/>
  <c r="C1360" i="1"/>
  <c r="C821" i="1"/>
  <c r="C1145" i="1"/>
  <c r="C1469" i="1"/>
  <c r="C414" i="1"/>
  <c r="C942" i="1"/>
  <c r="C1266" i="1"/>
  <c r="C462" i="1"/>
  <c r="C957" i="1"/>
  <c r="C1281" i="1"/>
  <c r="C719" i="1"/>
  <c r="C1066" i="1"/>
  <c r="H4" i="1"/>
  <c r="H27" i="1"/>
  <c r="N8" i="1"/>
  <c r="I4" i="1" s="1"/>
  <c r="D11" i="1"/>
  <c r="D23" i="1"/>
  <c r="D35" i="1"/>
  <c r="D47" i="1"/>
  <c r="D59" i="1"/>
  <c r="D71" i="1"/>
  <c r="D83" i="1"/>
  <c r="D95" i="1"/>
  <c r="D107" i="1"/>
  <c r="D119" i="1"/>
  <c r="D131" i="1"/>
  <c r="D143" i="1"/>
  <c r="D155" i="1"/>
  <c r="D167" i="1"/>
  <c r="D179" i="1"/>
  <c r="D191" i="1"/>
  <c r="D203" i="1"/>
  <c r="D215" i="1"/>
  <c r="D227" i="1"/>
  <c r="D239" i="1"/>
  <c r="D251" i="1"/>
  <c r="D263" i="1"/>
  <c r="D275" i="1"/>
  <c r="D287" i="1"/>
  <c r="D299" i="1"/>
  <c r="D311" i="1"/>
  <c r="D323" i="1"/>
  <c r="D335" i="1"/>
  <c r="D347" i="1"/>
  <c r="D359" i="1"/>
  <c r="D371" i="1"/>
  <c r="D383" i="1"/>
  <c r="D395" i="1"/>
  <c r="D407" i="1"/>
  <c r="D419" i="1"/>
  <c r="D431" i="1"/>
  <c r="D443" i="1"/>
  <c r="D455" i="1"/>
  <c r="D467" i="1"/>
  <c r="D479" i="1"/>
  <c r="D491" i="1"/>
  <c r="D503" i="1"/>
  <c r="D515" i="1"/>
  <c r="D527" i="1"/>
  <c r="D539" i="1"/>
  <c r="D551" i="1"/>
  <c r="D563" i="1"/>
  <c r="D575" i="1"/>
  <c r="D587" i="1"/>
  <c r="D599" i="1"/>
  <c r="D611" i="1"/>
  <c r="D623" i="1"/>
  <c r="D635" i="1"/>
  <c r="D647" i="1"/>
  <c r="D659" i="1"/>
  <c r="D671" i="1"/>
  <c r="D683" i="1"/>
  <c r="D695" i="1"/>
  <c r="D707" i="1"/>
  <c r="D719" i="1"/>
  <c r="D731" i="1"/>
  <c r="D743" i="1"/>
  <c r="D755" i="1"/>
  <c r="D767" i="1"/>
  <c r="D779" i="1"/>
  <c r="D791" i="1"/>
  <c r="D803" i="1"/>
  <c r="D815" i="1"/>
  <c r="D827" i="1"/>
  <c r="D839" i="1"/>
  <c r="D851" i="1"/>
  <c r="D863" i="1"/>
  <c r="D875" i="1"/>
  <c r="D887" i="1"/>
  <c r="D899" i="1"/>
  <c r="D911" i="1"/>
  <c r="D923" i="1"/>
  <c r="D935" i="1"/>
  <c r="D947" i="1"/>
  <c r="D959" i="1"/>
  <c r="D971" i="1"/>
  <c r="D983" i="1"/>
  <c r="D995" i="1"/>
  <c r="D1007" i="1"/>
  <c r="D1019" i="1"/>
  <c r="D12" i="1"/>
  <c r="D24" i="1"/>
  <c r="D36" i="1"/>
  <c r="D48" i="1"/>
  <c r="D60" i="1"/>
  <c r="D72" i="1"/>
  <c r="D84" i="1"/>
  <c r="D96" i="1"/>
  <c r="D108" i="1"/>
  <c r="D120" i="1"/>
  <c r="D132" i="1"/>
  <c r="D144" i="1"/>
  <c r="D156" i="1"/>
  <c r="D168" i="1"/>
  <c r="D180" i="1"/>
  <c r="D192" i="1"/>
  <c r="D204" i="1"/>
  <c r="D216" i="1"/>
  <c r="D228" i="1"/>
  <c r="D240" i="1"/>
  <c r="D252" i="1"/>
  <c r="D264" i="1"/>
  <c r="D276" i="1"/>
  <c r="D288" i="1"/>
  <c r="D300" i="1"/>
  <c r="D312" i="1"/>
  <c r="D324" i="1"/>
  <c r="D336" i="1"/>
  <c r="D348" i="1"/>
  <c r="D360" i="1"/>
  <c r="D372" i="1"/>
  <c r="D384" i="1"/>
  <c r="D396" i="1"/>
  <c r="D408" i="1"/>
  <c r="D420" i="1"/>
  <c r="D432" i="1"/>
  <c r="D444" i="1"/>
  <c r="D456" i="1"/>
  <c r="D468" i="1"/>
  <c r="D480" i="1"/>
  <c r="D492" i="1"/>
  <c r="D504" i="1"/>
  <c r="D516" i="1"/>
  <c r="D528" i="1"/>
  <c r="D540" i="1"/>
  <c r="D552" i="1"/>
  <c r="D564" i="1"/>
  <c r="D576" i="1"/>
  <c r="D588" i="1"/>
  <c r="D600" i="1"/>
  <c r="D612" i="1"/>
  <c r="D624" i="1"/>
  <c r="D636" i="1"/>
  <c r="D648" i="1"/>
  <c r="D660" i="1"/>
  <c r="D672" i="1"/>
  <c r="D684" i="1"/>
  <c r="D696" i="1"/>
  <c r="D708" i="1"/>
  <c r="D720" i="1"/>
  <c r="D732" i="1"/>
  <c r="D744" i="1"/>
  <c r="D756" i="1"/>
  <c r="D768" i="1"/>
  <c r="D780" i="1"/>
  <c r="D792" i="1"/>
  <c r="D804" i="1"/>
  <c r="D816" i="1"/>
  <c r="D828" i="1"/>
  <c r="D840" i="1"/>
  <c r="D852" i="1"/>
  <c r="D864" i="1"/>
  <c r="D876" i="1"/>
  <c r="D888" i="1"/>
  <c r="D900" i="1"/>
  <c r="D912" i="1"/>
  <c r="D924" i="1"/>
  <c r="D936" i="1"/>
  <c r="D948" i="1"/>
  <c r="D960" i="1"/>
  <c r="D972" i="1"/>
  <c r="D984" i="1"/>
  <c r="D996" i="1"/>
  <c r="D1008" i="1"/>
  <c r="D4" i="1"/>
  <c r="D16" i="1"/>
  <c r="D28" i="1"/>
  <c r="D40" i="1"/>
  <c r="D52" i="1"/>
  <c r="D64" i="1"/>
  <c r="D76" i="1"/>
  <c r="D88" i="1"/>
  <c r="D100" i="1"/>
  <c r="D112" i="1"/>
  <c r="D124" i="1"/>
  <c r="D136" i="1"/>
  <c r="D148" i="1"/>
  <c r="D160" i="1"/>
  <c r="D172" i="1"/>
  <c r="D184" i="1"/>
  <c r="D196" i="1"/>
  <c r="D208" i="1"/>
  <c r="D220" i="1"/>
  <c r="D232" i="1"/>
  <c r="D244" i="1"/>
  <c r="D256" i="1"/>
  <c r="D268" i="1"/>
  <c r="D280" i="1"/>
  <c r="D292" i="1"/>
  <c r="D304" i="1"/>
  <c r="D316" i="1"/>
  <c r="D328" i="1"/>
  <c r="D340" i="1"/>
  <c r="D352" i="1"/>
  <c r="D364" i="1"/>
  <c r="D376" i="1"/>
  <c r="D388" i="1"/>
  <c r="D400" i="1"/>
  <c r="D412" i="1"/>
  <c r="D424" i="1"/>
  <c r="D436" i="1"/>
  <c r="D448" i="1"/>
  <c r="D460" i="1"/>
  <c r="D472" i="1"/>
  <c r="D484" i="1"/>
  <c r="D496" i="1"/>
  <c r="D508" i="1"/>
  <c r="D5" i="1"/>
  <c r="D17" i="1"/>
  <c r="D29" i="1"/>
  <c r="D41" i="1"/>
  <c r="D53" i="1"/>
  <c r="D65" i="1"/>
  <c r="D77" i="1"/>
  <c r="D89" i="1"/>
  <c r="D101" i="1"/>
  <c r="D113" i="1"/>
  <c r="D125" i="1"/>
  <c r="D137" i="1"/>
  <c r="D149" i="1"/>
  <c r="D161" i="1"/>
  <c r="D173" i="1"/>
  <c r="D185" i="1"/>
  <c r="D197" i="1"/>
  <c r="D209" i="1"/>
  <c r="D221" i="1"/>
  <c r="D233" i="1"/>
  <c r="D245" i="1"/>
  <c r="D257" i="1"/>
  <c r="D269" i="1"/>
  <c r="D281" i="1"/>
  <c r="D293" i="1"/>
  <c r="D305" i="1"/>
  <c r="D317" i="1"/>
  <c r="D329" i="1"/>
  <c r="D6" i="1"/>
  <c r="D7" i="1"/>
  <c r="D8" i="1"/>
  <c r="D20" i="1"/>
  <c r="D32" i="1"/>
  <c r="D44" i="1"/>
  <c r="D56" i="1"/>
  <c r="D68" i="1"/>
  <c r="D80" i="1"/>
  <c r="D92" i="1"/>
  <c r="D104" i="1"/>
  <c r="D116" i="1"/>
  <c r="D128" i="1"/>
  <c r="D140" i="1"/>
  <c r="D152" i="1"/>
  <c r="D164" i="1"/>
  <c r="D176" i="1"/>
  <c r="D188" i="1"/>
  <c r="D200" i="1"/>
  <c r="D212" i="1"/>
  <c r="D224" i="1"/>
  <c r="D236" i="1"/>
  <c r="D22" i="1"/>
  <c r="D43" i="1"/>
  <c r="D63" i="1"/>
  <c r="D85" i="1"/>
  <c r="D105" i="1"/>
  <c r="D126" i="1"/>
  <c r="D146" i="1"/>
  <c r="D166" i="1"/>
  <c r="D187" i="1"/>
  <c r="D207" i="1"/>
  <c r="D229" i="1"/>
  <c r="D248" i="1"/>
  <c r="D266" i="1"/>
  <c r="D284" i="1"/>
  <c r="D302" i="1"/>
  <c r="D320" i="1"/>
  <c r="D338" i="1"/>
  <c r="D354" i="1"/>
  <c r="D369" i="1"/>
  <c r="D386" i="1"/>
  <c r="D402" i="1"/>
  <c r="D417" i="1"/>
  <c r="D434" i="1"/>
  <c r="D450" i="1"/>
  <c r="D465" i="1"/>
  <c r="D482" i="1"/>
  <c r="D498" i="1"/>
  <c r="D513" i="1"/>
  <c r="D529" i="1"/>
  <c r="D543" i="1"/>
  <c r="D557" i="1"/>
  <c r="D571" i="1"/>
  <c r="D585" i="1"/>
  <c r="D601" i="1"/>
  <c r="D615" i="1"/>
  <c r="D629" i="1"/>
  <c r="D643" i="1"/>
  <c r="D657" i="1"/>
  <c r="D673" i="1"/>
  <c r="D687" i="1"/>
  <c r="D701" i="1"/>
  <c r="D715" i="1"/>
  <c r="D729" i="1"/>
  <c r="D745" i="1"/>
  <c r="D759" i="1"/>
  <c r="D773" i="1"/>
  <c r="D787" i="1"/>
  <c r="D801" i="1"/>
  <c r="D817" i="1"/>
  <c r="D831" i="1"/>
  <c r="D845" i="1"/>
  <c r="D859" i="1"/>
  <c r="D873" i="1"/>
  <c r="D889" i="1"/>
  <c r="D903" i="1"/>
  <c r="D917" i="1"/>
  <c r="D931" i="1"/>
  <c r="D945" i="1"/>
  <c r="D961" i="1"/>
  <c r="D975" i="1"/>
  <c r="D989" i="1"/>
  <c r="D1003" i="1"/>
  <c r="D1017" i="1"/>
  <c r="D1030" i="1"/>
  <c r="D1042" i="1"/>
  <c r="D1054" i="1"/>
  <c r="D1066" i="1"/>
  <c r="D1078" i="1"/>
  <c r="D1090" i="1"/>
  <c r="D1102" i="1"/>
  <c r="D1114" i="1"/>
  <c r="D1126" i="1"/>
  <c r="D1138" i="1"/>
  <c r="D1150" i="1"/>
  <c r="D1162" i="1"/>
  <c r="D1174" i="1"/>
  <c r="D1186" i="1"/>
  <c r="D1198" i="1"/>
  <c r="D1210" i="1"/>
  <c r="D1222" i="1"/>
  <c r="D1234" i="1"/>
  <c r="D1246" i="1"/>
  <c r="D1258" i="1"/>
  <c r="D1270" i="1"/>
  <c r="D1282" i="1"/>
  <c r="D25" i="1"/>
  <c r="D45" i="1"/>
  <c r="D66" i="1"/>
  <c r="D86" i="1"/>
  <c r="D106" i="1"/>
  <c r="D127" i="1"/>
  <c r="D147" i="1"/>
  <c r="D169" i="1"/>
  <c r="D189" i="1"/>
  <c r="D210" i="1"/>
  <c r="D230" i="1"/>
  <c r="D249" i="1"/>
  <c r="D267" i="1"/>
  <c r="D285" i="1"/>
  <c r="D303" i="1"/>
  <c r="D321" i="1"/>
  <c r="D339" i="1"/>
  <c r="D355" i="1"/>
  <c r="D370" i="1"/>
  <c r="D387" i="1"/>
  <c r="D403" i="1"/>
  <c r="D418" i="1"/>
  <c r="D435" i="1"/>
  <c r="D451" i="1"/>
  <c r="D466" i="1"/>
  <c r="D483" i="1"/>
  <c r="D499" i="1"/>
  <c r="D514" i="1"/>
  <c r="D530" i="1"/>
  <c r="D544" i="1"/>
  <c r="D558" i="1"/>
  <c r="D572" i="1"/>
  <c r="D586" i="1"/>
  <c r="D602" i="1"/>
  <c r="D616" i="1"/>
  <c r="D630" i="1"/>
  <c r="D644" i="1"/>
  <c r="D658" i="1"/>
  <c r="D674" i="1"/>
  <c r="D688" i="1"/>
  <c r="D702" i="1"/>
  <c r="D716" i="1"/>
  <c r="D730" i="1"/>
  <c r="D746" i="1"/>
  <c r="D760" i="1"/>
  <c r="D774" i="1"/>
  <c r="D788" i="1"/>
  <c r="D802" i="1"/>
  <c r="D818" i="1"/>
  <c r="D832" i="1"/>
  <c r="D846" i="1"/>
  <c r="D860" i="1"/>
  <c r="D874" i="1"/>
  <c r="D890" i="1"/>
  <c r="D904" i="1"/>
  <c r="D918" i="1"/>
  <c r="D932" i="1"/>
  <c r="D946" i="1"/>
  <c r="D962" i="1"/>
  <c r="D976" i="1"/>
  <c r="D990" i="1"/>
  <c r="D1004" i="1"/>
  <c r="D1018" i="1"/>
  <c r="D1031" i="1"/>
  <c r="D1043" i="1"/>
  <c r="D1055" i="1"/>
  <c r="D1067" i="1"/>
  <c r="D1079" i="1"/>
  <c r="D1091" i="1"/>
  <c r="D1103" i="1"/>
  <c r="D1115" i="1"/>
  <c r="D1127" i="1"/>
  <c r="D1139" i="1"/>
  <c r="D1151" i="1"/>
  <c r="D1163" i="1"/>
  <c r="D1175" i="1"/>
  <c r="D1187" i="1"/>
  <c r="D1199" i="1"/>
  <c r="D1211" i="1"/>
  <c r="D1223" i="1"/>
  <c r="D1235" i="1"/>
  <c r="D1247" i="1"/>
  <c r="D1259" i="1"/>
  <c r="D1271" i="1"/>
  <c r="D1283" i="1"/>
  <c r="D26" i="1"/>
  <c r="D46" i="1"/>
  <c r="D67" i="1"/>
  <c r="D87" i="1"/>
  <c r="D109" i="1"/>
  <c r="D129" i="1"/>
  <c r="D150" i="1"/>
  <c r="D10" i="1"/>
  <c r="D31" i="1"/>
  <c r="D51" i="1"/>
  <c r="D73" i="1"/>
  <c r="D93" i="1"/>
  <c r="D114" i="1"/>
  <c r="D134" i="1"/>
  <c r="D154" i="1"/>
  <c r="D175" i="1"/>
  <c r="D195" i="1"/>
  <c r="D217" i="1"/>
  <c r="D237" i="1"/>
  <c r="D255" i="1"/>
  <c r="D273" i="1"/>
  <c r="D291" i="1"/>
  <c r="D309" i="1"/>
  <c r="D327" i="1"/>
  <c r="D344" i="1"/>
  <c r="D361" i="1"/>
  <c r="D377" i="1"/>
  <c r="D392" i="1"/>
  <c r="D409" i="1"/>
  <c r="D425" i="1"/>
  <c r="D440" i="1"/>
  <c r="D457" i="1"/>
  <c r="D473" i="1"/>
  <c r="D488" i="1"/>
  <c r="D505" i="1"/>
  <c r="D520" i="1"/>
  <c r="D534" i="1"/>
  <c r="D548" i="1"/>
  <c r="D562" i="1"/>
  <c r="D578" i="1"/>
  <c r="D592" i="1"/>
  <c r="D606" i="1"/>
  <c r="D620" i="1"/>
  <c r="D634" i="1"/>
  <c r="D650" i="1"/>
  <c r="D664" i="1"/>
  <c r="D678" i="1"/>
  <c r="D692" i="1"/>
  <c r="D706" i="1"/>
  <c r="D722" i="1"/>
  <c r="D736" i="1"/>
  <c r="D750" i="1"/>
  <c r="D764" i="1"/>
  <c r="D778" i="1"/>
  <c r="D794" i="1"/>
  <c r="D808" i="1"/>
  <c r="D822" i="1"/>
  <c r="D836" i="1"/>
  <c r="D850" i="1"/>
  <c r="D866" i="1"/>
  <c r="D880" i="1"/>
  <c r="D894" i="1"/>
  <c r="D908" i="1"/>
  <c r="D922" i="1"/>
  <c r="D938" i="1"/>
  <c r="D952" i="1"/>
  <c r="D966" i="1"/>
  <c r="D980" i="1"/>
  <c r="D994" i="1"/>
  <c r="D1010" i="1"/>
  <c r="D1023" i="1"/>
  <c r="D1035" i="1"/>
  <c r="D1047" i="1"/>
  <c r="D1059" i="1"/>
  <c r="D1071" i="1"/>
  <c r="D1083" i="1"/>
  <c r="D1095" i="1"/>
  <c r="D1107" i="1"/>
  <c r="D1119" i="1"/>
  <c r="D1131" i="1"/>
  <c r="D1143" i="1"/>
  <c r="D1155" i="1"/>
  <c r="D1167" i="1"/>
  <c r="D1179" i="1"/>
  <c r="D1191" i="1"/>
  <c r="D1203" i="1"/>
  <c r="D1215" i="1"/>
  <c r="D1227" i="1"/>
  <c r="D1239" i="1"/>
  <c r="D1251" i="1"/>
  <c r="D1263" i="1"/>
  <c r="D1275" i="1"/>
  <c r="D13" i="1"/>
  <c r="D33" i="1"/>
  <c r="D54" i="1"/>
  <c r="D74" i="1"/>
  <c r="D94" i="1"/>
  <c r="D115" i="1"/>
  <c r="D135" i="1"/>
  <c r="D157" i="1"/>
  <c r="D177" i="1"/>
  <c r="D198" i="1"/>
  <c r="D218" i="1"/>
  <c r="D238" i="1"/>
  <c r="D258" i="1"/>
  <c r="D274" i="1"/>
  <c r="D294" i="1"/>
  <c r="D310" i="1"/>
  <c r="D330" i="1"/>
  <c r="D345" i="1"/>
  <c r="D362" i="1"/>
  <c r="D378" i="1"/>
  <c r="D393" i="1"/>
  <c r="D410" i="1"/>
  <c r="D426" i="1"/>
  <c r="D441" i="1"/>
  <c r="D458" i="1"/>
  <c r="D474" i="1"/>
  <c r="D489" i="1"/>
  <c r="D506" i="1"/>
  <c r="D521" i="1"/>
  <c r="D535" i="1"/>
  <c r="D549" i="1"/>
  <c r="D565" i="1"/>
  <c r="D579" i="1"/>
  <c r="D593" i="1"/>
  <c r="D607" i="1"/>
  <c r="D621" i="1"/>
  <c r="D637" i="1"/>
  <c r="D651" i="1"/>
  <c r="D665" i="1"/>
  <c r="D679" i="1"/>
  <c r="D693" i="1"/>
  <c r="D709" i="1"/>
  <c r="D723" i="1"/>
  <c r="D737" i="1"/>
  <c r="D751" i="1"/>
  <c r="D765" i="1"/>
  <c r="D781" i="1"/>
  <c r="D795" i="1"/>
  <c r="D809" i="1"/>
  <c r="D823" i="1"/>
  <c r="D837" i="1"/>
  <c r="D853" i="1"/>
  <c r="D867" i="1"/>
  <c r="D881" i="1"/>
  <c r="D895" i="1"/>
  <c r="D909" i="1"/>
  <c r="D34" i="1"/>
  <c r="D69" i="1"/>
  <c r="D102" i="1"/>
  <c r="D139" i="1"/>
  <c r="D171" i="1"/>
  <c r="D202" i="1"/>
  <c r="D234" i="1"/>
  <c r="D261" i="1"/>
  <c r="D289" i="1"/>
  <c r="D315" i="1"/>
  <c r="D342" i="1"/>
  <c r="D366" i="1"/>
  <c r="D390" i="1"/>
  <c r="D414" i="1"/>
  <c r="D438" i="1"/>
  <c r="D462" i="1"/>
  <c r="D486" i="1"/>
  <c r="D510" i="1"/>
  <c r="D532" i="1"/>
  <c r="D554" i="1"/>
  <c r="D574" i="1"/>
  <c r="D596" i="1"/>
  <c r="D618" i="1"/>
  <c r="D640" i="1"/>
  <c r="D662" i="1"/>
  <c r="D682" i="1"/>
  <c r="D704" i="1"/>
  <c r="D726" i="1"/>
  <c r="D748" i="1"/>
  <c r="D770" i="1"/>
  <c r="D790" i="1"/>
  <c r="D812" i="1"/>
  <c r="D834" i="1"/>
  <c r="D856" i="1"/>
  <c r="D878" i="1"/>
  <c r="D898" i="1"/>
  <c r="D920" i="1"/>
  <c r="D940" i="1"/>
  <c r="D957" i="1"/>
  <c r="D978" i="1"/>
  <c r="D998" i="1"/>
  <c r="D1015" i="1"/>
  <c r="D1033" i="1"/>
  <c r="D1049" i="1"/>
  <c r="D1064" i="1"/>
  <c r="D1081" i="1"/>
  <c r="D1097" i="1"/>
  <c r="D1112" i="1"/>
  <c r="D1129" i="1"/>
  <c r="D1145" i="1"/>
  <c r="D1160" i="1"/>
  <c r="D1177" i="1"/>
  <c r="D1193" i="1"/>
  <c r="D1208" i="1"/>
  <c r="D1225" i="1"/>
  <c r="D1241" i="1"/>
  <c r="D1256" i="1"/>
  <c r="D1273" i="1"/>
  <c r="D1288" i="1"/>
  <c r="D1300" i="1"/>
  <c r="D1312" i="1"/>
  <c r="D1324" i="1"/>
  <c r="D1336" i="1"/>
  <c r="D1348" i="1"/>
  <c r="D1360" i="1"/>
  <c r="D1372" i="1"/>
  <c r="D1384" i="1"/>
  <c r="D1396" i="1"/>
  <c r="D1408" i="1"/>
  <c r="D1420" i="1"/>
  <c r="D1432" i="1"/>
  <c r="D1444" i="1"/>
  <c r="D1456" i="1"/>
  <c r="D1468" i="1"/>
  <c r="D1480" i="1"/>
  <c r="D1492" i="1"/>
  <c r="D14" i="1"/>
  <c r="D49" i="1"/>
  <c r="D81" i="1"/>
  <c r="D118" i="1"/>
  <c r="D153" i="1"/>
  <c r="D183" i="1"/>
  <c r="D214" i="1"/>
  <c r="D246" i="1"/>
  <c r="D272" i="1"/>
  <c r="D298" i="1"/>
  <c r="D326" i="1"/>
  <c r="D351" i="1"/>
  <c r="D375" i="1"/>
  <c r="D399" i="1"/>
  <c r="D423" i="1"/>
  <c r="D447" i="1"/>
  <c r="D471" i="1"/>
  <c r="D495" i="1"/>
  <c r="D519" i="1"/>
  <c r="D541" i="1"/>
  <c r="D561" i="1"/>
  <c r="D583" i="1"/>
  <c r="D605" i="1"/>
  <c r="D627" i="1"/>
  <c r="D649" i="1"/>
  <c r="D669" i="1"/>
  <c r="D691" i="1"/>
  <c r="D713" i="1"/>
  <c r="D735" i="1"/>
  <c r="D757" i="1"/>
  <c r="D777" i="1"/>
  <c r="D799" i="1"/>
  <c r="D821" i="1"/>
  <c r="D843" i="1"/>
  <c r="D865" i="1"/>
  <c r="D885" i="1"/>
  <c r="D907" i="1"/>
  <c r="D928" i="1"/>
  <c r="D949" i="1"/>
  <c r="D967" i="1"/>
  <c r="D986" i="1"/>
  <c r="D1005" i="1"/>
  <c r="D1024" i="1"/>
  <c r="D1039" i="1"/>
  <c r="D1056" i="1"/>
  <c r="D1072" i="1"/>
  <c r="D1087" i="1"/>
  <c r="D1104" i="1"/>
  <c r="D1120" i="1"/>
  <c r="D1135" i="1"/>
  <c r="D1152" i="1"/>
  <c r="D1168" i="1"/>
  <c r="D1183" i="1"/>
  <c r="D1200" i="1"/>
  <c r="D1216" i="1"/>
  <c r="D1231" i="1"/>
  <c r="D1248" i="1"/>
  <c r="D1264" i="1"/>
  <c r="D1279" i="1"/>
  <c r="D1293" i="1"/>
  <c r="D1305" i="1"/>
  <c r="D1317" i="1"/>
  <c r="D1329" i="1"/>
  <c r="D1341" i="1"/>
  <c r="D1353" i="1"/>
  <c r="D1365" i="1"/>
  <c r="D1377" i="1"/>
  <c r="D1389" i="1"/>
  <c r="D1401" i="1"/>
  <c r="D1413" i="1"/>
  <c r="D15" i="1"/>
  <c r="D50" i="1"/>
  <c r="D82" i="1"/>
  <c r="D121" i="1"/>
  <c r="D158" i="1"/>
  <c r="D186" i="1"/>
  <c r="D219" i="1"/>
  <c r="D247" i="1"/>
  <c r="D277" i="1"/>
  <c r="D301" i="1"/>
  <c r="D331" i="1"/>
  <c r="D353" i="1"/>
  <c r="D379" i="1"/>
  <c r="D401" i="1"/>
  <c r="D427" i="1"/>
  <c r="D449" i="1"/>
  <c r="D475" i="1"/>
  <c r="D497" i="1"/>
  <c r="D522" i="1"/>
  <c r="D542" i="1"/>
  <c r="D566" i="1"/>
  <c r="D584" i="1"/>
  <c r="D608" i="1"/>
  <c r="D628" i="1"/>
  <c r="D652" i="1"/>
  <c r="D670" i="1"/>
  <c r="D694" i="1"/>
  <c r="D714" i="1"/>
  <c r="D738" i="1"/>
  <c r="D758" i="1"/>
  <c r="D782" i="1"/>
  <c r="D800" i="1"/>
  <c r="D824" i="1"/>
  <c r="D844" i="1"/>
  <c r="D868" i="1"/>
  <c r="D886" i="1"/>
  <c r="D910" i="1"/>
  <c r="D929" i="1"/>
  <c r="D950" i="1"/>
  <c r="D968" i="1"/>
  <c r="D987" i="1"/>
  <c r="D1006" i="1"/>
  <c r="D1025" i="1"/>
  <c r="D1040" i="1"/>
  <c r="D1057" i="1"/>
  <c r="D1073" i="1"/>
  <c r="D1088" i="1"/>
  <c r="D1105" i="1"/>
  <c r="D1121" i="1"/>
  <c r="D1136" i="1"/>
  <c r="D1153" i="1"/>
  <c r="D1169" i="1"/>
  <c r="D1184" i="1"/>
  <c r="D1201" i="1"/>
  <c r="D1217" i="1"/>
  <c r="D1232" i="1"/>
  <c r="D1249" i="1"/>
  <c r="D1265" i="1"/>
  <c r="D1280" i="1"/>
  <c r="D1294" i="1"/>
  <c r="D1306" i="1"/>
  <c r="D1318" i="1"/>
  <c r="D1330" i="1"/>
  <c r="D1342" i="1"/>
  <c r="D1354" i="1"/>
  <c r="D1366" i="1"/>
  <c r="D1378" i="1"/>
  <c r="D1390" i="1"/>
  <c r="D1402" i="1"/>
  <c r="D1414" i="1"/>
  <c r="D1426" i="1"/>
  <c r="D1438" i="1"/>
  <c r="D1450" i="1"/>
  <c r="D1462" i="1"/>
  <c r="D1474" i="1"/>
  <c r="D1486" i="1"/>
  <c r="D18" i="1"/>
  <c r="D55" i="1"/>
  <c r="D90" i="1"/>
  <c r="D122" i="1"/>
  <c r="D159" i="1"/>
  <c r="D190" i="1"/>
  <c r="D222" i="1"/>
  <c r="D250" i="1"/>
  <c r="D278" i="1"/>
  <c r="D306" i="1"/>
  <c r="D332" i="1"/>
  <c r="D356" i="1"/>
  <c r="D380" i="1"/>
  <c r="D404" i="1"/>
  <c r="D428" i="1"/>
  <c r="D452" i="1"/>
  <c r="D476" i="1"/>
  <c r="D500" i="1"/>
  <c r="D523" i="1"/>
  <c r="D545" i="1"/>
  <c r="D567" i="1"/>
  <c r="D589" i="1"/>
  <c r="D609" i="1"/>
  <c r="D631" i="1"/>
  <c r="D653" i="1"/>
  <c r="D675" i="1"/>
  <c r="D697" i="1"/>
  <c r="D717" i="1"/>
  <c r="D739" i="1"/>
  <c r="D761" i="1"/>
  <c r="D783" i="1"/>
  <c r="D805" i="1"/>
  <c r="D825" i="1"/>
  <c r="D847" i="1"/>
  <c r="D869" i="1"/>
  <c r="D891" i="1"/>
  <c r="D913" i="1"/>
  <c r="D930" i="1"/>
  <c r="D951" i="1"/>
  <c r="D969" i="1"/>
  <c r="D988" i="1"/>
  <c r="D1009" i="1"/>
  <c r="D1026" i="1"/>
  <c r="D1041" i="1"/>
  <c r="D1058" i="1"/>
  <c r="D1074" i="1"/>
  <c r="D1089" i="1"/>
  <c r="D1106" i="1"/>
  <c r="D1122" i="1"/>
  <c r="D1137" i="1"/>
  <c r="D1154" i="1"/>
  <c r="D1170" i="1"/>
  <c r="D1185" i="1"/>
  <c r="D1202" i="1"/>
  <c r="D1218" i="1"/>
  <c r="D1233" i="1"/>
  <c r="D1250" i="1"/>
  <c r="D1266" i="1"/>
  <c r="D1281" i="1"/>
  <c r="D1295" i="1"/>
  <c r="D1307" i="1"/>
  <c r="D1319" i="1"/>
  <c r="D1331" i="1"/>
  <c r="D1343" i="1"/>
  <c r="D1355" i="1"/>
  <c r="D1367" i="1"/>
  <c r="D1379" i="1"/>
  <c r="D1391" i="1"/>
  <c r="D1403" i="1"/>
  <c r="D1415" i="1"/>
  <c r="D1427" i="1"/>
  <c r="D1439" i="1"/>
  <c r="D1451" i="1"/>
  <c r="D1463" i="1"/>
  <c r="D1475" i="1"/>
  <c r="D1487" i="1"/>
  <c r="D19" i="1"/>
  <c r="D57" i="1"/>
  <c r="D91" i="1"/>
  <c r="D123" i="1"/>
  <c r="D162" i="1"/>
  <c r="D193" i="1"/>
  <c r="D223" i="1"/>
  <c r="D253" i="1"/>
  <c r="D279" i="1"/>
  <c r="D307" i="1"/>
  <c r="D333" i="1"/>
  <c r="D357" i="1"/>
  <c r="D381" i="1"/>
  <c r="D405" i="1"/>
  <c r="D429" i="1"/>
  <c r="D453" i="1"/>
  <c r="D477" i="1"/>
  <c r="D501" i="1"/>
  <c r="D524" i="1"/>
  <c r="D546" i="1"/>
  <c r="D568" i="1"/>
  <c r="D590" i="1"/>
  <c r="D610" i="1"/>
  <c r="D632" i="1"/>
  <c r="D654" i="1"/>
  <c r="D676" i="1"/>
  <c r="D698" i="1"/>
  <c r="D718" i="1"/>
  <c r="D740" i="1"/>
  <c r="D762" i="1"/>
  <c r="D784" i="1"/>
  <c r="D806" i="1"/>
  <c r="D826" i="1"/>
  <c r="D848" i="1"/>
  <c r="D870" i="1"/>
  <c r="D892" i="1"/>
  <c r="D914" i="1"/>
  <c r="D933" i="1"/>
  <c r="D953" i="1"/>
  <c r="D970" i="1"/>
  <c r="D58" i="1"/>
  <c r="D111" i="1"/>
  <c r="D174" i="1"/>
  <c r="D226" i="1"/>
  <c r="D271" i="1"/>
  <c r="D319" i="1"/>
  <c r="D365" i="1"/>
  <c r="D406" i="1"/>
  <c r="D445" i="1"/>
  <c r="D487" i="1"/>
  <c r="D526" i="1"/>
  <c r="D560" i="1"/>
  <c r="D598" i="1"/>
  <c r="D639" i="1"/>
  <c r="D677" i="1"/>
  <c r="D711" i="1"/>
  <c r="D749" i="1"/>
  <c r="D786" i="1"/>
  <c r="D820" i="1"/>
  <c r="D858" i="1"/>
  <c r="D897" i="1"/>
  <c r="D934" i="1"/>
  <c r="D964" i="1"/>
  <c r="D997" i="1"/>
  <c r="D1022" i="1"/>
  <c r="D1048" i="1"/>
  <c r="D1070" i="1"/>
  <c r="D1096" i="1"/>
  <c r="D1118" i="1"/>
  <c r="D1144" i="1"/>
  <c r="D1166" i="1"/>
  <c r="D1192" i="1"/>
  <c r="D1214" i="1"/>
  <c r="D1240" i="1"/>
  <c r="D1262" i="1"/>
  <c r="D1287" i="1"/>
  <c r="D1304" i="1"/>
  <c r="D1323" i="1"/>
  <c r="D1340" i="1"/>
  <c r="D1359" i="1"/>
  <c r="D1376" i="1"/>
  <c r="D1395" i="1"/>
  <c r="D61" i="1"/>
  <c r="D117" i="1"/>
  <c r="D178" i="1"/>
  <c r="D231" i="1"/>
  <c r="D282" i="1"/>
  <c r="D322" i="1"/>
  <c r="D367" i="1"/>
  <c r="D411" i="1"/>
  <c r="D446" i="1"/>
  <c r="D490" i="1"/>
  <c r="D531" i="1"/>
  <c r="D569" i="1"/>
  <c r="D603" i="1"/>
  <c r="D641" i="1"/>
  <c r="D680" i="1"/>
  <c r="D712" i="1"/>
  <c r="D752" i="1"/>
  <c r="D789" i="1"/>
  <c r="D829" i="1"/>
  <c r="D861" i="1"/>
  <c r="D901" i="1"/>
  <c r="D937" i="1"/>
  <c r="D965" i="1"/>
  <c r="D999" i="1"/>
  <c r="D1027" i="1"/>
  <c r="D1050" i="1"/>
  <c r="D1075" i="1"/>
  <c r="D1098" i="1"/>
  <c r="D1123" i="1"/>
  <c r="D1146" i="1"/>
  <c r="D1171" i="1"/>
  <c r="D1194" i="1"/>
  <c r="D1219" i="1"/>
  <c r="D1242" i="1"/>
  <c r="D1267" i="1"/>
  <c r="D1289" i="1"/>
  <c r="D1308" i="1"/>
  <c r="D1325" i="1"/>
  <c r="D1344" i="1"/>
  <c r="D1361" i="1"/>
  <c r="D1380" i="1"/>
  <c r="D1397" i="1"/>
  <c r="D1416" i="1"/>
  <c r="D1431" i="1"/>
  <c r="D1447" i="1"/>
  <c r="D1464" i="1"/>
  <c r="D1479" i="1"/>
  <c r="D21" i="1"/>
  <c r="D78" i="1"/>
  <c r="D141" i="1"/>
  <c r="D199" i="1"/>
  <c r="D243" i="1"/>
  <c r="D295" i="1"/>
  <c r="D341" i="1"/>
  <c r="D382" i="1"/>
  <c r="D421" i="1"/>
  <c r="D463" i="1"/>
  <c r="D507" i="1"/>
  <c r="D538" i="1"/>
  <c r="D580" i="1"/>
  <c r="D617" i="1"/>
  <c r="D655" i="1"/>
  <c r="D689" i="1"/>
  <c r="D727" i="1"/>
  <c r="D766" i="1"/>
  <c r="D798" i="1"/>
  <c r="D838" i="1"/>
  <c r="D877" i="1"/>
  <c r="D915" i="1"/>
  <c r="D943" i="1"/>
  <c r="D979" i="1"/>
  <c r="D1011" i="1"/>
  <c r="D1034" i="1"/>
  <c r="D1060" i="1"/>
  <c r="D1082" i="1"/>
  <c r="D1108" i="1"/>
  <c r="D1130" i="1"/>
  <c r="D1156" i="1"/>
  <c r="D1178" i="1"/>
  <c r="D1204" i="1"/>
  <c r="D1226" i="1"/>
  <c r="D1252" i="1"/>
  <c r="D1274" i="1"/>
  <c r="D1296" i="1"/>
  <c r="D1313" i="1"/>
  <c r="D1332" i="1"/>
  <c r="D1349" i="1"/>
  <c r="D1368" i="1"/>
  <c r="D1385" i="1"/>
  <c r="D1404" i="1"/>
  <c r="D1421" i="1"/>
  <c r="D1436" i="1"/>
  <c r="D1453" i="1"/>
  <c r="D1469" i="1"/>
  <c r="D1484" i="1"/>
  <c r="D27" i="1"/>
  <c r="D79" i="1"/>
  <c r="D142" i="1"/>
  <c r="D201" i="1"/>
  <c r="D254" i="1"/>
  <c r="D296" i="1"/>
  <c r="D343" i="1"/>
  <c r="D385" i="1"/>
  <c r="D422" i="1"/>
  <c r="D464" i="1"/>
  <c r="D509" i="1"/>
  <c r="D547" i="1"/>
  <c r="D581" i="1"/>
  <c r="D619" i="1"/>
  <c r="D656" i="1"/>
  <c r="D690" i="1"/>
  <c r="D728" i="1"/>
  <c r="D769" i="1"/>
  <c r="D807" i="1"/>
  <c r="D841" i="1"/>
  <c r="D879" i="1"/>
  <c r="D916" i="1"/>
  <c r="D944" i="1"/>
  <c r="D981" i="1"/>
  <c r="D1012" i="1"/>
  <c r="D1036" i="1"/>
  <c r="D1061" i="1"/>
  <c r="D1084" i="1"/>
  <c r="D1109" i="1"/>
  <c r="D1132" i="1"/>
  <c r="D1157" i="1"/>
  <c r="D1180" i="1"/>
  <c r="D1205" i="1"/>
  <c r="D1228" i="1"/>
  <c r="D1253" i="1"/>
  <c r="D1276" i="1"/>
  <c r="D1297" i="1"/>
  <c r="D1314" i="1"/>
  <c r="D1333" i="1"/>
  <c r="D1350" i="1"/>
  <c r="D1369" i="1"/>
  <c r="D1386" i="1"/>
  <c r="D1405" i="1"/>
  <c r="D1422" i="1"/>
  <c r="D1437" i="1"/>
  <c r="D1454" i="1"/>
  <c r="D1470" i="1"/>
  <c r="D1485" i="1"/>
  <c r="D75" i="1"/>
  <c r="D165" i="1"/>
  <c r="D242" i="1"/>
  <c r="D314" i="1"/>
  <c r="D374" i="1"/>
  <c r="D439" i="1"/>
  <c r="D502" i="1"/>
  <c r="D556" i="1"/>
  <c r="D614" i="1"/>
  <c r="D667" i="1"/>
  <c r="D725" i="1"/>
  <c r="D776" i="1"/>
  <c r="D835" i="1"/>
  <c r="D893" i="1"/>
  <c r="D942" i="1"/>
  <c r="D992" i="1"/>
  <c r="D1032" i="1"/>
  <c r="D1068" i="1"/>
  <c r="D1101" i="1"/>
  <c r="D1141" i="1"/>
  <c r="D1176" i="1"/>
  <c r="D1212" i="1"/>
  <c r="D1245" i="1"/>
  <c r="D1285" i="1"/>
  <c r="D1311" i="1"/>
  <c r="D1338" i="1"/>
  <c r="D1364" i="1"/>
  <c r="D1393" i="1"/>
  <c r="D1418" i="1"/>
  <c r="D1441" i="1"/>
  <c r="D1460" i="1"/>
  <c r="D1482" i="1"/>
  <c r="D97" i="1"/>
  <c r="D170" i="1"/>
  <c r="D259" i="1"/>
  <c r="D318" i="1"/>
  <c r="D389" i="1"/>
  <c r="D442" i="1"/>
  <c r="D511" i="1"/>
  <c r="D559" i="1"/>
  <c r="D622" i="1"/>
  <c r="D668" i="1"/>
  <c r="D733" i="1"/>
  <c r="D785" i="1"/>
  <c r="D842" i="1"/>
  <c r="D896" i="1"/>
  <c r="D954" i="1"/>
  <c r="D993" i="1"/>
  <c r="D1037" i="1"/>
  <c r="D1069" i="1"/>
  <c r="D1110" i="1"/>
  <c r="D1142" i="1"/>
  <c r="D1181" i="1"/>
  <c r="D1213" i="1"/>
  <c r="D1254" i="1"/>
  <c r="D1286" i="1"/>
  <c r="D1315" i="1"/>
  <c r="D1339" i="1"/>
  <c r="D1370" i="1"/>
  <c r="D1394" i="1"/>
  <c r="D1419" i="1"/>
  <c r="D1442" i="1"/>
  <c r="D1461" i="1"/>
  <c r="D1483" i="1"/>
  <c r="D98" i="1"/>
  <c r="D181" i="1"/>
  <c r="D260" i="1"/>
  <c r="D325" i="1"/>
  <c r="D391" i="1"/>
  <c r="D454" i="1"/>
  <c r="D512" i="1"/>
  <c r="D570" i="1"/>
  <c r="D625" i="1"/>
  <c r="D681" i="1"/>
  <c r="D734" i="1"/>
  <c r="D793" i="1"/>
  <c r="D849" i="1"/>
  <c r="D902" i="1"/>
  <c r="D955" i="1"/>
  <c r="D1000" i="1"/>
  <c r="D1038" i="1"/>
  <c r="D1076" i="1"/>
  <c r="D1111" i="1"/>
  <c r="D1147" i="1"/>
  <c r="D1182" i="1"/>
  <c r="D1220" i="1"/>
  <c r="D1255" i="1"/>
  <c r="D1290" i="1"/>
  <c r="D1316" i="1"/>
  <c r="D1345" i="1"/>
  <c r="D1371" i="1"/>
  <c r="D1398" i="1"/>
  <c r="D1423" i="1"/>
  <c r="D1443" i="1"/>
  <c r="D1465" i="1"/>
  <c r="D1488" i="1"/>
  <c r="D30" i="1"/>
  <c r="D110" i="1"/>
  <c r="D205" i="1"/>
  <c r="D270" i="1"/>
  <c r="D346" i="1"/>
  <c r="D398" i="1"/>
  <c r="D469" i="1"/>
  <c r="D525" i="1"/>
  <c r="D582" i="1"/>
  <c r="D638" i="1"/>
  <c r="D699" i="1"/>
  <c r="D747" i="1"/>
  <c r="D810" i="1"/>
  <c r="D857" i="1"/>
  <c r="D919" i="1"/>
  <c r="D963" i="1"/>
  <c r="D1013" i="1"/>
  <c r="D1046" i="1"/>
  <c r="D1085" i="1"/>
  <c r="D1117" i="1"/>
  <c r="D1158" i="1"/>
  <c r="D1190" i="1"/>
  <c r="D1229" i="1"/>
  <c r="D1261" i="1"/>
  <c r="D1298" i="1"/>
  <c r="D1322" i="1"/>
  <c r="D1351" i="1"/>
  <c r="D1375" i="1"/>
  <c r="D1406" i="1"/>
  <c r="D1428" i="1"/>
  <c r="D1448" i="1"/>
  <c r="D1471" i="1"/>
  <c r="D1491" i="1"/>
  <c r="D37" i="1"/>
  <c r="D130" i="1"/>
  <c r="D206" i="1"/>
  <c r="D283" i="1"/>
  <c r="D349" i="1"/>
  <c r="D413" i="1"/>
  <c r="D470" i="1"/>
  <c r="D533" i="1"/>
  <c r="D591" i="1"/>
  <c r="D642" i="1"/>
  <c r="D700" i="1"/>
  <c r="D753" i="1"/>
  <c r="D811" i="1"/>
  <c r="D862" i="1"/>
  <c r="D921" i="1"/>
  <c r="D973" i="1"/>
  <c r="D1014" i="1"/>
  <c r="D1051" i="1"/>
  <c r="D1086" i="1"/>
  <c r="D1124" i="1"/>
  <c r="D1159" i="1"/>
  <c r="D1195" i="1"/>
  <c r="D1230" i="1"/>
  <c r="D1268" i="1"/>
  <c r="D1299" i="1"/>
  <c r="D1326" i="1"/>
  <c r="D1352" i="1"/>
  <c r="D1381" i="1"/>
  <c r="D1407" i="1"/>
  <c r="D1429" i="1"/>
  <c r="D1449" i="1"/>
  <c r="D1472" i="1"/>
  <c r="D1493" i="1"/>
  <c r="D38" i="1"/>
  <c r="D133" i="1"/>
  <c r="D211" i="1"/>
  <c r="D286" i="1"/>
  <c r="D350" i="1"/>
  <c r="D415" i="1"/>
  <c r="D478" i="1"/>
  <c r="D536" i="1"/>
  <c r="D594" i="1"/>
  <c r="D645" i="1"/>
  <c r="D703" i="1"/>
  <c r="D754" i="1"/>
  <c r="D813" i="1"/>
  <c r="D871" i="1"/>
  <c r="D925" i="1"/>
  <c r="D974" i="1"/>
  <c r="D1016" i="1"/>
  <c r="D1052" i="1"/>
  <c r="D1092" i="1"/>
  <c r="D1125" i="1"/>
  <c r="D1161" i="1"/>
  <c r="D1196" i="1"/>
  <c r="D1236" i="1"/>
  <c r="D1269" i="1"/>
  <c r="D1301" i="1"/>
  <c r="D1327" i="1"/>
  <c r="D1356" i="1"/>
  <c r="D1382" i="1"/>
  <c r="D1409" i="1"/>
  <c r="D1430" i="1"/>
  <c r="D1452" i="1"/>
  <c r="D1473" i="1"/>
  <c r="D145" i="1"/>
  <c r="D297" i="1"/>
  <c r="D430" i="1"/>
  <c r="D550" i="1"/>
  <c r="D661" i="1"/>
  <c r="D771" i="1"/>
  <c r="D882" i="1"/>
  <c r="D982" i="1"/>
  <c r="D1062" i="1"/>
  <c r="D1133" i="1"/>
  <c r="D1206" i="1"/>
  <c r="D1277" i="1"/>
  <c r="D1334" i="1"/>
  <c r="D1387" i="1"/>
  <c r="D1434" i="1"/>
  <c r="D1477" i="1"/>
  <c r="D151" i="1"/>
  <c r="D308" i="1"/>
  <c r="D433" i="1"/>
  <c r="D553" i="1"/>
  <c r="D663" i="1"/>
  <c r="D772" i="1"/>
  <c r="D883" i="1"/>
  <c r="D985" i="1"/>
  <c r="D1063" i="1"/>
  <c r="D1134" i="1"/>
  <c r="D1207" i="1"/>
  <c r="D1278" i="1"/>
  <c r="D1335" i="1"/>
  <c r="D1388" i="1"/>
  <c r="D1435" i="1"/>
  <c r="D1478" i="1"/>
  <c r="D163" i="1"/>
  <c r="D313" i="1"/>
  <c r="D437" i="1"/>
  <c r="D555" i="1"/>
  <c r="D666" i="1"/>
  <c r="D775" i="1"/>
  <c r="D884" i="1"/>
  <c r="D991" i="1"/>
  <c r="D1065" i="1"/>
  <c r="D1140" i="1"/>
  <c r="D1209" i="1"/>
  <c r="D1284" i="1"/>
  <c r="D1337" i="1"/>
  <c r="D1392" i="1"/>
  <c r="D1440" i="1"/>
  <c r="D1481" i="1"/>
  <c r="D3" i="1"/>
  <c r="D182" i="1"/>
  <c r="D334" i="1"/>
  <c r="D459" i="1"/>
  <c r="D573" i="1"/>
  <c r="D685" i="1"/>
  <c r="D796" i="1"/>
  <c r="D905" i="1"/>
  <c r="D1001" i="1"/>
  <c r="D1077" i="1"/>
  <c r="D1148" i="1"/>
  <c r="D39" i="1"/>
  <c r="D213" i="1"/>
  <c r="D358" i="1"/>
  <c r="D481" i="1"/>
  <c r="D595" i="1"/>
  <c r="D705" i="1"/>
  <c r="D814" i="1"/>
  <c r="D926" i="1"/>
  <c r="D1020" i="1"/>
  <c r="D1093" i="1"/>
  <c r="D1164" i="1"/>
  <c r="D1237" i="1"/>
  <c r="D1302" i="1"/>
  <c r="D1357" i="1"/>
  <c r="D1410" i="1"/>
  <c r="D1455" i="1"/>
  <c r="D42" i="1"/>
  <c r="D225" i="1"/>
  <c r="D363" i="1"/>
  <c r="D485" i="1"/>
  <c r="D597" i="1"/>
  <c r="D710" i="1"/>
  <c r="D819" i="1"/>
  <c r="D927" i="1"/>
  <c r="D1021" i="1"/>
  <c r="D1094" i="1"/>
  <c r="D1165" i="1"/>
  <c r="D1238" i="1"/>
  <c r="D1303" i="1"/>
  <c r="D1358" i="1"/>
  <c r="D1411" i="1"/>
  <c r="D1457" i="1"/>
  <c r="D262" i="1"/>
  <c r="D517" i="1"/>
  <c r="D741" i="1"/>
  <c r="D956" i="1"/>
  <c r="D1113" i="1"/>
  <c r="D1244" i="1"/>
  <c r="D1347" i="1"/>
  <c r="D1433" i="1"/>
  <c r="D265" i="1"/>
  <c r="D518" i="1"/>
  <c r="D742" i="1"/>
  <c r="D958" i="1"/>
  <c r="D1116" i="1"/>
  <c r="D1257" i="1"/>
  <c r="D1362" i="1"/>
  <c r="D1445" i="1"/>
  <c r="D290" i="1"/>
  <c r="D537" i="1"/>
  <c r="D763" i="1"/>
  <c r="D977" i="1"/>
  <c r="D1128" i="1"/>
  <c r="D1260" i="1"/>
  <c r="D1363" i="1"/>
  <c r="D1446" i="1"/>
  <c r="D577" i="1"/>
  <c r="D368" i="1"/>
  <c r="D830" i="1"/>
  <c r="D1172" i="1"/>
  <c r="D1374" i="1"/>
  <c r="D9" i="1"/>
  <c r="D337" i="1"/>
  <c r="D797" i="1"/>
  <c r="D1002" i="1"/>
  <c r="D1149" i="1"/>
  <c r="D1272" i="1"/>
  <c r="D1373" i="1"/>
  <c r="D1458" i="1"/>
  <c r="D62" i="1"/>
  <c r="D604" i="1"/>
  <c r="D1028" i="1"/>
  <c r="D1291" i="1"/>
  <c r="D1459" i="1"/>
  <c r="D70" i="1"/>
  <c r="D373" i="1"/>
  <c r="D613" i="1"/>
  <c r="D833" i="1"/>
  <c r="D1029" i="1"/>
  <c r="D1173" i="1"/>
  <c r="D1292" i="1"/>
  <c r="D1383" i="1"/>
  <c r="D1466" i="1"/>
  <c r="D103" i="1"/>
  <c r="D633" i="1"/>
  <c r="D1045" i="1"/>
  <c r="D1310" i="1"/>
  <c r="D1476" i="1"/>
  <c r="D138" i="1"/>
  <c r="D646" i="1"/>
  <c r="D872" i="1"/>
  <c r="D1053" i="1"/>
  <c r="D1197" i="1"/>
  <c r="D1320" i="1"/>
  <c r="D1412" i="1"/>
  <c r="D194" i="1"/>
  <c r="D686" i="1"/>
  <c r="D1080" i="1"/>
  <c r="D1321" i="1"/>
  <c r="D1490" i="1"/>
  <c r="D99" i="1"/>
  <c r="D394" i="1"/>
  <c r="D626" i="1"/>
  <c r="D854" i="1"/>
  <c r="D1044" i="1"/>
  <c r="D1188" i="1"/>
  <c r="D1309" i="1"/>
  <c r="D1399" i="1"/>
  <c r="D1467" i="1"/>
  <c r="D397" i="1"/>
  <c r="D855" i="1"/>
  <c r="D1189" i="1"/>
  <c r="D1400" i="1"/>
  <c r="D416" i="1"/>
  <c r="D1489" i="1"/>
  <c r="D461" i="1"/>
  <c r="D906" i="1"/>
  <c r="D1221" i="1"/>
  <c r="D1417" i="1"/>
  <c r="D1224" i="1"/>
  <c r="D235" i="1"/>
  <c r="D1346" i="1"/>
  <c r="D941" i="1"/>
  <c r="D1243" i="1"/>
  <c r="D1328" i="1"/>
  <c r="D241" i="1"/>
  <c r="D1099" i="1"/>
  <c r="D493" i="1"/>
  <c r="D1424" i="1"/>
  <c r="D494" i="1"/>
  <c r="D1425" i="1"/>
  <c r="D721" i="1"/>
  <c r="D724" i="1"/>
  <c r="D939" i="1"/>
  <c r="D1100" i="1"/>
  <c r="D2" i="1"/>
  <c r="N7" i="1"/>
  <c r="H13" i="1" s="1"/>
  <c r="C2" i="1"/>
  <c r="H23" i="1" l="1"/>
  <c r="H9" i="1"/>
  <c r="I6" i="1"/>
  <c r="I20" i="1"/>
  <c r="H16" i="1"/>
  <c r="I30" i="1"/>
  <c r="H28" i="1"/>
  <c r="I18" i="1"/>
  <c r="I9" i="1"/>
  <c r="I32" i="1"/>
  <c r="I5" i="1"/>
  <c r="I29" i="1"/>
  <c r="I28" i="1"/>
  <c r="I16" i="1"/>
  <c r="H10" i="1"/>
  <c r="H22" i="1"/>
  <c r="H6" i="1"/>
  <c r="H30" i="1"/>
  <c r="H24" i="1"/>
  <c r="H18" i="1"/>
  <c r="H7" i="1"/>
  <c r="H31" i="1"/>
  <c r="H32" i="1"/>
  <c r="H26" i="1"/>
  <c r="H19" i="1"/>
  <c r="H8" i="1"/>
  <c r="H20" i="1"/>
  <c r="H5" i="1"/>
  <c r="H17" i="1"/>
  <c r="H21" i="1"/>
  <c r="I17" i="1"/>
  <c r="H33" i="1"/>
  <c r="H29" i="1"/>
  <c r="I8" i="1"/>
  <c r="I25" i="1"/>
  <c r="I11" i="1"/>
  <c r="I24" i="1"/>
  <c r="I26" i="1"/>
  <c r="I21" i="1"/>
  <c r="I33" i="1"/>
  <c r="I10" i="1"/>
  <c r="I22" i="1"/>
  <c r="I23" i="1"/>
  <c r="I12" i="1"/>
  <c r="I13" i="1"/>
  <c r="I14" i="1"/>
  <c r="I7" i="1"/>
  <c r="I27" i="1"/>
  <c r="H12" i="1"/>
  <c r="I31" i="1"/>
  <c r="I15" i="1"/>
  <c r="H15" i="1"/>
  <c r="H25" i="1"/>
  <c r="I19" i="1"/>
  <c r="H14" i="1"/>
  <c r="H3" i="1"/>
  <c r="I3" i="1"/>
</calcChain>
</file>

<file path=xl/sharedStrings.xml><?xml version="1.0" encoding="utf-8"?>
<sst xmlns="http://schemas.openxmlformats.org/spreadsheetml/2006/main" count="55" uniqueCount="40">
  <si>
    <t>Orario</t>
  </si>
  <si>
    <t>Roma Collegio Romano CREA - Temperatura Aria - 76607 (°C)</t>
  </si>
  <si>
    <t>Temperatura</t>
  </si>
  <si>
    <t>giorno</t>
  </si>
  <si>
    <t xml:space="preserve">Media Giornaliera </t>
  </si>
  <si>
    <t>Totale Giornaliero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</si>
  <si>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</si>
  <si>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</si>
  <si>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</si>
  <si>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</si>
  <si>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</si>
  <si>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</si>
  <si>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</si>
  <si>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r>
      <rPr>
        <b/>
        <sz val="11"/>
        <color theme="1"/>
        <rFont val="Aptos Narrow"/>
        <family val="2"/>
        <scheme val="minor"/>
      </rPr>
      <t xml:space="preserve">giorno/ora </t>
    </r>
    <r>
      <rPr>
        <b/>
        <sz val="11"/>
        <color theme="3" tint="0.249977111117893"/>
        <rFont val="Aptos Narrow"/>
        <family val="2"/>
        <scheme val="minor"/>
      </rPr>
      <t>MAX</t>
    </r>
  </si>
  <si>
    <t>MIN</t>
  </si>
  <si>
    <r>
      <t xml:space="preserve">giorno/ora </t>
    </r>
    <r>
      <rPr>
        <b/>
        <sz val="11"/>
        <color rgb="FFC00000"/>
        <rFont val="Aptos Narrow"/>
        <family val="2"/>
        <scheme val="minor"/>
      </rPr>
      <t>MIN</t>
    </r>
  </si>
  <si>
    <t>Min Temperatura</t>
  </si>
  <si>
    <t>Max Temperatura</t>
  </si>
  <si>
    <t>GENNAIO_2026-Roma Collegio Romano CREA
Temperatura Aria - 76607 (°C)</t>
  </si>
  <si>
    <t>Etichette di riga</t>
  </si>
  <si>
    <t>0</t>
  </si>
  <si>
    <t>Totale complessivo</t>
  </si>
  <si>
    <r>
      <rPr>
        <b/>
        <sz val="11"/>
        <color theme="1"/>
        <rFont val="Aptos Narrow"/>
        <family val="2"/>
        <scheme val="minor"/>
      </rPr>
      <t xml:space="preserve">(TMn °C) </t>
    </r>
    <r>
      <rPr>
        <sz val="11"/>
        <color theme="1"/>
        <rFont val="Aptos Narrow"/>
        <family val="2"/>
        <scheme val="minor"/>
      </rPr>
      <t>media dei minimi giornalieri</t>
    </r>
  </si>
  <si>
    <r>
      <rPr>
        <b/>
        <sz val="11"/>
        <color theme="1"/>
        <rFont val="Aptos Narrow"/>
        <family val="2"/>
        <scheme val="minor"/>
      </rPr>
      <t>(TMx °C)</t>
    </r>
    <r>
      <rPr>
        <sz val="11"/>
        <color theme="1"/>
        <rFont val="Aptos Narrow"/>
        <family val="2"/>
        <scheme val="minor"/>
      </rPr>
      <t xml:space="preserve"> media dei massimi giornalieri</t>
    </r>
  </si>
  <si>
    <r>
      <rPr>
        <sz val="9"/>
        <color theme="1"/>
        <rFont val="Aptos Narrow"/>
        <family val="2"/>
        <scheme val="minor"/>
      </rPr>
      <t xml:space="preserve">Giorno
</t>
    </r>
    <r>
      <rPr>
        <b/>
        <sz val="10"/>
        <color theme="1"/>
        <rFont val="Aptos Narrow"/>
        <family val="2"/>
        <scheme val="minor"/>
      </rPr>
      <t xml:space="preserve"> Tmin (Tnn)</t>
    </r>
  </si>
  <si>
    <r>
      <rPr>
        <sz val="9"/>
        <color theme="1"/>
        <rFont val="Aptos Narrow"/>
        <family val="2"/>
        <scheme val="minor"/>
      </rPr>
      <t xml:space="preserve">Giorno
</t>
    </r>
    <r>
      <rPr>
        <b/>
        <sz val="10"/>
        <color theme="1"/>
        <rFont val="Aptos Narrow"/>
        <family val="2"/>
        <scheme val="minor"/>
      </rPr>
      <t xml:space="preserve"> Tmax (Txx)</t>
    </r>
  </si>
  <si>
    <r>
      <t xml:space="preserve">MAX </t>
    </r>
    <r>
      <rPr>
        <sz val="9"/>
        <color theme="1"/>
        <rFont val="Aptos Narrow"/>
        <family val="2"/>
        <scheme val="minor"/>
      </rPr>
      <t xml:space="preserve">Gionaliero 
</t>
    </r>
    <r>
      <rPr>
        <b/>
        <sz val="10"/>
        <color theme="1"/>
        <rFont val="Aptos Narrow"/>
        <family val="2"/>
        <scheme val="minor"/>
      </rPr>
      <t>(Txx)</t>
    </r>
  </si>
  <si>
    <r>
      <t xml:space="preserve">Min </t>
    </r>
    <r>
      <rPr>
        <sz val="9"/>
        <color theme="1"/>
        <rFont val="Aptos Narrow"/>
        <family val="2"/>
        <scheme val="minor"/>
      </rPr>
      <t xml:space="preserve">Giornaliero
</t>
    </r>
    <r>
      <rPr>
        <b/>
        <sz val="10"/>
        <color theme="1"/>
        <rFont val="Aptos Narrow"/>
        <family val="2"/>
        <scheme val="minor"/>
      </rPr>
      <t xml:space="preserve">  (Tnn)</t>
    </r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</si>
  <si>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</si>
  <si>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</si>
  <si>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</si>
  <si>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</si>
  <si>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</si>
  <si>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</si>
  <si>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</si>
  <si>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</si>
  <si>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</si>
  <si>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Totale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</si>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</sst>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18" fillId="33" borderId="12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2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19" fillId="0" borderId="10" xfId="0" applyNumberFormat="1" applyFont="1" applyBorder="1"/>
    <xf numFmtId="164" fontId="0" fillId="0" borderId="13" xfId="0" applyNumberFormat="1" applyBorder="1"/>
    <xf numFmtId="2" fontId="0" fillId="0" borderId="13" xfId="0" applyNumberFormat="1" applyBorder="1" applyAlignment="1">
      <alignment horizontal="center"/>
    </xf>
    <xf numFmtId="164" fontId="0" fillId="36" borderId="10" xfId="0" applyNumberFormat="1" applyFill="1" applyBorder="1"/>
    <xf numFmtId="2" fontId="0" fillId="36" borderId="10" xfId="0" applyNumberFormat="1" applyFill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164" fontId="21" fillId="0" borderId="10" xfId="0" applyNumberFormat="1" applyFont="1" applyBorder="1" applyAlignment="1">
      <alignment horizontal="center"/>
    </xf>
    <xf numFmtId="22" fontId="16" fillId="35" borderId="12" xfId="0" applyNumberFormat="1" applyFont="1" applyFill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2" fontId="23" fillId="0" borderId="10" xfId="0" applyNumberFormat="1" applyFont="1" applyBorder="1"/>
    <xf numFmtId="0" fontId="23" fillId="0" borderId="0" xfId="0" applyFont="1"/>
    <xf numFmtId="165" fontId="24" fillId="0" borderId="19" xfId="0" applyNumberFormat="1" applyFont="1" applyBorder="1" applyAlignment="1">
      <alignment horizontal="center"/>
    </xf>
    <xf numFmtId="22" fontId="23" fillId="0" borderId="0" xfId="0" applyNumberFormat="1" applyFont="1"/>
    <xf numFmtId="2" fontId="20" fillId="0" borderId="1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2" fontId="0" fillId="0" borderId="10" xfId="0" applyNumberForma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22" fontId="16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26" fillId="34" borderId="13" xfId="0" applyFont="1" applyFill="1" applyBorder="1" applyAlignment="1">
      <alignment horizontal="left" vertical="center" wrapText="1"/>
    </xf>
    <xf numFmtId="2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2" fontId="0" fillId="0" borderId="22" xfId="0" applyNumberFormat="1" applyBorder="1" applyAlignment="1">
      <alignment horizontal="center"/>
    </xf>
    <xf numFmtId="164" fontId="0" fillId="0" borderId="23" xfId="0" applyNumberFormat="1" applyBorder="1"/>
    <xf numFmtId="165" fontId="16" fillId="0" borderId="10" xfId="0" applyNumberFormat="1" applyFont="1" applyBorder="1" applyAlignment="1">
      <alignment horizontal="center"/>
    </xf>
    <xf numFmtId="164" fontId="16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0" borderId="10" xfId="0" applyFont="1" applyBorder="1"/>
    <xf numFmtId="0" fontId="28" fillId="0" borderId="10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165" fontId="27" fillId="33" borderId="12" xfId="0" applyNumberFormat="1" applyFont="1" applyFill="1" applyBorder="1" applyAlignment="1">
      <alignment horizontal="center" vertical="center"/>
    </xf>
    <xf numFmtId="0" fontId="27" fillId="34" borderId="10" xfId="0" applyFont="1" applyFill="1" applyBorder="1" applyAlignment="1">
      <alignment horizontal="center"/>
    </xf>
    <xf numFmtId="165" fontId="29" fillId="0" borderId="10" xfId="0" applyNumberFormat="1" applyFont="1" applyBorder="1" applyAlignment="1">
      <alignment horizontal="center"/>
    </xf>
    <xf numFmtId="165" fontId="30" fillId="0" borderId="10" xfId="0" applyNumberFormat="1" applyFont="1" applyBorder="1" applyAlignment="1">
      <alignment horizontal="center" vertical="center"/>
    </xf>
    <xf numFmtId="165" fontId="30" fillId="0" borderId="10" xfId="0" applyNumberFormat="1" applyFont="1" applyBorder="1" applyAlignment="1">
      <alignment horizontal="center"/>
    </xf>
    <xf numFmtId="164" fontId="0" fillId="0" borderId="10" xfId="0" applyNumberFormat="1" applyFont="1" applyBorder="1"/>
    <xf numFmtId="165" fontId="0" fillId="0" borderId="13" xfId="0" applyNumberFormat="1" applyBorder="1" applyAlignment="1">
      <alignment horizontal="center"/>
    </xf>
    <xf numFmtId="0" fontId="16" fillId="35" borderId="24" xfId="0" applyFont="1" applyFill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0" fontId="20" fillId="35" borderId="13" xfId="0" applyFont="1" applyFill="1" applyBorder="1" applyAlignment="1">
      <alignment horizontal="center"/>
    </xf>
    <xf numFmtId="164" fontId="29" fillId="0" borderId="13" xfId="0" applyNumberFormat="1" applyFont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22" fontId="26" fillId="0" borderId="10" xfId="0" applyNumberFormat="1" applyFont="1" applyBorder="1"/>
    <xf numFmtId="165" fontId="29" fillId="0" borderId="10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/>
    </xf>
    <xf numFmtId="2" fontId="16" fillId="36" borderId="10" xfId="0" applyNumberFormat="1" applyFont="1" applyFill="1" applyBorder="1" applyAlignment="1">
      <alignment horizontal="center"/>
    </xf>
    <xf numFmtId="165" fontId="31" fillId="0" borderId="10" xfId="0" applyNumberFormat="1" applyFont="1" applyBorder="1" applyAlignment="1">
      <alignment horizontal="center" vertical="center"/>
    </xf>
    <xf numFmtId="0" fontId="0" fillId="0" borderId="0" xfId="0" applyFill="1" applyBorder="1"/>
    <xf numFmtId="0" fontId="16" fillId="0" borderId="0" xfId="0" applyFont="1" applyFill="1" applyBorder="1" applyAlignment="1">
      <alignment horizontal="center"/>
    </xf>
    <xf numFmtId="164" fontId="0" fillId="0" borderId="0" xfId="0" applyNumberFormat="1" applyFill="1" applyBorder="1"/>
    <xf numFmtId="164" fontId="20" fillId="0" borderId="0" xfId="0" applyNumberFormat="1" applyFont="1" applyFill="1" applyBorder="1" applyAlignment="1">
      <alignment horizontal="center"/>
    </xf>
    <xf numFmtId="164" fontId="29" fillId="0" borderId="0" xfId="0" applyNumberFormat="1" applyFont="1" applyFill="1" applyBorder="1" applyAlignment="1">
      <alignment horizontal="center"/>
    </xf>
    <xf numFmtId="165" fontId="22" fillId="0" borderId="0" xfId="0" applyNumberFormat="1" applyFont="1" applyFill="1" applyBorder="1" applyAlignment="1">
      <alignment horizontal="center"/>
    </xf>
    <xf numFmtId="0" fontId="23" fillId="0" borderId="0" xfId="0" applyFont="1" applyFill="1" applyBorder="1"/>
    <xf numFmtId="165" fontId="29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16" fillId="0" borderId="0" xfId="0" applyFont="1" applyFill="1" applyBorder="1" applyAlignment="1">
      <alignment horizontal="center"/>
    </xf>
    <xf numFmtId="22" fontId="29" fillId="35" borderId="13" xfId="0" applyNumberFormat="1" applyFont="1" applyFill="1" applyBorder="1" applyAlignment="1">
      <alignment horizontal="center"/>
    </xf>
    <xf numFmtId="22" fontId="26" fillId="0" borderId="0" xfId="0" applyNumberFormat="1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lla Brandini  (CREA-UG4)" refreshedDate="46065.57720983796" createdVersion="8" refreshedVersion="8" minRefreshableVersion="3" recordCount="1492" xr:uid="{9D567884-8FDC-4752-A7B3-E79C2A3020AD}">
  <cacheSource type="worksheet">
    <worksheetSource ref="C1:C1493" sheet="Roma Collegio Romano CREA - Tem"/>
  </cacheSource>
  <cacheFields count="1">
    <cacheField name="Min Temperatura" numFmtId="22">
      <sharedItems containsDate="1" containsMixedTypes="1" minDate="2026-01-08T05:30:00" maxDate="2026-01-08T05:30:00" count="2">
        <s v="0"/>
        <d v="2026-01-08T05:3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lla Brandini  (CREA-UG4)" refreshedDate="46065.577794444442" createdVersion="8" refreshedVersion="8" minRefreshableVersion="3" recordCount="1492" xr:uid="{65B26E3C-4299-4ECD-9A7B-0E8B6DFFB0E6}">
  <cacheSource type="worksheet">
    <worksheetSource ref="D1:D1493" sheet="Roma Collegio Romano CREA - Tem"/>
  </cacheSource>
  <cacheFields count="1">
    <cacheField name="Max Temperatura" numFmtId="22">
      <sharedItems containsDate="1" containsMixedTypes="1" minDate="2026-01-15T14:00:00" maxDate="2026-01-15T14:00:00" count="2">
        <s v="0"/>
        <d v="2026-01-15T14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31627-8E1E-4C83-8523-8F6F7BF10837}" name="Tabella pivot5" cacheId="8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6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C8F5D-B2D4-44D4-AA89-EFE767B93CE4}" name="Tabella pivot6" cacheId="8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:B6" firstHeaderRow="1" firstDataRow="1" firstDataCol="1"/>
  <pivotFields count="1">
    <pivotField axis="axisRow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AB29-7AEB-43C8-A46F-60AE398869B3}">
  <dimension ref="A2:B6"/>
  <sheetViews>
    <sheetView workbookViewId="0">
      <selection activeCell="B3" sqref="B3"/>
    </sheetView>
  </sheetViews>
  <sheetFormatPr defaultRowHeight="14.4" x14ac:dyDescent="0.3"/>
  <cols>
    <col min="1" max="2" width="17.21875" bestFit="1" customWidth="1"/>
  </cols>
  <sheetData>
    <row r="2" spans="1:2" x14ac:dyDescent="0.3">
      <c r="A2" s="28" t="s">
        <v>16</v>
      </c>
      <c r="B2" s="28" t="s">
        <v>17</v>
      </c>
    </row>
    <row r="3" spans="1:2" x14ac:dyDescent="0.3">
      <c r="A3" s="36" t="s">
        <v>19</v>
      </c>
      <c r="B3" s="36" t="s">
        <v>19</v>
      </c>
    </row>
    <row r="4" spans="1:2" x14ac:dyDescent="0.3">
      <c r="A4" s="37" t="s">
        <v>20</v>
      </c>
      <c r="B4" s="37" t="s">
        <v>20</v>
      </c>
    </row>
    <row r="5" spans="1:2" x14ac:dyDescent="0.3">
      <c r="A5" s="38">
        <v>46030.229166666664</v>
      </c>
      <c r="B5" s="38">
        <v>46037.583333333336</v>
      </c>
    </row>
    <row r="6" spans="1:2" x14ac:dyDescent="0.3">
      <c r="A6" s="37" t="s">
        <v>21</v>
      </c>
      <c r="B6" s="3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B324-3014-471E-850A-9945E17E0F8E}">
  <dimension ref="A1:V1493"/>
  <sheetViews>
    <sheetView zoomScale="80" zoomScaleNormal="80" workbookViewId="0">
      <selection activeCell="Q7" sqref="Q7:R8"/>
    </sheetView>
  </sheetViews>
  <sheetFormatPr defaultRowHeight="14.4" x14ac:dyDescent="0.3"/>
  <cols>
    <col min="1" max="1" width="20.33203125" customWidth="1"/>
    <col min="2" max="2" width="19.6640625" style="2" customWidth="1"/>
    <col min="3" max="3" width="4.5546875" style="1" customWidth="1"/>
    <col min="4" max="4" width="5" style="1" customWidth="1"/>
    <col min="6" max="7" width="18.77734375" customWidth="1"/>
    <col min="8" max="9" width="8.5546875" customWidth="1"/>
    <col min="10" max="10" width="11.44140625" bestFit="1" customWidth="1"/>
    <col min="11" max="11" width="11.5546875" bestFit="1" customWidth="1"/>
    <col min="12" max="12" width="2.6640625" customWidth="1"/>
    <col min="13" max="13" width="16.6640625" customWidth="1"/>
    <col min="14" max="14" width="16.6640625" bestFit="1" customWidth="1"/>
    <col min="15" max="15" width="1.88671875" customWidth="1"/>
    <col min="16" max="16" width="4.5546875" bestFit="1" customWidth="1"/>
    <col min="17" max="17" width="16.6640625" bestFit="1" customWidth="1"/>
    <col min="18" max="18" width="34.88671875" bestFit="1" customWidth="1"/>
    <col min="19" max="19" width="16.6640625" bestFit="1" customWidth="1"/>
    <col min="20" max="20" width="2.33203125" customWidth="1"/>
    <col min="22" max="22" width="17.33203125" customWidth="1"/>
  </cols>
  <sheetData>
    <row r="1" spans="1:22" x14ac:dyDescent="0.3">
      <c r="A1" t="s">
        <v>0</v>
      </c>
      <c r="B1" s="2" t="s">
        <v>1</v>
      </c>
      <c r="C1" s="28" t="s">
        <v>16</v>
      </c>
      <c r="D1" s="28" t="s">
        <v>17</v>
      </c>
      <c r="E1" s="3"/>
      <c r="F1" s="44" t="s">
        <v>2</v>
      </c>
      <c r="G1" s="44"/>
      <c r="H1" s="45" t="s">
        <v>2</v>
      </c>
      <c r="I1" s="45"/>
      <c r="J1" s="45"/>
      <c r="K1" s="45"/>
    </row>
    <row r="2" spans="1:22" ht="40.200000000000003" customHeight="1" x14ac:dyDescent="0.3">
      <c r="A2" s="1">
        <v>46023</v>
      </c>
      <c r="B2" s="2">
        <v>4.4000000000000004</v>
      </c>
      <c r="C2" s="1" t="str">
        <f>IF(B2=$P$13,A2,"0")</f>
        <v>0</v>
      </c>
      <c r="D2" s="1" t="str">
        <f>IF(B2=$M$13,A2,"0")</f>
        <v>0</v>
      </c>
      <c r="E2" s="3" t="s">
        <v>3</v>
      </c>
      <c r="F2" s="4" t="s">
        <v>4</v>
      </c>
      <c r="G2" s="4" t="s">
        <v>5</v>
      </c>
      <c r="H2" s="39" t="s">
        <v>25</v>
      </c>
      <c r="I2" s="39" t="s">
        <v>24</v>
      </c>
      <c r="J2" s="39" t="s">
        <v>26</v>
      </c>
      <c r="K2" s="39" t="s">
        <v>27</v>
      </c>
    </row>
    <row r="3" spans="1:22" ht="15" thickBot="1" x14ac:dyDescent="0.35">
      <c r="A3" s="1">
        <v>46023.020833333336</v>
      </c>
      <c r="B3" s="2">
        <v>4.3</v>
      </c>
      <c r="C3" s="1" t="str">
        <f t="shared" ref="C3:C66" si="0">IF(B3=$P$13,A3,"0")</f>
        <v>0</v>
      </c>
      <c r="D3" s="1" t="str">
        <f t="shared" ref="D3:D66" si="1">IF(B3=$M$13,A3,"0")</f>
        <v>0</v>
      </c>
      <c r="E3" s="5">
        <v>46023</v>
      </c>
      <c r="F3" s="6">
        <f>AVERAGEA(B2:B50)</f>
        <v>6.9551020408163255</v>
      </c>
      <c r="G3" s="7">
        <f>SUM(B2:B50)</f>
        <v>340.79999999999995</v>
      </c>
      <c r="H3" s="8" t="str">
        <f>IF(VALUE(F3)=VALUE($N$7),E3,"")</f>
        <v/>
      </c>
      <c r="I3" s="8" t="str">
        <f>IF(VALUE(F3)=VALUE($N$8),E3,"")</f>
        <v/>
      </c>
      <c r="J3" s="6">
        <f>MAXA(B2:B50)</f>
        <v>10.8</v>
      </c>
      <c r="K3" s="6">
        <f>MINA(B2:B50)</f>
        <v>2.6</v>
      </c>
    </row>
    <row r="4" spans="1:22" x14ac:dyDescent="0.3">
      <c r="A4" s="1">
        <v>46023.041666666664</v>
      </c>
      <c r="B4" s="2">
        <v>3.6</v>
      </c>
      <c r="C4" s="1" t="str">
        <f t="shared" si="0"/>
        <v>0</v>
      </c>
      <c r="D4" s="1" t="str">
        <f t="shared" si="1"/>
        <v>0</v>
      </c>
      <c r="E4" s="5">
        <v>46024</v>
      </c>
      <c r="F4" s="6">
        <f>AVERAGEA(B51:B98)</f>
        <v>10.404166666666667</v>
      </c>
      <c r="G4" s="7">
        <f>SUM(B51:B98)</f>
        <v>499.40000000000003</v>
      </c>
      <c r="H4" s="8" t="str">
        <f t="shared" ref="H4:H33" si="2">IF(VALUE(F4)=VALUE($N$7),E4,"")</f>
        <v/>
      </c>
      <c r="I4" s="8" t="str">
        <f t="shared" ref="I4:I33" si="3">IF(VALUE(F4)=VALUE($N$8),E4,"")</f>
        <v/>
      </c>
      <c r="J4" s="6">
        <f>MAXA(B51:B98)</f>
        <v>14.1</v>
      </c>
      <c r="K4" s="6">
        <f>MINA(B51:B98)</f>
        <v>6.6</v>
      </c>
      <c r="M4" s="46" t="s">
        <v>18</v>
      </c>
      <c r="N4" s="47"/>
    </row>
    <row r="5" spans="1:22" ht="15" thickBot="1" x14ac:dyDescent="0.35">
      <c r="A5" s="1">
        <v>46023.0625</v>
      </c>
      <c r="B5" s="2">
        <v>3.6</v>
      </c>
      <c r="C5" s="1" t="str">
        <f t="shared" si="0"/>
        <v>0</v>
      </c>
      <c r="D5" s="1" t="str">
        <f t="shared" si="1"/>
        <v>0</v>
      </c>
      <c r="E5" s="5">
        <v>46025</v>
      </c>
      <c r="F5" s="6">
        <f>AVERAGEA(B99:B146)</f>
        <v>13.241666666666665</v>
      </c>
      <c r="G5" s="7">
        <f>SUM(B99:B146)</f>
        <v>635.59999999999991</v>
      </c>
      <c r="H5" s="8">
        <f t="shared" si="2"/>
        <v>46025</v>
      </c>
      <c r="I5" s="8" t="str">
        <f t="shared" si="3"/>
        <v/>
      </c>
      <c r="J5" s="6">
        <f>MAXA(B99:B146)</f>
        <v>15.4</v>
      </c>
      <c r="K5" s="6">
        <f>MINA(B99:B146)</f>
        <v>11.2</v>
      </c>
      <c r="M5" s="49" t="s">
        <v>6</v>
      </c>
      <c r="N5" s="50"/>
      <c r="R5" s="48"/>
      <c r="S5" s="48"/>
    </row>
    <row r="6" spans="1:22" ht="15" thickBot="1" x14ac:dyDescent="0.35">
      <c r="A6" s="1">
        <v>46023.083333333336</v>
      </c>
      <c r="B6" s="2">
        <v>3.5</v>
      </c>
      <c r="C6" s="1" t="str">
        <f t="shared" si="0"/>
        <v>0</v>
      </c>
      <c r="D6" s="1" t="str">
        <f t="shared" si="1"/>
        <v>0</v>
      </c>
      <c r="E6" s="5">
        <v>46026</v>
      </c>
      <c r="F6" s="6">
        <f>AVERAGEA(B147:B194)</f>
        <v>13.172916666666667</v>
      </c>
      <c r="G6" s="7">
        <f>SUM(B147:B194)</f>
        <v>632.30000000000007</v>
      </c>
      <c r="H6" s="8" t="str">
        <f t="shared" si="2"/>
        <v/>
      </c>
      <c r="I6" s="8" t="str">
        <f t="shared" si="3"/>
        <v/>
      </c>
      <c r="J6" s="6">
        <f>MAXA(B147:B194)</f>
        <v>14.6</v>
      </c>
      <c r="K6" s="6">
        <f>MINA(B147:B194)</f>
        <v>10.8</v>
      </c>
      <c r="M6" s="51" t="s">
        <v>7</v>
      </c>
      <c r="N6" s="52"/>
      <c r="R6" s="48"/>
      <c r="S6" s="48"/>
    </row>
    <row r="7" spans="1:22" x14ac:dyDescent="0.3">
      <c r="A7" s="1">
        <v>46023.104166666664</v>
      </c>
      <c r="B7" s="2">
        <v>3.6</v>
      </c>
      <c r="C7" s="1" t="str">
        <f t="shared" si="0"/>
        <v>0</v>
      </c>
      <c r="D7" s="1" t="str">
        <f t="shared" si="1"/>
        <v>0</v>
      </c>
      <c r="E7" s="5">
        <v>46027</v>
      </c>
      <c r="F7" s="6">
        <f>AVERAGEA(B195:B242)</f>
        <v>10.472916666666666</v>
      </c>
      <c r="G7" s="7">
        <f>SUM(B195:B242)</f>
        <v>502.7</v>
      </c>
      <c r="H7" s="8" t="str">
        <f t="shared" si="2"/>
        <v/>
      </c>
      <c r="I7" s="8" t="str">
        <f t="shared" si="3"/>
        <v/>
      </c>
      <c r="J7" s="6">
        <f>MAXA(B195:B242)</f>
        <v>12.2</v>
      </c>
      <c r="K7" s="6">
        <f>MINA(B195:B242)</f>
        <v>9.1</v>
      </c>
      <c r="M7" s="9" t="s">
        <v>8</v>
      </c>
      <c r="N7" s="10">
        <f>MAXA(F3:F33)</f>
        <v>13.241666666666665</v>
      </c>
      <c r="Q7" s="40">
        <f>AVERAGE(J3:J33)</f>
        <v>13.106451612903228</v>
      </c>
      <c r="R7" s="41" t="s">
        <v>23</v>
      </c>
      <c r="S7" s="23"/>
    </row>
    <row r="8" spans="1:22" ht="15" thickBot="1" x14ac:dyDescent="0.35">
      <c r="A8" s="1">
        <v>46023.125</v>
      </c>
      <c r="B8" s="2">
        <v>3.4</v>
      </c>
      <c r="C8" s="1" t="str">
        <f t="shared" si="0"/>
        <v>0</v>
      </c>
      <c r="D8" s="1" t="str">
        <f t="shared" si="1"/>
        <v>0</v>
      </c>
      <c r="E8" s="5">
        <v>46028</v>
      </c>
      <c r="F8" s="6">
        <f>AVERAGEA(B243:B290)</f>
        <v>8.0666666666666682</v>
      </c>
      <c r="G8" s="7">
        <f>SUM(B243:B290)</f>
        <v>387.20000000000005</v>
      </c>
      <c r="H8" s="8" t="str">
        <f t="shared" si="2"/>
        <v/>
      </c>
      <c r="I8" s="8" t="str">
        <f t="shared" si="3"/>
        <v/>
      </c>
      <c r="J8" s="6">
        <f>MAXA(B243:B290)</f>
        <v>11.4</v>
      </c>
      <c r="K8" s="6">
        <f>MINA(B243:B290)</f>
        <v>5.4</v>
      </c>
      <c r="M8" s="5" t="s">
        <v>9</v>
      </c>
      <c r="N8" s="6">
        <f>MINA(F3:F33)</f>
        <v>4.477083333333332</v>
      </c>
      <c r="Q8" s="42">
        <f>AVERAGE(K3:K33)</f>
        <v>6.6709677419354838</v>
      </c>
      <c r="R8" s="43" t="s">
        <v>22</v>
      </c>
      <c r="S8" s="23"/>
    </row>
    <row r="9" spans="1:22" x14ac:dyDescent="0.3">
      <c r="A9" s="1">
        <v>46023.145833333336</v>
      </c>
      <c r="B9" s="2">
        <v>3.3</v>
      </c>
      <c r="C9" s="1" t="str">
        <f t="shared" si="0"/>
        <v>0</v>
      </c>
      <c r="D9" s="1" t="str">
        <f t="shared" si="1"/>
        <v>0</v>
      </c>
      <c r="E9" s="5">
        <v>46029</v>
      </c>
      <c r="F9" s="6">
        <f>AVERAGEA(B291:B339)</f>
        <v>5.1693877551020408</v>
      </c>
      <c r="G9" s="7">
        <f>SUM(B291:B339)</f>
        <v>253.29999999999998</v>
      </c>
      <c r="H9" s="8" t="str">
        <f t="shared" si="2"/>
        <v/>
      </c>
      <c r="I9" s="8" t="str">
        <f t="shared" si="3"/>
        <v/>
      </c>
      <c r="J9" s="6">
        <f>MAXA(B291:B339)</f>
        <v>7.5</v>
      </c>
      <c r="K9" s="6">
        <f>MINA(B291:B339)</f>
        <v>2.9</v>
      </c>
      <c r="M9" s="11" t="s">
        <v>10</v>
      </c>
      <c r="N9" s="12">
        <f>AVERAGE(F3:F33)</f>
        <v>9.8623313034891407</v>
      </c>
      <c r="R9" s="3"/>
      <c r="S9" s="23"/>
    </row>
    <row r="10" spans="1:22" ht="15" thickBot="1" x14ac:dyDescent="0.35">
      <c r="A10" s="1">
        <v>46023.166666666664</v>
      </c>
      <c r="B10" s="2">
        <v>3</v>
      </c>
      <c r="C10" s="1" t="str">
        <f t="shared" si="0"/>
        <v>0</v>
      </c>
      <c r="D10" s="1" t="str">
        <f t="shared" si="1"/>
        <v>0</v>
      </c>
      <c r="E10" s="5">
        <v>46030</v>
      </c>
      <c r="F10" s="6">
        <f>AVERAGEA(B340:B387)</f>
        <v>4.477083333333332</v>
      </c>
      <c r="G10" s="7">
        <f>SUM(B340:B387)</f>
        <v>214.89999999999995</v>
      </c>
      <c r="H10" s="8" t="str">
        <f t="shared" si="2"/>
        <v/>
      </c>
      <c r="I10" s="8">
        <f t="shared" si="3"/>
        <v>46030</v>
      </c>
      <c r="J10" s="6">
        <f>MAXA(B340:B387)</f>
        <v>7.7</v>
      </c>
      <c r="K10" s="35">
        <f>MINA(B340:B387)</f>
        <v>0.8</v>
      </c>
    </row>
    <row r="11" spans="1:22" ht="15" thickBot="1" x14ac:dyDescent="0.35">
      <c r="A11" s="1">
        <v>46023.1875</v>
      </c>
      <c r="B11" s="2">
        <v>3.1</v>
      </c>
      <c r="C11" s="1" t="str">
        <f t="shared" si="0"/>
        <v>0</v>
      </c>
      <c r="D11" s="1" t="str">
        <f t="shared" si="1"/>
        <v>0</v>
      </c>
      <c r="E11" s="5">
        <v>46031</v>
      </c>
      <c r="F11" s="6">
        <f>AVERAGEA(B388:B436)</f>
        <v>11.971428571428568</v>
      </c>
      <c r="G11" s="7">
        <f>SUM(B388:B436)</f>
        <v>586.5999999999998</v>
      </c>
      <c r="H11" s="8" t="str">
        <f t="shared" si="2"/>
        <v/>
      </c>
      <c r="I11" s="8" t="str">
        <f t="shared" si="3"/>
        <v/>
      </c>
      <c r="J11" s="6">
        <f>MAXA(B388:B436)</f>
        <v>14.9</v>
      </c>
      <c r="K11" s="6">
        <f>MINA(B388:B436)</f>
        <v>7.4</v>
      </c>
      <c r="M11" s="51" t="s">
        <v>11</v>
      </c>
      <c r="N11" s="52"/>
      <c r="R11" s="48"/>
      <c r="S11" s="48"/>
    </row>
    <row r="12" spans="1:22" x14ac:dyDescent="0.3">
      <c r="A12" s="1">
        <v>46023.208333333336</v>
      </c>
      <c r="B12" s="2">
        <v>2.7</v>
      </c>
      <c r="C12" s="1" t="str">
        <f t="shared" si="0"/>
        <v>0</v>
      </c>
      <c r="D12" s="1" t="str">
        <f t="shared" si="1"/>
        <v>0</v>
      </c>
      <c r="E12" s="5">
        <v>46032</v>
      </c>
      <c r="F12" s="6">
        <f>AVERAGEA(B437:B485)</f>
        <v>8.2551020408163271</v>
      </c>
      <c r="G12" s="7">
        <f>SUM(B437:B485)</f>
        <v>404.50000000000006</v>
      </c>
      <c r="H12" s="8" t="str">
        <f t="shared" si="2"/>
        <v/>
      </c>
      <c r="I12" s="8" t="str">
        <f t="shared" si="3"/>
        <v/>
      </c>
      <c r="J12" s="6">
        <f>MAXA(B437:B485)</f>
        <v>11.8</v>
      </c>
      <c r="K12" s="6">
        <f>MINA(B437:B485)</f>
        <v>5.2</v>
      </c>
      <c r="M12" s="13" t="s">
        <v>12</v>
      </c>
      <c r="N12" s="14" t="s">
        <v>13</v>
      </c>
      <c r="P12" s="15" t="s">
        <v>14</v>
      </c>
      <c r="Q12" s="16" t="s">
        <v>15</v>
      </c>
      <c r="R12" s="29"/>
      <c r="S12" s="30"/>
      <c r="U12" s="31"/>
      <c r="V12" s="32"/>
    </row>
    <row r="13" spans="1:22" ht="15.6" x14ac:dyDescent="0.3">
      <c r="A13" s="1">
        <v>46023.229166666664</v>
      </c>
      <c r="B13" s="2">
        <v>3.1</v>
      </c>
      <c r="C13" s="1" t="str">
        <f t="shared" si="0"/>
        <v>0</v>
      </c>
      <c r="D13" s="1" t="str">
        <f t="shared" si="1"/>
        <v>0</v>
      </c>
      <c r="E13" s="5">
        <v>46033</v>
      </c>
      <c r="F13" s="6">
        <f>AVERAGEA(B486:B533)</f>
        <v>6.3041666666666663</v>
      </c>
      <c r="G13" s="7">
        <f>SUM(B486:B533)</f>
        <v>302.59999999999997</v>
      </c>
      <c r="H13" s="8" t="str">
        <f t="shared" si="2"/>
        <v/>
      </c>
      <c r="I13" s="8" t="str">
        <f t="shared" si="3"/>
        <v/>
      </c>
      <c r="J13" s="6">
        <f>MAXA(B486:B533)</f>
        <v>11.4</v>
      </c>
      <c r="K13" s="6">
        <f>MINA(B486:B533)</f>
        <v>2.2999999999999998</v>
      </c>
      <c r="M13" s="17">
        <f>MAXA(B2:B1489)</f>
        <v>15.9</v>
      </c>
      <c r="N13" s="18">
        <f>Foglio1!B5</f>
        <v>46037.583333333336</v>
      </c>
      <c r="O13" s="19"/>
      <c r="P13" s="20">
        <f>MINA(B2:B1489)</f>
        <v>0.8</v>
      </c>
      <c r="Q13" s="18">
        <f>Foglio1!A5</f>
        <v>46030.229166666664</v>
      </c>
      <c r="R13" s="33"/>
      <c r="S13" s="21"/>
      <c r="T13" s="19"/>
      <c r="U13" s="34"/>
      <c r="V13" s="21"/>
    </row>
    <row r="14" spans="1:22" x14ac:dyDescent="0.3">
      <c r="A14" s="1">
        <v>46023.25</v>
      </c>
      <c r="B14" s="2">
        <v>2.8</v>
      </c>
      <c r="C14" s="1" t="str">
        <f t="shared" si="0"/>
        <v>0</v>
      </c>
      <c r="D14" s="1" t="str">
        <f t="shared" si="1"/>
        <v>0</v>
      </c>
      <c r="E14" s="5">
        <v>46034</v>
      </c>
      <c r="F14" s="6">
        <f>AVERAGEA(B534:B581)</f>
        <v>5.6020833333333337</v>
      </c>
      <c r="G14" s="7">
        <f>SUM(B534:B581)</f>
        <v>268.90000000000003</v>
      </c>
      <c r="H14" s="8" t="str">
        <f t="shared" si="2"/>
        <v/>
      </c>
      <c r="I14" s="8" t="str">
        <f t="shared" si="3"/>
        <v/>
      </c>
      <c r="J14" s="6">
        <f>MAXA(B534:B581)</f>
        <v>10.5</v>
      </c>
      <c r="K14" s="6">
        <f>MINA(B534:B581)</f>
        <v>1.3</v>
      </c>
      <c r="N14" s="21"/>
      <c r="O14" s="19"/>
      <c r="P14" s="19"/>
      <c r="Q14" s="21"/>
      <c r="R14" s="19"/>
      <c r="S14" s="21"/>
      <c r="T14" s="19"/>
      <c r="U14" s="19"/>
      <c r="V14" s="21"/>
    </row>
    <row r="15" spans="1:22" x14ac:dyDescent="0.3">
      <c r="A15" s="1">
        <v>46023.270833333336</v>
      </c>
      <c r="B15" s="2">
        <v>2.7</v>
      </c>
      <c r="C15" s="1" t="str">
        <f t="shared" si="0"/>
        <v>0</v>
      </c>
      <c r="D15" s="1" t="str">
        <f t="shared" si="1"/>
        <v>0</v>
      </c>
      <c r="E15" s="5">
        <v>46035</v>
      </c>
      <c r="F15" s="6">
        <f>AVERAGEA(B582:B629)</f>
        <v>9.7854166666666647</v>
      </c>
      <c r="G15" s="7">
        <f>SUM(B582:B629)</f>
        <v>469.69999999999987</v>
      </c>
      <c r="H15" s="8" t="str">
        <f t="shared" si="2"/>
        <v/>
      </c>
      <c r="I15" s="8" t="str">
        <f t="shared" si="3"/>
        <v/>
      </c>
      <c r="J15" s="6">
        <f>MAXA(B582:B629)</f>
        <v>14.3</v>
      </c>
      <c r="K15" s="6">
        <f>MINA(B582:B629)</f>
        <v>5.7</v>
      </c>
      <c r="N15" s="21"/>
      <c r="O15" s="19"/>
      <c r="P15" s="19"/>
      <c r="Q15" s="21"/>
      <c r="R15" s="19"/>
      <c r="S15" s="19"/>
      <c r="T15" s="19"/>
      <c r="U15" s="19"/>
      <c r="V15" s="21"/>
    </row>
    <row r="16" spans="1:22" x14ac:dyDescent="0.3">
      <c r="A16" s="1">
        <v>46023.291666666664</v>
      </c>
      <c r="B16" s="2">
        <v>2.6</v>
      </c>
      <c r="C16" s="1" t="str">
        <f t="shared" si="0"/>
        <v>0</v>
      </c>
      <c r="D16" s="1" t="str">
        <f t="shared" si="1"/>
        <v>0</v>
      </c>
      <c r="E16" s="5">
        <v>46036</v>
      </c>
      <c r="F16" s="6">
        <f>AVERAGEA(B630:B677)</f>
        <v>11.825000000000001</v>
      </c>
      <c r="G16" s="7">
        <f>SUM(B630:B677)</f>
        <v>567.6</v>
      </c>
      <c r="H16" s="8" t="str">
        <f t="shared" si="2"/>
        <v/>
      </c>
      <c r="I16" s="8" t="str">
        <f t="shared" si="3"/>
        <v/>
      </c>
      <c r="J16" s="6">
        <f>MAXA(B630:B677)</f>
        <v>15.3</v>
      </c>
      <c r="K16" s="6">
        <f>MINA(B630:B677)</f>
        <v>8.5</v>
      </c>
      <c r="N16" s="21"/>
      <c r="O16" s="19"/>
      <c r="P16" s="19"/>
      <c r="Q16" s="21"/>
      <c r="R16" s="19"/>
      <c r="S16" s="19"/>
      <c r="T16" s="19"/>
      <c r="U16" s="19"/>
      <c r="V16" s="21"/>
    </row>
    <row r="17" spans="1:22" x14ac:dyDescent="0.3">
      <c r="A17" s="1">
        <v>46023.3125</v>
      </c>
      <c r="B17" s="2">
        <v>3.2</v>
      </c>
      <c r="C17" s="1" t="str">
        <f t="shared" si="0"/>
        <v>0</v>
      </c>
      <c r="D17" s="1" t="str">
        <f t="shared" si="1"/>
        <v>0</v>
      </c>
      <c r="E17" s="5">
        <v>46037</v>
      </c>
      <c r="F17" s="6">
        <f>AVERAGEA(B678:B725)</f>
        <v>13.0375</v>
      </c>
      <c r="G17" s="7">
        <f>SUM(B678:B725)</f>
        <v>625.79999999999995</v>
      </c>
      <c r="H17" s="8" t="str">
        <f t="shared" si="2"/>
        <v/>
      </c>
      <c r="I17" s="8" t="str">
        <f t="shared" si="3"/>
        <v/>
      </c>
      <c r="J17" s="22">
        <f>MAXA(B678:B725)</f>
        <v>15.9</v>
      </c>
      <c r="K17" s="6">
        <f>MINA(B678:B725)</f>
        <v>10</v>
      </c>
      <c r="N17" s="21"/>
      <c r="O17" s="19"/>
      <c r="P17" s="19"/>
      <c r="Q17" s="21"/>
      <c r="R17" s="19"/>
      <c r="S17" s="19"/>
      <c r="T17" s="19"/>
      <c r="U17" s="19"/>
      <c r="V17" s="21"/>
    </row>
    <row r="18" spans="1:22" x14ac:dyDescent="0.3">
      <c r="A18" s="1">
        <v>46023.333333333336</v>
      </c>
      <c r="B18" s="2">
        <v>3.6</v>
      </c>
      <c r="C18" s="1" t="str">
        <f t="shared" si="0"/>
        <v>0</v>
      </c>
      <c r="D18" s="1" t="str">
        <f t="shared" si="1"/>
        <v>0</v>
      </c>
      <c r="E18" s="5">
        <v>46038</v>
      </c>
      <c r="F18" s="6">
        <f>AVERAGEA(B726:B773)</f>
        <v>9.8874999999999993</v>
      </c>
      <c r="G18" s="7">
        <f>SUM(B726:B773)</f>
        <v>474.59999999999997</v>
      </c>
      <c r="H18" s="8" t="str">
        <f t="shared" si="2"/>
        <v/>
      </c>
      <c r="I18" s="8" t="str">
        <f t="shared" si="3"/>
        <v/>
      </c>
      <c r="J18" s="6">
        <f>MAXA(B726:B773)</f>
        <v>13.5</v>
      </c>
      <c r="K18" s="6">
        <f>MINA(B726:B773)</f>
        <v>6.7</v>
      </c>
      <c r="N18" s="21"/>
      <c r="O18" s="19"/>
      <c r="P18" s="19"/>
      <c r="Q18" s="21"/>
      <c r="R18" s="19"/>
      <c r="S18" s="19"/>
      <c r="T18" s="19"/>
      <c r="U18" s="19"/>
      <c r="V18" s="21"/>
    </row>
    <row r="19" spans="1:22" x14ac:dyDescent="0.3">
      <c r="A19" s="1">
        <v>46023.354166666664</v>
      </c>
      <c r="B19" s="2">
        <v>3.9</v>
      </c>
      <c r="C19" s="1" t="str">
        <f t="shared" si="0"/>
        <v>0</v>
      </c>
      <c r="D19" s="1" t="str">
        <f t="shared" si="1"/>
        <v>0</v>
      </c>
      <c r="E19" s="5">
        <v>46039</v>
      </c>
      <c r="F19" s="6">
        <f>AVERAGEA(B774:B821)</f>
        <v>10.310416666666667</v>
      </c>
      <c r="G19" s="7">
        <f>SUM(B774:B821)</f>
        <v>494.90000000000003</v>
      </c>
      <c r="H19" s="8" t="str">
        <f t="shared" si="2"/>
        <v/>
      </c>
      <c r="I19" s="8" t="str">
        <f t="shared" si="3"/>
        <v/>
      </c>
      <c r="J19" s="6">
        <f>MAXA(B774:B821)</f>
        <v>15.8</v>
      </c>
      <c r="K19" s="6">
        <f>MINA(B774:B821)</f>
        <v>5.7</v>
      </c>
      <c r="M19" s="48"/>
      <c r="N19" s="48"/>
      <c r="R19" s="48"/>
      <c r="S19" s="48"/>
      <c r="T19" s="19"/>
      <c r="U19" s="19"/>
      <c r="V19" s="21"/>
    </row>
    <row r="20" spans="1:22" x14ac:dyDescent="0.3">
      <c r="A20" s="1">
        <v>46023.375</v>
      </c>
      <c r="B20" s="2">
        <v>5.3</v>
      </c>
      <c r="C20" s="1" t="str">
        <f t="shared" si="0"/>
        <v>0</v>
      </c>
      <c r="D20" s="1" t="str">
        <f t="shared" si="1"/>
        <v>0</v>
      </c>
      <c r="E20" s="5">
        <v>46040</v>
      </c>
      <c r="F20" s="6">
        <f>AVERAGEA(B822:B869)</f>
        <v>11.272916666666669</v>
      </c>
      <c r="G20" s="7">
        <f>SUM(B822:B869)</f>
        <v>541.10000000000014</v>
      </c>
      <c r="H20" s="8" t="str">
        <f t="shared" si="2"/>
        <v/>
      </c>
      <c r="I20" s="8" t="str">
        <f t="shared" si="3"/>
        <v/>
      </c>
      <c r="J20" s="6">
        <f>MAXA(B822:B869)</f>
        <v>14.8</v>
      </c>
      <c r="K20" s="6">
        <f>MINA(B822:B869)</f>
        <v>6.8</v>
      </c>
      <c r="M20" s="3"/>
      <c r="N20" s="23"/>
      <c r="R20" s="3"/>
      <c r="S20" s="24"/>
      <c r="T20" s="19"/>
      <c r="U20" s="19"/>
      <c r="V20" s="21"/>
    </row>
    <row r="21" spans="1:22" x14ac:dyDescent="0.3">
      <c r="A21" s="1">
        <v>46023.395833333336</v>
      </c>
      <c r="B21" s="2">
        <v>5.5</v>
      </c>
      <c r="C21" s="1" t="str">
        <f t="shared" si="0"/>
        <v>0</v>
      </c>
      <c r="D21" s="1" t="str">
        <f t="shared" si="1"/>
        <v>0</v>
      </c>
      <c r="E21" s="5">
        <v>46041</v>
      </c>
      <c r="F21" s="6">
        <f>AVERAGEA(B870:B917)</f>
        <v>12.381250000000001</v>
      </c>
      <c r="G21" s="7">
        <f>SUM(B870:B917)</f>
        <v>594.30000000000007</v>
      </c>
      <c r="H21" s="8" t="str">
        <f t="shared" si="2"/>
        <v/>
      </c>
      <c r="I21" s="8" t="str">
        <f t="shared" si="3"/>
        <v/>
      </c>
      <c r="J21" s="6">
        <f>MAXA(B870:B917)</f>
        <v>14.3</v>
      </c>
      <c r="K21" s="6">
        <f>MINA(B870:B917)</f>
        <v>10.9</v>
      </c>
      <c r="M21" s="3"/>
      <c r="N21" s="23"/>
      <c r="R21" s="3"/>
      <c r="S21" s="24"/>
      <c r="T21" s="19"/>
      <c r="U21" s="19"/>
      <c r="V21" s="21"/>
    </row>
    <row r="22" spans="1:22" x14ac:dyDescent="0.3">
      <c r="A22" s="1">
        <v>46023.416666666664</v>
      </c>
      <c r="B22" s="2">
        <v>6</v>
      </c>
      <c r="C22" s="1" t="str">
        <f t="shared" si="0"/>
        <v>0</v>
      </c>
      <c r="D22" s="1" t="str">
        <f t="shared" si="1"/>
        <v>0</v>
      </c>
      <c r="E22" s="5">
        <v>46042</v>
      </c>
      <c r="F22" s="6">
        <f>AVERAGEA(B918:B965)</f>
        <v>11.891666666666667</v>
      </c>
      <c r="G22" s="7">
        <f>SUM(B918:B965)</f>
        <v>570.80000000000007</v>
      </c>
      <c r="H22" s="8" t="str">
        <f t="shared" si="2"/>
        <v/>
      </c>
      <c r="I22" s="8" t="str">
        <f t="shared" si="3"/>
        <v/>
      </c>
      <c r="J22" s="6">
        <f>MAXA(B918:B965)</f>
        <v>14.5</v>
      </c>
      <c r="K22" s="6">
        <f>MINA(B918:B965)</f>
        <v>9.6</v>
      </c>
      <c r="M22" s="3"/>
      <c r="N22" s="23"/>
      <c r="R22" s="3"/>
      <c r="S22" s="24"/>
      <c r="T22" s="19"/>
      <c r="U22" s="19"/>
      <c r="V22" s="21"/>
    </row>
    <row r="23" spans="1:22" x14ac:dyDescent="0.3">
      <c r="A23" s="1">
        <v>46023.4375</v>
      </c>
      <c r="B23" s="2">
        <v>7.1</v>
      </c>
      <c r="C23" s="1" t="str">
        <f t="shared" si="0"/>
        <v>0</v>
      </c>
      <c r="D23" s="1" t="str">
        <f t="shared" si="1"/>
        <v>0</v>
      </c>
      <c r="E23" s="5">
        <v>46043</v>
      </c>
      <c r="F23" s="6">
        <f>AVERAGEA(B966:B1013)</f>
        <v>8.9499999999999993</v>
      </c>
      <c r="G23" s="7">
        <f>SUM(B966:B1013)</f>
        <v>429.59999999999997</v>
      </c>
      <c r="H23" s="8" t="str">
        <f t="shared" si="2"/>
        <v/>
      </c>
      <c r="I23" s="8" t="str">
        <f t="shared" si="3"/>
        <v/>
      </c>
      <c r="J23" s="6">
        <f>MAXA(B966:B1013)</f>
        <v>9.8000000000000007</v>
      </c>
      <c r="K23" s="6">
        <f>MINA(B966:B1013)</f>
        <v>7.8</v>
      </c>
      <c r="R23" s="19"/>
      <c r="S23" s="19"/>
      <c r="T23" s="19"/>
      <c r="U23" s="19"/>
      <c r="V23" s="21"/>
    </row>
    <row r="24" spans="1:22" ht="15.6" x14ac:dyDescent="0.3">
      <c r="A24" s="1">
        <v>46023.458333333336</v>
      </c>
      <c r="B24" s="2">
        <v>8.1</v>
      </c>
      <c r="C24" s="1" t="str">
        <f t="shared" si="0"/>
        <v>0</v>
      </c>
      <c r="D24" s="1" t="str">
        <f t="shared" si="1"/>
        <v>0</v>
      </c>
      <c r="E24" s="5">
        <v>46044</v>
      </c>
      <c r="F24" s="6">
        <f>AVERAGEA(B1014:B1061)</f>
        <v>9.4270833333333339</v>
      </c>
      <c r="G24" s="7">
        <f>SUM(B1014:B1061)</f>
        <v>452.5</v>
      </c>
      <c r="H24" s="8" t="str">
        <f t="shared" si="2"/>
        <v/>
      </c>
      <c r="I24" s="8" t="str">
        <f t="shared" si="3"/>
        <v/>
      </c>
      <c r="J24" s="6">
        <f>MAXA(B1014:B1061)</f>
        <v>12.7</v>
      </c>
      <c r="K24" s="6">
        <f>MINA(B1014:B1061)</f>
        <v>6.6</v>
      </c>
      <c r="M24" s="25"/>
      <c r="R24" s="19"/>
      <c r="S24" s="19"/>
      <c r="T24" s="19"/>
      <c r="U24" s="19"/>
      <c r="V24" s="21"/>
    </row>
    <row r="25" spans="1:22" x14ac:dyDescent="0.3">
      <c r="A25" s="1">
        <v>46023.479166666664</v>
      </c>
      <c r="B25" s="2">
        <v>10</v>
      </c>
      <c r="C25" s="1" t="str">
        <f t="shared" si="0"/>
        <v>0</v>
      </c>
      <c r="D25" s="1" t="str">
        <f t="shared" si="1"/>
        <v>0</v>
      </c>
      <c r="E25" s="5">
        <v>46045</v>
      </c>
      <c r="F25" s="6">
        <f>AVERAGEA(B1062:B1109)</f>
        <v>9.8458333333333314</v>
      </c>
      <c r="G25" s="7">
        <f>SUM(B1062:B1109)</f>
        <v>472.59999999999991</v>
      </c>
      <c r="H25" s="8" t="str">
        <f t="shared" si="2"/>
        <v/>
      </c>
      <c r="I25" s="8" t="str">
        <f t="shared" si="3"/>
        <v/>
      </c>
      <c r="J25" s="6">
        <f>MAXA(B1062:B1109)</f>
        <v>14.6</v>
      </c>
      <c r="K25" s="6">
        <f>MINA(B1062:B1109)</f>
        <v>3.8</v>
      </c>
      <c r="R25" s="19"/>
      <c r="S25" s="19"/>
      <c r="T25" s="19"/>
      <c r="U25" s="19"/>
      <c r="V25" s="21"/>
    </row>
    <row r="26" spans="1:22" x14ac:dyDescent="0.3">
      <c r="A26" s="1">
        <v>46023.5</v>
      </c>
      <c r="B26" s="2">
        <v>10.8</v>
      </c>
      <c r="C26" s="1" t="str">
        <f t="shared" si="0"/>
        <v>0</v>
      </c>
      <c r="D26" s="1" t="str">
        <f t="shared" si="1"/>
        <v>0</v>
      </c>
      <c r="E26" s="5">
        <v>46046</v>
      </c>
      <c r="F26" s="6">
        <f>AVERAGEA(B1110:B1157)</f>
        <v>12.937500000000002</v>
      </c>
      <c r="G26" s="7">
        <f>SUM(B1110:B1157)</f>
        <v>621.00000000000011</v>
      </c>
      <c r="H26" s="8" t="str">
        <f t="shared" si="2"/>
        <v/>
      </c>
      <c r="I26" s="8" t="str">
        <f t="shared" si="3"/>
        <v/>
      </c>
      <c r="J26" s="6">
        <f>MAXA(B1110:B1157)</f>
        <v>15.7</v>
      </c>
      <c r="K26" s="6">
        <f>MINA(B1110:B1157)</f>
        <v>10.7</v>
      </c>
      <c r="R26" s="19"/>
      <c r="S26" s="19"/>
      <c r="T26" s="19"/>
      <c r="U26" s="19"/>
      <c r="V26" s="21"/>
    </row>
    <row r="27" spans="1:22" x14ac:dyDescent="0.3">
      <c r="A27" s="1">
        <v>46023.520833333336</v>
      </c>
      <c r="B27" s="2">
        <v>10.6</v>
      </c>
      <c r="C27" s="1" t="str">
        <f t="shared" si="0"/>
        <v>0</v>
      </c>
      <c r="D27" s="1" t="str">
        <f t="shared" si="1"/>
        <v>0</v>
      </c>
      <c r="E27" s="5">
        <v>46047</v>
      </c>
      <c r="F27" s="6">
        <f>AVERAGEA(B1158:B1205)</f>
        <v>9.9833333333333343</v>
      </c>
      <c r="G27" s="7">
        <f>SUM(B1158:B1205)</f>
        <v>479.20000000000005</v>
      </c>
      <c r="H27" s="8" t="str">
        <f t="shared" si="2"/>
        <v/>
      </c>
      <c r="I27" s="8" t="str">
        <f t="shared" si="3"/>
        <v/>
      </c>
      <c r="J27" s="6">
        <f>MAXA(B1158:B1205)</f>
        <v>13.1</v>
      </c>
      <c r="K27" s="6">
        <f>MINA(B1158:B1205)</f>
        <v>7.9</v>
      </c>
      <c r="R27" s="19"/>
      <c r="S27" s="19"/>
      <c r="T27" s="19"/>
      <c r="U27" s="19"/>
      <c r="V27" s="21"/>
    </row>
    <row r="28" spans="1:22" x14ac:dyDescent="0.3">
      <c r="A28" s="1">
        <v>46023.541666666664</v>
      </c>
      <c r="B28" s="2">
        <v>10.3</v>
      </c>
      <c r="C28" s="1" t="str">
        <f t="shared" si="0"/>
        <v>0</v>
      </c>
      <c r="D28" s="1" t="str">
        <f t="shared" si="1"/>
        <v>0</v>
      </c>
      <c r="E28" s="5">
        <v>46048</v>
      </c>
      <c r="F28" s="6">
        <f>AVERAGEA(B1206:B1253)</f>
        <v>8.5145833333333361</v>
      </c>
      <c r="G28" s="7">
        <f>SUM(B1206:B1253)</f>
        <v>408.70000000000016</v>
      </c>
      <c r="H28" s="8" t="str">
        <f t="shared" si="2"/>
        <v/>
      </c>
      <c r="I28" s="8" t="str">
        <f t="shared" si="3"/>
        <v/>
      </c>
      <c r="J28" s="6">
        <f>MAXA(B1206:B1253)</f>
        <v>10.4</v>
      </c>
      <c r="K28" s="6">
        <f>MINA(B1206:B1253)</f>
        <v>5.6</v>
      </c>
      <c r="R28" s="19"/>
      <c r="S28" s="19"/>
      <c r="T28" s="19"/>
      <c r="U28" s="19"/>
      <c r="V28" s="21"/>
    </row>
    <row r="29" spans="1:22" x14ac:dyDescent="0.3">
      <c r="A29" s="1">
        <v>46023.5625</v>
      </c>
      <c r="B29" s="2">
        <v>10.1</v>
      </c>
      <c r="C29" s="1" t="str">
        <f t="shared" si="0"/>
        <v>0</v>
      </c>
      <c r="D29" s="1" t="str">
        <f t="shared" si="1"/>
        <v>0</v>
      </c>
      <c r="E29" s="5">
        <v>46049</v>
      </c>
      <c r="F29" s="6">
        <f>AVERAGEA(B1254:B1301)</f>
        <v>9.4979166666666686</v>
      </c>
      <c r="G29" s="7">
        <f>SUM(B1254:B1301)</f>
        <v>455.90000000000009</v>
      </c>
      <c r="H29" s="8" t="str">
        <f t="shared" si="2"/>
        <v/>
      </c>
      <c r="I29" s="8" t="str">
        <f t="shared" si="3"/>
        <v/>
      </c>
      <c r="J29" s="6">
        <f>MAXA(B1254:B1301)</f>
        <v>13.6</v>
      </c>
      <c r="K29" s="6">
        <f>MINA(B1254:B1301)</f>
        <v>5.0999999999999996</v>
      </c>
      <c r="N29" s="21"/>
      <c r="O29" s="19"/>
      <c r="P29" s="19"/>
      <c r="Q29" s="21"/>
      <c r="R29" s="19"/>
      <c r="S29" s="19"/>
      <c r="T29" s="19"/>
      <c r="U29" s="19"/>
      <c r="V29" s="21"/>
    </row>
    <row r="30" spans="1:22" x14ac:dyDescent="0.3">
      <c r="A30" s="1">
        <v>46023.583333333336</v>
      </c>
      <c r="B30" s="2">
        <v>10</v>
      </c>
      <c r="C30" s="1" t="str">
        <f t="shared" si="0"/>
        <v>0</v>
      </c>
      <c r="D30" s="1" t="str">
        <f t="shared" si="1"/>
        <v>0</v>
      </c>
      <c r="E30" s="5">
        <v>46050</v>
      </c>
      <c r="F30" s="6">
        <f>AVERAGEA(B1302:B1349)</f>
        <v>12.260416666666666</v>
      </c>
      <c r="G30" s="7">
        <f>SUM(B1302:B1349)</f>
        <v>588.5</v>
      </c>
      <c r="H30" s="8" t="str">
        <f t="shared" si="2"/>
        <v/>
      </c>
      <c r="I30" s="8" t="str">
        <f t="shared" si="3"/>
        <v/>
      </c>
      <c r="J30" s="6">
        <f>MAXA(B1302:B1349)</f>
        <v>14</v>
      </c>
      <c r="K30" s="6">
        <f>MINA(B1302:B1349)</f>
        <v>10</v>
      </c>
      <c r="N30" s="21"/>
      <c r="O30" s="19"/>
      <c r="P30" s="19"/>
      <c r="Q30" s="21"/>
      <c r="R30" s="19"/>
      <c r="S30" s="19"/>
      <c r="T30" s="19"/>
      <c r="U30" s="19"/>
      <c r="V30" s="21"/>
    </row>
    <row r="31" spans="1:22" x14ac:dyDescent="0.3">
      <c r="A31" s="1">
        <v>46023.604166666664</v>
      </c>
      <c r="B31" s="2">
        <v>10</v>
      </c>
      <c r="C31" s="1" t="str">
        <f t="shared" si="0"/>
        <v>0</v>
      </c>
      <c r="D31" s="1" t="str">
        <f t="shared" si="1"/>
        <v>0</v>
      </c>
      <c r="E31" s="5">
        <v>46051</v>
      </c>
      <c r="F31" s="6">
        <f>AVERAGEA(B1350:B1397)</f>
        <v>10.424999999999999</v>
      </c>
      <c r="G31" s="7">
        <f>SUM(B1350:B1397)</f>
        <v>500.4</v>
      </c>
      <c r="H31" s="8" t="str">
        <f t="shared" si="2"/>
        <v/>
      </c>
      <c r="I31" s="8" t="str">
        <f t="shared" si="3"/>
        <v/>
      </c>
      <c r="J31" s="6">
        <f>MAXA(B1350:B1397)</f>
        <v>13.9</v>
      </c>
      <c r="K31" s="6">
        <f>MINA(B1350:B1397)</f>
        <v>7.9</v>
      </c>
      <c r="N31" s="21"/>
      <c r="O31" s="19"/>
      <c r="P31" s="19"/>
      <c r="Q31" s="21"/>
      <c r="R31" s="19"/>
      <c r="S31" s="19"/>
      <c r="T31" s="19"/>
      <c r="U31" s="19"/>
      <c r="V31" s="21"/>
    </row>
    <row r="32" spans="1:22" x14ac:dyDescent="0.3">
      <c r="A32" s="1">
        <v>46023.625</v>
      </c>
      <c r="B32" s="2">
        <v>10</v>
      </c>
      <c r="C32" s="1" t="str">
        <f t="shared" si="0"/>
        <v>0</v>
      </c>
      <c r="D32" s="1" t="str">
        <f t="shared" si="1"/>
        <v>0</v>
      </c>
      <c r="E32" s="5">
        <v>46052</v>
      </c>
      <c r="F32" s="6">
        <f>AVERAGEA(B1398:B1445)</f>
        <v>9.1249999999999964</v>
      </c>
      <c r="G32" s="7">
        <f>SUM(B1398:B1445)</f>
        <v>437.99999999999983</v>
      </c>
      <c r="H32" s="8" t="str">
        <f t="shared" si="2"/>
        <v/>
      </c>
      <c r="I32" s="8" t="str">
        <f t="shared" si="3"/>
        <v/>
      </c>
      <c r="J32" s="6">
        <f>MAXA(B1398:B1445)</f>
        <v>14</v>
      </c>
      <c r="K32" s="6">
        <f>MINA(B1398:B1445)</f>
        <v>4.5999999999999996</v>
      </c>
      <c r="N32" s="21"/>
      <c r="O32" s="19"/>
      <c r="P32" s="19"/>
      <c r="Q32" s="21"/>
      <c r="R32" s="19"/>
      <c r="S32" s="19"/>
      <c r="T32" s="19"/>
      <c r="U32" s="19"/>
      <c r="V32" s="21"/>
    </row>
    <row r="33" spans="1:22" x14ac:dyDescent="0.3">
      <c r="A33" s="1">
        <v>46023.645833333336</v>
      </c>
      <c r="B33" s="2">
        <v>9.6999999999999993</v>
      </c>
      <c r="C33" s="1" t="str">
        <f t="shared" si="0"/>
        <v>0</v>
      </c>
      <c r="D33" s="1" t="str">
        <f t="shared" si="1"/>
        <v>0</v>
      </c>
      <c r="E33" s="5">
        <v>46053</v>
      </c>
      <c r="F33" s="6">
        <f>AVERAGEA(B1446:B1493)</f>
        <v>10.281250000000002</v>
      </c>
      <c r="G33" s="7">
        <f>SUM(B1446:B1493)</f>
        <v>493.50000000000006</v>
      </c>
      <c r="H33" s="8" t="str">
        <f t="shared" si="2"/>
        <v/>
      </c>
      <c r="I33" s="8" t="str">
        <f t="shared" si="3"/>
        <v/>
      </c>
      <c r="J33" s="6">
        <f>MAXA(B1446:B1493)</f>
        <v>13.8</v>
      </c>
      <c r="K33" s="6">
        <f>MINA(B1446:B1493)</f>
        <v>7.3</v>
      </c>
      <c r="N33" s="21"/>
      <c r="O33" s="19"/>
      <c r="P33" s="19"/>
      <c r="Q33" s="21"/>
      <c r="R33" s="19"/>
      <c r="S33" s="19"/>
      <c r="T33" s="19"/>
      <c r="U33" s="19"/>
      <c r="V33" s="21"/>
    </row>
    <row r="34" spans="1:22" x14ac:dyDescent="0.3">
      <c r="A34" s="1">
        <v>46023.666666666664</v>
      </c>
      <c r="B34" s="2">
        <v>9.3000000000000007</v>
      </c>
      <c r="C34" s="1" t="str">
        <f t="shared" si="0"/>
        <v>0</v>
      </c>
      <c r="D34" s="1" t="str">
        <f t="shared" si="1"/>
        <v>0</v>
      </c>
      <c r="F34" s="24"/>
      <c r="G34" s="24"/>
      <c r="H34" s="3"/>
      <c r="N34" s="21"/>
      <c r="O34" s="19"/>
      <c r="P34" s="19"/>
      <c r="Q34" s="21"/>
      <c r="R34" s="19"/>
      <c r="S34" s="19"/>
      <c r="T34" s="19"/>
      <c r="U34" s="19"/>
      <c r="V34" s="21"/>
    </row>
    <row r="35" spans="1:22" x14ac:dyDescent="0.3">
      <c r="A35" s="1">
        <v>46023.672881944447</v>
      </c>
      <c r="B35" s="2">
        <v>9.3000000000000007</v>
      </c>
      <c r="C35" s="1" t="str">
        <f t="shared" si="0"/>
        <v>0</v>
      </c>
      <c r="D35" s="1" t="str">
        <f t="shared" si="1"/>
        <v>0</v>
      </c>
      <c r="H35" s="3"/>
      <c r="N35" s="21"/>
      <c r="O35" s="19"/>
      <c r="P35" s="19"/>
      <c r="Q35" s="21"/>
      <c r="R35" s="19"/>
      <c r="S35" s="19"/>
      <c r="T35" s="19"/>
      <c r="U35" s="19"/>
      <c r="V35" s="21"/>
    </row>
    <row r="36" spans="1:22" x14ac:dyDescent="0.3">
      <c r="A36" s="1">
        <v>46023.6875</v>
      </c>
      <c r="B36" s="2">
        <v>9.1999999999999993</v>
      </c>
      <c r="C36" s="1" t="str">
        <f t="shared" si="0"/>
        <v>0</v>
      </c>
      <c r="D36" s="1" t="str">
        <f t="shared" si="1"/>
        <v>0</v>
      </c>
      <c r="H36" s="3"/>
      <c r="N36" s="21"/>
      <c r="O36" s="19"/>
      <c r="P36" s="19"/>
      <c r="Q36" s="21"/>
      <c r="R36" s="19"/>
      <c r="S36" s="19"/>
      <c r="T36" s="19"/>
      <c r="U36" s="19"/>
      <c r="V36" s="21"/>
    </row>
    <row r="37" spans="1:22" x14ac:dyDescent="0.3">
      <c r="A37" s="1">
        <v>46023.708333333336</v>
      </c>
      <c r="B37" s="2">
        <v>9.4</v>
      </c>
      <c r="C37" s="1" t="str">
        <f t="shared" si="0"/>
        <v>0</v>
      </c>
      <c r="D37" s="1" t="str">
        <f t="shared" si="1"/>
        <v>0</v>
      </c>
      <c r="H37" s="3"/>
      <c r="N37" s="21"/>
      <c r="O37" s="19"/>
      <c r="P37" s="19"/>
      <c r="Q37" s="21"/>
      <c r="R37" s="19"/>
      <c r="S37" s="19"/>
      <c r="T37" s="19"/>
      <c r="U37" s="19"/>
      <c r="V37" s="21"/>
    </row>
    <row r="38" spans="1:22" x14ac:dyDescent="0.3">
      <c r="A38" s="1">
        <v>46023.729166666664</v>
      </c>
      <c r="B38" s="2">
        <v>9.5</v>
      </c>
      <c r="C38" s="1" t="str">
        <f t="shared" si="0"/>
        <v>0</v>
      </c>
      <c r="D38" s="1" t="str">
        <f t="shared" si="1"/>
        <v>0</v>
      </c>
      <c r="N38" s="19"/>
      <c r="O38" s="19"/>
      <c r="P38" s="19"/>
      <c r="Q38" s="21"/>
      <c r="R38" s="19"/>
      <c r="S38" s="19"/>
      <c r="T38" s="19"/>
      <c r="U38" s="19"/>
      <c r="V38" s="21"/>
    </row>
    <row r="39" spans="1:22" x14ac:dyDescent="0.3">
      <c r="A39" s="1">
        <v>46023.75</v>
      </c>
      <c r="B39" s="2">
        <v>9.5</v>
      </c>
      <c r="C39" s="1" t="str">
        <f t="shared" si="0"/>
        <v>0</v>
      </c>
      <c r="D39" s="1" t="str">
        <f t="shared" si="1"/>
        <v>0</v>
      </c>
      <c r="N39" s="19"/>
      <c r="O39" s="19"/>
      <c r="P39" s="19"/>
      <c r="Q39" s="21"/>
      <c r="R39" s="19"/>
      <c r="S39" s="19"/>
      <c r="T39" s="19"/>
      <c r="U39" s="19"/>
      <c r="V39" s="21"/>
    </row>
    <row r="40" spans="1:22" x14ac:dyDescent="0.3">
      <c r="A40" s="1">
        <v>46023.770833333336</v>
      </c>
      <c r="B40" s="2">
        <v>9.1</v>
      </c>
      <c r="C40" s="1" t="str">
        <f t="shared" si="0"/>
        <v>0</v>
      </c>
      <c r="D40" s="1" t="str">
        <f t="shared" si="1"/>
        <v>0</v>
      </c>
      <c r="N40" s="19"/>
      <c r="O40" s="19"/>
      <c r="P40" s="19"/>
      <c r="Q40" s="21"/>
      <c r="R40" s="19"/>
      <c r="S40" s="19"/>
      <c r="T40" s="19"/>
      <c r="U40" s="19"/>
      <c r="V40" s="21"/>
    </row>
    <row r="41" spans="1:22" x14ac:dyDescent="0.3">
      <c r="A41" s="1">
        <v>46023.791666666664</v>
      </c>
      <c r="B41" s="2">
        <v>8.9</v>
      </c>
      <c r="C41" s="1" t="str">
        <f t="shared" si="0"/>
        <v>0</v>
      </c>
      <c r="D41" s="1" t="str">
        <f t="shared" si="1"/>
        <v>0</v>
      </c>
      <c r="N41" s="19"/>
      <c r="O41" s="19"/>
      <c r="P41" s="19"/>
      <c r="Q41" s="21"/>
      <c r="R41" s="19"/>
      <c r="S41" s="19"/>
      <c r="T41" s="19"/>
      <c r="U41" s="19"/>
      <c r="V41" s="21"/>
    </row>
    <row r="42" spans="1:22" x14ac:dyDescent="0.3">
      <c r="A42" s="1">
        <v>46023.8125</v>
      </c>
      <c r="B42" s="2">
        <v>8.9</v>
      </c>
      <c r="C42" s="1" t="str">
        <f t="shared" si="0"/>
        <v>0</v>
      </c>
      <c r="D42" s="1" t="str">
        <f t="shared" si="1"/>
        <v>0</v>
      </c>
      <c r="N42" s="19"/>
      <c r="O42" s="19"/>
      <c r="P42" s="19"/>
      <c r="Q42" s="21"/>
      <c r="R42" s="19"/>
      <c r="S42" s="19"/>
      <c r="T42" s="19"/>
      <c r="U42" s="19"/>
      <c r="V42" s="21"/>
    </row>
    <row r="43" spans="1:22" x14ac:dyDescent="0.3">
      <c r="A43" s="1">
        <v>46023.833333333336</v>
      </c>
      <c r="B43" s="2">
        <v>9.1</v>
      </c>
      <c r="C43" s="1" t="str">
        <f t="shared" si="0"/>
        <v>0</v>
      </c>
      <c r="D43" s="1" t="str">
        <f t="shared" si="1"/>
        <v>0</v>
      </c>
      <c r="N43" s="19"/>
      <c r="O43" s="19"/>
      <c r="P43" s="19"/>
      <c r="Q43" s="21"/>
      <c r="R43" s="19"/>
      <c r="S43" s="19"/>
      <c r="T43" s="19"/>
      <c r="U43" s="19"/>
      <c r="V43" s="21"/>
    </row>
    <row r="44" spans="1:22" x14ac:dyDescent="0.3">
      <c r="A44" s="1">
        <v>46023.854166666664</v>
      </c>
      <c r="B44" s="2">
        <v>9.4</v>
      </c>
      <c r="C44" s="1" t="str">
        <f t="shared" si="0"/>
        <v>0</v>
      </c>
      <c r="D44" s="1" t="str">
        <f t="shared" si="1"/>
        <v>0</v>
      </c>
      <c r="N44" s="19"/>
      <c r="O44" s="19"/>
      <c r="P44" s="19"/>
      <c r="Q44" s="21"/>
      <c r="R44" s="19"/>
      <c r="S44" s="19"/>
      <c r="T44" s="19"/>
      <c r="U44" s="19"/>
      <c r="V44" s="21"/>
    </row>
    <row r="45" spans="1:22" x14ac:dyDescent="0.3">
      <c r="A45" s="1">
        <v>46023.875</v>
      </c>
      <c r="B45" s="2">
        <v>10.5</v>
      </c>
      <c r="C45" s="1" t="str">
        <f t="shared" si="0"/>
        <v>0</v>
      </c>
      <c r="D45" s="1" t="str">
        <f t="shared" si="1"/>
        <v>0</v>
      </c>
      <c r="N45" s="19"/>
      <c r="O45" s="19"/>
      <c r="P45" s="19"/>
      <c r="Q45" s="21"/>
      <c r="R45" s="19"/>
      <c r="S45" s="19"/>
      <c r="T45" s="19"/>
      <c r="U45" s="19"/>
      <c r="V45" s="21"/>
    </row>
    <row r="46" spans="1:22" x14ac:dyDescent="0.3">
      <c r="A46" s="1">
        <v>46023.895833333336</v>
      </c>
      <c r="B46" s="2">
        <v>10.6</v>
      </c>
      <c r="C46" s="1" t="str">
        <f t="shared" si="0"/>
        <v>0</v>
      </c>
      <c r="D46" s="1" t="str">
        <f t="shared" si="1"/>
        <v>0</v>
      </c>
      <c r="N46" s="19"/>
      <c r="O46" s="19"/>
      <c r="P46" s="19"/>
      <c r="Q46" s="21"/>
      <c r="R46" s="19"/>
      <c r="S46" s="19"/>
      <c r="T46" s="19"/>
      <c r="U46" s="19"/>
      <c r="V46" s="21"/>
    </row>
    <row r="47" spans="1:22" x14ac:dyDescent="0.3">
      <c r="A47" s="1">
        <v>46023.916666666664</v>
      </c>
      <c r="B47" s="2">
        <v>9.5</v>
      </c>
      <c r="C47" s="1" t="str">
        <f t="shared" si="0"/>
        <v>0</v>
      </c>
      <c r="D47" s="1" t="str">
        <f t="shared" si="1"/>
        <v>0</v>
      </c>
      <c r="N47" s="19"/>
      <c r="O47" s="19"/>
      <c r="P47" s="19"/>
      <c r="Q47" s="21"/>
      <c r="R47" s="19"/>
      <c r="S47" s="19"/>
      <c r="T47" s="19"/>
      <c r="U47" s="19"/>
      <c r="V47" s="21"/>
    </row>
    <row r="48" spans="1:22" x14ac:dyDescent="0.3">
      <c r="A48" s="1">
        <v>46023.9375</v>
      </c>
      <c r="B48" s="2">
        <v>8.6999999999999993</v>
      </c>
      <c r="C48" s="1" t="str">
        <f t="shared" si="0"/>
        <v>0</v>
      </c>
      <c r="D48" s="1" t="str">
        <f t="shared" si="1"/>
        <v>0</v>
      </c>
      <c r="N48" s="19"/>
      <c r="O48" s="19"/>
      <c r="P48" s="19"/>
      <c r="Q48" s="21"/>
      <c r="R48" s="19"/>
      <c r="S48" s="19"/>
      <c r="T48" s="19"/>
      <c r="U48" s="19"/>
      <c r="V48" s="21"/>
    </row>
    <row r="49" spans="1:22" x14ac:dyDescent="0.3">
      <c r="A49" s="1">
        <v>46023.958333333336</v>
      </c>
      <c r="B49" s="2">
        <v>7.9</v>
      </c>
      <c r="C49" s="1" t="str">
        <f t="shared" si="0"/>
        <v>0</v>
      </c>
      <c r="D49" s="1" t="str">
        <f t="shared" si="1"/>
        <v>0</v>
      </c>
      <c r="N49" s="19"/>
      <c r="O49" s="19"/>
      <c r="P49" s="19"/>
      <c r="Q49" s="21"/>
      <c r="R49" s="19"/>
      <c r="S49" s="19"/>
      <c r="T49" s="19"/>
      <c r="U49" s="19"/>
      <c r="V49" s="21"/>
    </row>
    <row r="50" spans="1:22" x14ac:dyDescent="0.3">
      <c r="A50" s="1">
        <v>46023.979166666664</v>
      </c>
      <c r="B50" s="2">
        <v>8.1</v>
      </c>
      <c r="C50" s="1" t="str">
        <f t="shared" si="0"/>
        <v>0</v>
      </c>
      <c r="D50" s="1" t="str">
        <f t="shared" si="1"/>
        <v>0</v>
      </c>
      <c r="N50" s="19"/>
      <c r="O50" s="19"/>
      <c r="P50" s="19"/>
      <c r="Q50" s="21"/>
      <c r="R50" s="19"/>
      <c r="S50" s="19"/>
      <c r="T50" s="19"/>
      <c r="U50" s="19"/>
      <c r="V50" s="21"/>
    </row>
    <row r="51" spans="1:22" x14ac:dyDescent="0.3">
      <c r="A51" s="1">
        <v>46024</v>
      </c>
      <c r="B51" s="2">
        <v>8.1</v>
      </c>
      <c r="C51" s="1" t="str">
        <f t="shared" si="0"/>
        <v>0</v>
      </c>
      <c r="D51" s="1" t="str">
        <f t="shared" si="1"/>
        <v>0</v>
      </c>
      <c r="N51" s="19"/>
      <c r="O51" s="19"/>
      <c r="P51" s="19"/>
      <c r="Q51" s="21"/>
      <c r="R51" s="19"/>
      <c r="S51" s="19"/>
      <c r="T51" s="19"/>
      <c r="U51" s="19"/>
      <c r="V51" s="21"/>
    </row>
    <row r="52" spans="1:22" x14ac:dyDescent="0.3">
      <c r="A52" s="1">
        <v>46024.020833333336</v>
      </c>
      <c r="B52" s="2">
        <v>7.6</v>
      </c>
      <c r="C52" s="1" t="str">
        <f t="shared" si="0"/>
        <v>0</v>
      </c>
      <c r="D52" s="1" t="str">
        <f t="shared" si="1"/>
        <v>0</v>
      </c>
      <c r="N52" s="19"/>
      <c r="O52" s="19"/>
      <c r="P52" s="19"/>
      <c r="Q52" s="21"/>
      <c r="R52" s="19"/>
      <c r="S52" s="19"/>
      <c r="T52" s="19"/>
      <c r="U52" s="19"/>
      <c r="V52" s="21"/>
    </row>
    <row r="53" spans="1:22" x14ac:dyDescent="0.3">
      <c r="A53" s="1">
        <v>46024.041666666664</v>
      </c>
      <c r="B53" s="2">
        <v>7.4</v>
      </c>
      <c r="C53" s="1" t="str">
        <f t="shared" si="0"/>
        <v>0</v>
      </c>
      <c r="D53" s="1" t="str">
        <f t="shared" si="1"/>
        <v>0</v>
      </c>
      <c r="N53" s="19"/>
      <c r="O53" s="19"/>
      <c r="P53" s="19"/>
      <c r="Q53" s="21"/>
      <c r="R53" s="19"/>
      <c r="S53" s="19"/>
      <c r="T53" s="19"/>
      <c r="U53" s="19"/>
      <c r="V53" s="21"/>
    </row>
    <row r="54" spans="1:22" x14ac:dyDescent="0.3">
      <c r="A54" s="1">
        <v>46024.0625</v>
      </c>
      <c r="B54" s="2">
        <v>6.8</v>
      </c>
      <c r="C54" s="1" t="str">
        <f t="shared" si="0"/>
        <v>0</v>
      </c>
      <c r="D54" s="1" t="str">
        <f t="shared" si="1"/>
        <v>0</v>
      </c>
      <c r="N54" s="19"/>
      <c r="O54" s="19"/>
      <c r="P54" s="19"/>
      <c r="Q54" s="21"/>
      <c r="R54" s="19"/>
      <c r="S54" s="19"/>
      <c r="T54" s="19"/>
      <c r="U54" s="19"/>
      <c r="V54" s="21"/>
    </row>
    <row r="55" spans="1:22" x14ac:dyDescent="0.3">
      <c r="A55" s="1">
        <v>46024.083333333336</v>
      </c>
      <c r="B55" s="2">
        <v>6.6</v>
      </c>
      <c r="C55" s="1" t="str">
        <f t="shared" si="0"/>
        <v>0</v>
      </c>
      <c r="D55" s="1" t="str">
        <f t="shared" si="1"/>
        <v>0</v>
      </c>
      <c r="N55" s="19"/>
      <c r="O55" s="19"/>
      <c r="P55" s="19"/>
      <c r="Q55" s="21"/>
      <c r="R55" s="19"/>
      <c r="S55" s="19"/>
      <c r="T55" s="19"/>
      <c r="U55" s="19"/>
      <c r="V55" s="21"/>
    </row>
    <row r="56" spans="1:22" x14ac:dyDescent="0.3">
      <c r="A56" s="1">
        <v>46024.104166666664</v>
      </c>
      <c r="B56" s="2">
        <v>6.7</v>
      </c>
      <c r="C56" s="1" t="str">
        <f t="shared" si="0"/>
        <v>0</v>
      </c>
      <c r="D56" s="1" t="str">
        <f t="shared" si="1"/>
        <v>0</v>
      </c>
      <c r="N56" s="19"/>
      <c r="O56" s="19"/>
      <c r="P56" s="19"/>
      <c r="Q56" s="21"/>
      <c r="R56" s="19"/>
      <c r="S56" s="19"/>
      <c r="T56" s="19"/>
      <c r="U56" s="19"/>
      <c r="V56" s="21"/>
    </row>
    <row r="57" spans="1:22" x14ac:dyDescent="0.3">
      <c r="A57" s="1">
        <v>46024.125</v>
      </c>
      <c r="B57" s="2">
        <v>6.7</v>
      </c>
      <c r="C57" s="1" t="str">
        <f t="shared" si="0"/>
        <v>0</v>
      </c>
      <c r="D57" s="1" t="str">
        <f t="shared" si="1"/>
        <v>0</v>
      </c>
      <c r="N57" s="19"/>
      <c r="O57" s="19"/>
      <c r="P57" s="19"/>
      <c r="Q57" s="21"/>
      <c r="R57" s="19"/>
      <c r="S57" s="19"/>
      <c r="T57" s="19"/>
      <c r="U57" s="19"/>
      <c r="V57" s="21"/>
    </row>
    <row r="58" spans="1:22" x14ac:dyDescent="0.3">
      <c r="A58" s="1">
        <v>46024.145833333336</v>
      </c>
      <c r="B58" s="2">
        <v>7</v>
      </c>
      <c r="C58" s="1" t="str">
        <f t="shared" si="0"/>
        <v>0</v>
      </c>
      <c r="D58" s="1" t="str">
        <f t="shared" si="1"/>
        <v>0</v>
      </c>
      <c r="N58" s="19"/>
      <c r="O58" s="19"/>
      <c r="P58" s="19"/>
      <c r="Q58" s="21"/>
      <c r="R58" s="19"/>
      <c r="S58" s="19"/>
      <c r="T58" s="19"/>
      <c r="U58" s="19"/>
      <c r="V58" s="21"/>
    </row>
    <row r="59" spans="1:22" x14ac:dyDescent="0.3">
      <c r="A59" s="1">
        <v>46024.166666666664</v>
      </c>
      <c r="B59" s="2">
        <v>7.2</v>
      </c>
      <c r="C59" s="1" t="str">
        <f t="shared" si="0"/>
        <v>0</v>
      </c>
      <c r="D59" s="1" t="str">
        <f t="shared" si="1"/>
        <v>0</v>
      </c>
      <c r="N59" s="19"/>
      <c r="O59" s="19"/>
      <c r="P59" s="19"/>
      <c r="Q59" s="21"/>
      <c r="R59" s="19"/>
      <c r="S59" s="19"/>
      <c r="T59" s="19"/>
      <c r="U59" s="19"/>
      <c r="V59" s="21"/>
    </row>
    <row r="60" spans="1:22" x14ac:dyDescent="0.3">
      <c r="A60" s="1">
        <v>46024.1875</v>
      </c>
      <c r="B60" s="2">
        <v>7.2</v>
      </c>
      <c r="C60" s="1" t="str">
        <f t="shared" si="0"/>
        <v>0</v>
      </c>
      <c r="D60" s="1" t="str">
        <f t="shared" si="1"/>
        <v>0</v>
      </c>
      <c r="N60" s="19"/>
      <c r="O60" s="19"/>
      <c r="P60" s="19"/>
      <c r="Q60" s="21"/>
      <c r="R60" s="19"/>
      <c r="S60" s="19"/>
      <c r="T60" s="19"/>
      <c r="U60" s="19"/>
      <c r="V60" s="21"/>
    </row>
    <row r="61" spans="1:22" x14ac:dyDescent="0.3">
      <c r="A61" s="1">
        <v>46024.208333333336</v>
      </c>
      <c r="B61" s="2">
        <v>7.3</v>
      </c>
      <c r="C61" s="1" t="str">
        <f t="shared" si="0"/>
        <v>0</v>
      </c>
      <c r="D61" s="1" t="str">
        <f t="shared" si="1"/>
        <v>0</v>
      </c>
      <c r="N61" s="19"/>
      <c r="O61" s="19"/>
      <c r="P61" s="19"/>
      <c r="Q61" s="21"/>
      <c r="R61" s="19"/>
      <c r="S61" s="19"/>
      <c r="T61" s="19"/>
      <c r="U61" s="19"/>
      <c r="V61" s="21"/>
    </row>
    <row r="62" spans="1:22" x14ac:dyDescent="0.3">
      <c r="A62" s="1">
        <v>46024.229166666664</v>
      </c>
      <c r="B62" s="2">
        <v>7.6</v>
      </c>
      <c r="C62" s="1" t="str">
        <f t="shared" si="0"/>
        <v>0</v>
      </c>
      <c r="D62" s="1" t="str">
        <f t="shared" si="1"/>
        <v>0</v>
      </c>
      <c r="N62" s="19"/>
      <c r="O62" s="19"/>
      <c r="P62" s="19"/>
      <c r="Q62" s="21"/>
      <c r="R62" s="19"/>
      <c r="S62" s="19"/>
      <c r="T62" s="19"/>
      <c r="U62" s="19"/>
      <c r="V62" s="21"/>
    </row>
    <row r="63" spans="1:22" x14ac:dyDescent="0.3">
      <c r="A63" s="1">
        <v>46024.25</v>
      </c>
      <c r="B63" s="2">
        <v>7.8</v>
      </c>
      <c r="C63" s="1" t="str">
        <f t="shared" si="0"/>
        <v>0</v>
      </c>
      <c r="D63" s="1" t="str">
        <f t="shared" si="1"/>
        <v>0</v>
      </c>
      <c r="N63" s="19"/>
      <c r="O63" s="19"/>
      <c r="P63" s="19"/>
      <c r="Q63" s="21"/>
      <c r="R63" s="19"/>
      <c r="S63" s="19"/>
      <c r="T63" s="19"/>
      <c r="U63" s="19"/>
      <c r="V63" s="21"/>
    </row>
    <row r="64" spans="1:22" x14ac:dyDescent="0.3">
      <c r="A64" s="1">
        <v>46024.270833333336</v>
      </c>
      <c r="B64" s="2">
        <v>8.3000000000000007</v>
      </c>
      <c r="C64" s="1" t="str">
        <f t="shared" si="0"/>
        <v>0</v>
      </c>
      <c r="D64" s="1" t="str">
        <f t="shared" si="1"/>
        <v>0</v>
      </c>
      <c r="N64" s="19"/>
      <c r="O64" s="19"/>
      <c r="P64" s="19"/>
      <c r="Q64" s="21"/>
      <c r="R64" s="19"/>
      <c r="S64" s="19"/>
      <c r="T64" s="19"/>
      <c r="U64" s="19"/>
      <c r="V64" s="21"/>
    </row>
    <row r="65" spans="1:22" x14ac:dyDescent="0.3">
      <c r="A65" s="1">
        <v>46024.291666666664</v>
      </c>
      <c r="B65" s="2">
        <v>7.9</v>
      </c>
      <c r="C65" s="1" t="str">
        <f t="shared" si="0"/>
        <v>0</v>
      </c>
      <c r="D65" s="1" t="str">
        <f t="shared" si="1"/>
        <v>0</v>
      </c>
      <c r="N65" s="19"/>
      <c r="O65" s="19"/>
      <c r="P65" s="19"/>
      <c r="Q65" s="21"/>
      <c r="R65" s="19"/>
      <c r="S65" s="19"/>
      <c r="T65" s="19"/>
      <c r="U65" s="19"/>
      <c r="V65" s="21"/>
    </row>
    <row r="66" spans="1:22" x14ac:dyDescent="0.3">
      <c r="A66" s="1">
        <v>46024.3125</v>
      </c>
      <c r="B66" s="2">
        <v>8.3000000000000007</v>
      </c>
      <c r="C66" s="1" t="str">
        <f t="shared" si="0"/>
        <v>0</v>
      </c>
      <c r="D66" s="1" t="str">
        <f t="shared" si="1"/>
        <v>0</v>
      </c>
      <c r="N66" s="19"/>
      <c r="O66" s="19"/>
      <c r="P66" s="19"/>
      <c r="Q66" s="21"/>
      <c r="R66" s="19"/>
      <c r="S66" s="19"/>
      <c r="T66" s="19"/>
      <c r="U66" s="19"/>
      <c r="V66" s="21"/>
    </row>
    <row r="67" spans="1:22" x14ac:dyDescent="0.3">
      <c r="A67" s="1">
        <v>46024.333333333336</v>
      </c>
      <c r="B67" s="2">
        <v>8.8000000000000007</v>
      </c>
      <c r="C67" s="1" t="str">
        <f t="shared" ref="C67:C130" si="4">IF(B67=$P$13,A67,"0")</f>
        <v>0</v>
      </c>
      <c r="D67" s="1" t="str">
        <f t="shared" ref="D67:D130" si="5">IF(B67=$M$13,A67,"0")</f>
        <v>0</v>
      </c>
      <c r="N67" s="19"/>
      <c r="O67" s="19"/>
      <c r="P67" s="19"/>
      <c r="Q67" s="21"/>
      <c r="R67" s="19"/>
      <c r="S67" s="19"/>
      <c r="T67" s="19"/>
      <c r="U67" s="19"/>
      <c r="V67" s="21"/>
    </row>
    <row r="68" spans="1:22" x14ac:dyDescent="0.3">
      <c r="A68" s="1">
        <v>46024.354166666664</v>
      </c>
      <c r="B68" s="2">
        <v>9.6</v>
      </c>
      <c r="C68" s="1" t="str">
        <f t="shared" si="4"/>
        <v>0</v>
      </c>
      <c r="D68" s="1" t="str">
        <f t="shared" si="5"/>
        <v>0</v>
      </c>
      <c r="N68" s="19"/>
      <c r="O68" s="19"/>
      <c r="P68" s="19"/>
      <c r="Q68" s="21"/>
      <c r="R68" s="19"/>
      <c r="S68" s="19"/>
      <c r="T68" s="19"/>
      <c r="U68" s="19"/>
      <c r="V68" s="21"/>
    </row>
    <row r="69" spans="1:22" x14ac:dyDescent="0.3">
      <c r="A69" s="1">
        <v>46024.375</v>
      </c>
      <c r="B69" s="2">
        <v>10.4</v>
      </c>
      <c r="C69" s="1" t="str">
        <f t="shared" si="4"/>
        <v>0</v>
      </c>
      <c r="D69" s="1" t="str">
        <f t="shared" si="5"/>
        <v>0</v>
      </c>
      <c r="N69" s="19"/>
      <c r="O69" s="19"/>
      <c r="P69" s="19"/>
      <c r="Q69" s="21"/>
      <c r="R69" s="19"/>
      <c r="S69" s="19"/>
      <c r="T69" s="19"/>
      <c r="U69" s="19"/>
      <c r="V69" s="21"/>
    </row>
    <row r="70" spans="1:22" x14ac:dyDescent="0.3">
      <c r="A70" s="1">
        <v>46024.395833333336</v>
      </c>
      <c r="B70" s="2">
        <v>11.9</v>
      </c>
      <c r="C70" s="1" t="str">
        <f t="shared" si="4"/>
        <v>0</v>
      </c>
      <c r="D70" s="1" t="str">
        <f t="shared" si="5"/>
        <v>0</v>
      </c>
      <c r="N70" s="19"/>
      <c r="O70" s="19"/>
      <c r="P70" s="19"/>
      <c r="Q70" s="21"/>
      <c r="R70" s="19"/>
      <c r="S70" s="19"/>
      <c r="T70" s="19"/>
      <c r="U70" s="19"/>
      <c r="V70" s="21"/>
    </row>
    <row r="71" spans="1:22" x14ac:dyDescent="0.3">
      <c r="A71" s="1">
        <v>46024.416666666664</v>
      </c>
      <c r="B71" s="2">
        <v>12.7</v>
      </c>
      <c r="C71" s="1" t="str">
        <f t="shared" si="4"/>
        <v>0</v>
      </c>
      <c r="D71" s="1" t="str">
        <f t="shared" si="5"/>
        <v>0</v>
      </c>
      <c r="N71" s="19"/>
      <c r="O71" s="19"/>
      <c r="P71" s="19"/>
      <c r="Q71" s="21"/>
      <c r="R71" s="19"/>
      <c r="S71" s="19"/>
      <c r="T71" s="19"/>
      <c r="U71" s="19"/>
      <c r="V71" s="21"/>
    </row>
    <row r="72" spans="1:22" x14ac:dyDescent="0.3">
      <c r="A72" s="1">
        <v>46024.4375</v>
      </c>
      <c r="B72" s="2">
        <v>13.5</v>
      </c>
      <c r="C72" s="1" t="str">
        <f t="shared" si="4"/>
        <v>0</v>
      </c>
      <c r="D72" s="1" t="str">
        <f t="shared" si="5"/>
        <v>0</v>
      </c>
      <c r="N72" s="19"/>
      <c r="O72" s="19"/>
      <c r="P72" s="19"/>
      <c r="Q72" s="21"/>
      <c r="R72" s="19"/>
      <c r="S72" s="19"/>
      <c r="T72" s="19"/>
      <c r="U72" s="19"/>
      <c r="V72" s="21"/>
    </row>
    <row r="73" spans="1:22" x14ac:dyDescent="0.3">
      <c r="A73" s="1">
        <v>46024.458333333336</v>
      </c>
      <c r="B73" s="2">
        <v>14.1</v>
      </c>
      <c r="C73" s="1" t="str">
        <f t="shared" si="4"/>
        <v>0</v>
      </c>
      <c r="D73" s="1" t="str">
        <f t="shared" si="5"/>
        <v>0</v>
      </c>
      <c r="N73" s="19"/>
      <c r="O73" s="19"/>
      <c r="P73" s="19"/>
      <c r="Q73" s="21"/>
      <c r="R73" s="19"/>
      <c r="S73" s="19"/>
      <c r="T73" s="19"/>
      <c r="U73" s="19"/>
      <c r="V73" s="21"/>
    </row>
    <row r="74" spans="1:22" x14ac:dyDescent="0.3">
      <c r="A74" s="1">
        <v>46024.479166666664</v>
      </c>
      <c r="B74" s="2">
        <v>13.9</v>
      </c>
      <c r="C74" s="1" t="str">
        <f t="shared" si="4"/>
        <v>0</v>
      </c>
      <c r="D74" s="1" t="str">
        <f t="shared" si="5"/>
        <v>0</v>
      </c>
      <c r="N74" s="19"/>
      <c r="O74" s="19"/>
      <c r="P74" s="19"/>
      <c r="Q74" s="21"/>
      <c r="R74" s="19"/>
      <c r="S74" s="19"/>
      <c r="T74" s="19"/>
      <c r="U74" s="19"/>
      <c r="V74" s="21"/>
    </row>
    <row r="75" spans="1:22" x14ac:dyDescent="0.3">
      <c r="A75" s="1">
        <v>46024.5</v>
      </c>
      <c r="B75" s="2">
        <v>13.7</v>
      </c>
      <c r="C75" s="1" t="str">
        <f t="shared" si="4"/>
        <v>0</v>
      </c>
      <c r="D75" s="1" t="str">
        <f t="shared" si="5"/>
        <v>0</v>
      </c>
      <c r="N75" s="19"/>
      <c r="O75" s="19"/>
      <c r="P75" s="19"/>
      <c r="Q75" s="21"/>
      <c r="R75" s="19"/>
      <c r="S75" s="19"/>
      <c r="T75" s="19"/>
      <c r="U75" s="19"/>
      <c r="V75" s="21"/>
    </row>
    <row r="76" spans="1:22" x14ac:dyDescent="0.3">
      <c r="A76" s="1">
        <v>46024.520833333336</v>
      </c>
      <c r="B76" s="2">
        <v>13.7</v>
      </c>
      <c r="C76" s="1" t="str">
        <f t="shared" si="4"/>
        <v>0</v>
      </c>
      <c r="D76" s="1" t="str">
        <f t="shared" si="5"/>
        <v>0</v>
      </c>
      <c r="N76" s="19"/>
      <c r="O76" s="19"/>
      <c r="P76" s="19"/>
      <c r="Q76" s="21"/>
      <c r="R76" s="19"/>
      <c r="S76" s="19"/>
      <c r="T76" s="19"/>
      <c r="U76" s="19"/>
      <c r="V76" s="21"/>
    </row>
    <row r="77" spans="1:22" x14ac:dyDescent="0.3">
      <c r="A77" s="1">
        <v>46024.541666666664</v>
      </c>
      <c r="B77" s="2">
        <v>13.5</v>
      </c>
      <c r="C77" s="1" t="str">
        <f t="shared" si="4"/>
        <v>0</v>
      </c>
      <c r="D77" s="1" t="str">
        <f t="shared" si="5"/>
        <v>0</v>
      </c>
      <c r="N77" s="19"/>
      <c r="O77" s="19"/>
      <c r="P77" s="19"/>
      <c r="Q77" s="21"/>
      <c r="R77" s="19"/>
      <c r="S77" s="19"/>
      <c r="T77" s="19"/>
      <c r="U77" s="19"/>
      <c r="V77" s="21"/>
    </row>
    <row r="78" spans="1:22" x14ac:dyDescent="0.3">
      <c r="A78" s="1">
        <v>46024.5625</v>
      </c>
      <c r="B78" s="2">
        <v>13.5</v>
      </c>
      <c r="C78" s="1" t="str">
        <f t="shared" si="4"/>
        <v>0</v>
      </c>
      <c r="D78" s="1" t="str">
        <f t="shared" si="5"/>
        <v>0</v>
      </c>
      <c r="N78" s="19"/>
      <c r="O78" s="19"/>
      <c r="P78" s="19"/>
      <c r="Q78" s="21"/>
      <c r="R78" s="19"/>
      <c r="S78" s="19"/>
      <c r="T78" s="19"/>
      <c r="U78" s="19"/>
      <c r="V78" s="21"/>
    </row>
    <row r="79" spans="1:22" x14ac:dyDescent="0.3">
      <c r="A79" s="1">
        <v>46024.583333333336</v>
      </c>
      <c r="B79" s="2">
        <v>13.2</v>
      </c>
      <c r="C79" s="1" t="str">
        <f t="shared" si="4"/>
        <v>0</v>
      </c>
      <c r="D79" s="1" t="str">
        <f t="shared" si="5"/>
        <v>0</v>
      </c>
      <c r="N79" s="19"/>
      <c r="O79" s="19"/>
      <c r="P79" s="19"/>
      <c r="Q79" s="21"/>
      <c r="R79" s="19"/>
      <c r="S79" s="19"/>
      <c r="T79" s="19"/>
      <c r="U79" s="19"/>
      <c r="V79" s="21"/>
    </row>
    <row r="80" spans="1:22" x14ac:dyDescent="0.3">
      <c r="A80" s="1">
        <v>46024.604166666664</v>
      </c>
      <c r="B80" s="2">
        <v>12.6</v>
      </c>
      <c r="C80" s="1" t="str">
        <f t="shared" si="4"/>
        <v>0</v>
      </c>
      <c r="D80" s="1" t="str">
        <f t="shared" si="5"/>
        <v>0</v>
      </c>
      <c r="N80" s="19"/>
      <c r="O80" s="19"/>
      <c r="P80" s="19"/>
      <c r="Q80" s="21"/>
      <c r="R80" s="19"/>
      <c r="S80" s="19"/>
      <c r="T80" s="19"/>
      <c r="U80" s="19"/>
      <c r="V80" s="21"/>
    </row>
    <row r="81" spans="1:22" x14ac:dyDescent="0.3">
      <c r="A81" s="1">
        <v>46024.625</v>
      </c>
      <c r="B81" s="2">
        <v>12.3</v>
      </c>
      <c r="C81" s="1" t="str">
        <f t="shared" si="4"/>
        <v>0</v>
      </c>
      <c r="D81" s="1" t="str">
        <f t="shared" si="5"/>
        <v>0</v>
      </c>
      <c r="N81" s="19"/>
      <c r="O81" s="19"/>
      <c r="P81" s="19"/>
      <c r="Q81" s="21"/>
      <c r="R81" s="19"/>
      <c r="S81" s="19"/>
      <c r="T81" s="19"/>
      <c r="U81" s="19"/>
      <c r="V81" s="21"/>
    </row>
    <row r="82" spans="1:22" x14ac:dyDescent="0.3">
      <c r="A82" s="1">
        <v>46024.645833333336</v>
      </c>
      <c r="B82" s="2">
        <v>11.9</v>
      </c>
      <c r="C82" s="1" t="str">
        <f t="shared" si="4"/>
        <v>0</v>
      </c>
      <c r="D82" s="1" t="str">
        <f t="shared" si="5"/>
        <v>0</v>
      </c>
      <c r="N82" s="19"/>
      <c r="O82" s="19"/>
      <c r="P82" s="19"/>
      <c r="Q82" s="21"/>
      <c r="R82" s="19"/>
      <c r="S82" s="19"/>
      <c r="T82" s="19"/>
      <c r="U82" s="19"/>
      <c r="V82" s="21"/>
    </row>
    <row r="83" spans="1:22" x14ac:dyDescent="0.3">
      <c r="A83" s="1">
        <v>46024.666666666664</v>
      </c>
      <c r="B83" s="2">
        <v>11.6</v>
      </c>
      <c r="C83" s="1" t="str">
        <f t="shared" si="4"/>
        <v>0</v>
      </c>
      <c r="D83" s="1" t="str">
        <f t="shared" si="5"/>
        <v>0</v>
      </c>
      <c r="N83" s="19"/>
      <c r="O83" s="19"/>
      <c r="P83" s="19"/>
      <c r="Q83" s="21"/>
      <c r="R83" s="19"/>
      <c r="S83" s="19"/>
      <c r="T83" s="19"/>
      <c r="U83" s="19"/>
      <c r="V83" s="21"/>
    </row>
    <row r="84" spans="1:22" x14ac:dyDescent="0.3">
      <c r="A84" s="1">
        <v>46024.6875</v>
      </c>
      <c r="B84" s="2">
        <v>11.5</v>
      </c>
      <c r="C84" s="1" t="str">
        <f t="shared" si="4"/>
        <v>0</v>
      </c>
      <c r="D84" s="1" t="str">
        <f t="shared" si="5"/>
        <v>0</v>
      </c>
      <c r="N84" s="19"/>
      <c r="O84" s="19"/>
      <c r="P84" s="19"/>
      <c r="Q84" s="21"/>
      <c r="R84" s="19"/>
      <c r="S84" s="19"/>
      <c r="T84" s="19"/>
      <c r="U84" s="19"/>
      <c r="V84" s="21"/>
    </row>
    <row r="85" spans="1:22" x14ac:dyDescent="0.3">
      <c r="A85" s="1">
        <v>46024.708333333336</v>
      </c>
      <c r="B85" s="2">
        <v>11.6</v>
      </c>
      <c r="C85" s="1" t="str">
        <f t="shared" si="4"/>
        <v>0</v>
      </c>
      <c r="D85" s="1" t="str">
        <f t="shared" si="5"/>
        <v>0</v>
      </c>
      <c r="N85" s="19"/>
      <c r="O85" s="19"/>
      <c r="P85" s="19"/>
      <c r="Q85" s="21"/>
      <c r="R85" s="19"/>
      <c r="S85" s="19"/>
      <c r="T85" s="19"/>
      <c r="U85" s="19"/>
      <c r="V85" s="21"/>
    </row>
    <row r="86" spans="1:22" x14ac:dyDescent="0.3">
      <c r="A86" s="1">
        <v>46024.729166666664</v>
      </c>
      <c r="B86" s="2">
        <v>11.6</v>
      </c>
      <c r="C86" s="1" t="str">
        <f t="shared" si="4"/>
        <v>0</v>
      </c>
      <c r="D86" s="1" t="str">
        <f t="shared" si="5"/>
        <v>0</v>
      </c>
      <c r="N86" s="19"/>
      <c r="O86" s="19"/>
      <c r="P86" s="19"/>
      <c r="Q86" s="21"/>
      <c r="R86" s="19"/>
      <c r="S86" s="19"/>
      <c r="T86" s="19"/>
      <c r="U86" s="19"/>
      <c r="V86" s="21"/>
    </row>
    <row r="87" spans="1:22" x14ac:dyDescent="0.3">
      <c r="A87" s="1">
        <v>46024.75</v>
      </c>
      <c r="B87" s="2">
        <v>11.7</v>
      </c>
      <c r="C87" s="1" t="str">
        <f t="shared" si="4"/>
        <v>0</v>
      </c>
      <c r="D87" s="1" t="str">
        <f t="shared" si="5"/>
        <v>0</v>
      </c>
      <c r="N87" s="19"/>
      <c r="O87" s="19"/>
      <c r="P87" s="19"/>
      <c r="Q87" s="21"/>
      <c r="R87" s="19"/>
      <c r="S87" s="19"/>
      <c r="T87" s="19"/>
      <c r="U87" s="19"/>
      <c r="V87" s="21"/>
    </row>
    <row r="88" spans="1:22" x14ac:dyDescent="0.3">
      <c r="A88" s="1">
        <v>46024.770833333336</v>
      </c>
      <c r="B88" s="2">
        <v>11.5</v>
      </c>
      <c r="C88" s="1" t="str">
        <f t="shared" si="4"/>
        <v>0</v>
      </c>
      <c r="D88" s="1" t="str">
        <f t="shared" si="5"/>
        <v>0</v>
      </c>
      <c r="N88" s="19"/>
      <c r="O88" s="19"/>
      <c r="P88" s="19"/>
      <c r="Q88" s="21"/>
      <c r="R88" s="19"/>
      <c r="S88" s="19"/>
      <c r="T88" s="19"/>
      <c r="U88" s="19"/>
      <c r="V88" s="21"/>
    </row>
    <row r="89" spans="1:22" x14ac:dyDescent="0.3">
      <c r="A89" s="1">
        <v>46024.791666666664</v>
      </c>
      <c r="B89" s="2">
        <v>11.4</v>
      </c>
      <c r="C89" s="1" t="str">
        <f t="shared" si="4"/>
        <v>0</v>
      </c>
      <c r="D89" s="1" t="str">
        <f t="shared" si="5"/>
        <v>0</v>
      </c>
      <c r="N89" s="19"/>
      <c r="O89" s="19"/>
      <c r="P89" s="19"/>
      <c r="Q89" s="21"/>
      <c r="R89" s="19"/>
      <c r="S89" s="19"/>
      <c r="T89" s="19"/>
      <c r="U89" s="19"/>
      <c r="V89" s="21"/>
    </row>
    <row r="90" spans="1:22" x14ac:dyDescent="0.3">
      <c r="A90" s="1">
        <v>46024.8125</v>
      </c>
      <c r="B90" s="2">
        <v>11.1</v>
      </c>
      <c r="C90" s="1" t="str">
        <f t="shared" si="4"/>
        <v>0</v>
      </c>
      <c r="D90" s="1" t="str">
        <f t="shared" si="5"/>
        <v>0</v>
      </c>
      <c r="N90" s="19"/>
      <c r="O90" s="19"/>
      <c r="P90" s="19"/>
      <c r="Q90" s="21"/>
      <c r="R90" s="19"/>
      <c r="S90" s="19"/>
      <c r="T90" s="19"/>
      <c r="U90" s="19"/>
      <c r="V90" s="21"/>
    </row>
    <row r="91" spans="1:22" x14ac:dyDescent="0.3">
      <c r="A91" s="1">
        <v>46024.833333333336</v>
      </c>
      <c r="B91" s="2">
        <v>11.2</v>
      </c>
      <c r="C91" s="1" t="str">
        <f t="shared" si="4"/>
        <v>0</v>
      </c>
      <c r="D91" s="1" t="str">
        <f t="shared" si="5"/>
        <v>0</v>
      </c>
      <c r="N91" s="19"/>
      <c r="O91" s="19"/>
      <c r="P91" s="19"/>
      <c r="Q91" s="21"/>
      <c r="R91" s="19"/>
      <c r="S91" s="19"/>
      <c r="T91" s="19"/>
      <c r="U91" s="19"/>
      <c r="V91" s="21"/>
    </row>
    <row r="92" spans="1:22" x14ac:dyDescent="0.3">
      <c r="A92" s="1">
        <v>46024.854166666664</v>
      </c>
      <c r="B92" s="2">
        <v>11.1</v>
      </c>
      <c r="C92" s="1" t="str">
        <f t="shared" si="4"/>
        <v>0</v>
      </c>
      <c r="D92" s="1" t="str">
        <f t="shared" si="5"/>
        <v>0</v>
      </c>
      <c r="N92" s="19"/>
      <c r="O92" s="19"/>
      <c r="P92" s="19"/>
      <c r="Q92" s="21"/>
      <c r="R92" s="19"/>
      <c r="S92" s="19"/>
      <c r="T92" s="19"/>
      <c r="U92" s="19"/>
      <c r="V92" s="21"/>
    </row>
    <row r="93" spans="1:22" x14ac:dyDescent="0.3">
      <c r="A93" s="1">
        <v>46024.875</v>
      </c>
      <c r="B93" s="2">
        <v>11.1</v>
      </c>
      <c r="C93" s="1" t="str">
        <f t="shared" si="4"/>
        <v>0</v>
      </c>
      <c r="D93" s="1" t="str">
        <f t="shared" si="5"/>
        <v>0</v>
      </c>
      <c r="N93" s="19"/>
      <c r="O93" s="19"/>
      <c r="P93" s="19"/>
      <c r="Q93" s="21"/>
      <c r="R93" s="19"/>
      <c r="S93" s="19"/>
      <c r="T93" s="19"/>
      <c r="U93" s="19"/>
      <c r="V93" s="21"/>
    </row>
    <row r="94" spans="1:22" x14ac:dyDescent="0.3">
      <c r="A94" s="1">
        <v>46024.895833333336</v>
      </c>
      <c r="B94" s="2">
        <v>11.5</v>
      </c>
      <c r="C94" s="1" t="str">
        <f t="shared" si="4"/>
        <v>0</v>
      </c>
      <c r="D94" s="1" t="str">
        <f t="shared" si="5"/>
        <v>0</v>
      </c>
      <c r="N94" s="19"/>
      <c r="O94" s="19"/>
      <c r="P94" s="19"/>
      <c r="Q94" s="21"/>
      <c r="R94" s="19"/>
      <c r="S94" s="19"/>
      <c r="T94" s="19"/>
      <c r="U94" s="19"/>
      <c r="V94" s="21"/>
    </row>
    <row r="95" spans="1:22" x14ac:dyDescent="0.3">
      <c r="A95" s="1">
        <v>46024.916666666664</v>
      </c>
      <c r="B95" s="2">
        <v>11.5</v>
      </c>
      <c r="C95" s="1" t="str">
        <f t="shared" si="4"/>
        <v>0</v>
      </c>
      <c r="D95" s="1" t="str">
        <f t="shared" si="5"/>
        <v>0</v>
      </c>
      <c r="N95" s="19"/>
      <c r="O95" s="19"/>
      <c r="P95" s="19"/>
      <c r="Q95" s="21"/>
      <c r="R95" s="19"/>
      <c r="S95" s="19"/>
      <c r="T95" s="19"/>
      <c r="U95" s="19"/>
      <c r="V95" s="21"/>
    </row>
    <row r="96" spans="1:22" x14ac:dyDescent="0.3">
      <c r="A96" s="1">
        <v>46024.9375</v>
      </c>
      <c r="B96" s="2">
        <v>11</v>
      </c>
      <c r="C96" s="1" t="str">
        <f t="shared" si="4"/>
        <v>0</v>
      </c>
      <c r="D96" s="1" t="str">
        <f t="shared" si="5"/>
        <v>0</v>
      </c>
      <c r="N96" s="19"/>
      <c r="O96" s="19"/>
      <c r="P96" s="19"/>
      <c r="Q96" s="21"/>
      <c r="R96" s="19"/>
      <c r="S96" s="19"/>
      <c r="T96" s="19"/>
      <c r="U96" s="19"/>
      <c r="V96" s="21"/>
    </row>
    <row r="97" spans="1:22" x14ac:dyDescent="0.3">
      <c r="A97" s="1">
        <v>46024.958333333336</v>
      </c>
      <c r="B97" s="2">
        <v>11</v>
      </c>
      <c r="C97" s="1" t="str">
        <f t="shared" si="4"/>
        <v>0</v>
      </c>
      <c r="D97" s="1" t="str">
        <f t="shared" si="5"/>
        <v>0</v>
      </c>
      <c r="N97" s="19"/>
      <c r="O97" s="19"/>
      <c r="P97" s="19"/>
      <c r="Q97" s="21"/>
      <c r="R97" s="19"/>
      <c r="S97" s="19"/>
      <c r="T97" s="19"/>
      <c r="U97" s="19"/>
      <c r="V97" s="21"/>
    </row>
    <row r="98" spans="1:22" x14ac:dyDescent="0.3">
      <c r="A98" s="1">
        <v>46024.979166666664</v>
      </c>
      <c r="B98" s="2">
        <v>11.2</v>
      </c>
      <c r="C98" s="1" t="str">
        <f t="shared" si="4"/>
        <v>0</v>
      </c>
      <c r="D98" s="1" t="str">
        <f t="shared" si="5"/>
        <v>0</v>
      </c>
      <c r="N98" s="19"/>
      <c r="O98" s="19"/>
      <c r="P98" s="19"/>
      <c r="Q98" s="21"/>
      <c r="R98" s="19"/>
      <c r="S98" s="19"/>
      <c r="T98" s="19"/>
      <c r="U98" s="19"/>
      <c r="V98" s="21"/>
    </row>
    <row r="99" spans="1:22" x14ac:dyDescent="0.3">
      <c r="A99" s="1">
        <v>46025</v>
      </c>
      <c r="B99" s="2">
        <v>11.2</v>
      </c>
      <c r="C99" s="1" t="str">
        <f t="shared" si="4"/>
        <v>0</v>
      </c>
      <c r="D99" s="1" t="str">
        <f t="shared" si="5"/>
        <v>0</v>
      </c>
      <c r="N99" s="19"/>
      <c r="O99" s="19"/>
      <c r="P99" s="19"/>
      <c r="Q99" s="21"/>
      <c r="R99" s="19"/>
      <c r="S99" s="19"/>
      <c r="T99" s="19"/>
      <c r="U99" s="19"/>
      <c r="V99" s="21"/>
    </row>
    <row r="100" spans="1:22" x14ac:dyDescent="0.3">
      <c r="A100" s="1">
        <v>46025.020833333336</v>
      </c>
      <c r="B100" s="2">
        <v>11.4</v>
      </c>
      <c r="C100" s="1" t="str">
        <f t="shared" si="4"/>
        <v>0</v>
      </c>
      <c r="D100" s="1" t="str">
        <f t="shared" si="5"/>
        <v>0</v>
      </c>
      <c r="N100" s="19"/>
      <c r="O100" s="19"/>
      <c r="P100" s="19"/>
      <c r="Q100" s="21"/>
      <c r="R100" s="19"/>
      <c r="S100" s="19"/>
      <c r="T100" s="19"/>
      <c r="U100" s="19"/>
      <c r="V100" s="21"/>
    </row>
    <row r="101" spans="1:22" x14ac:dyDescent="0.3">
      <c r="A101" s="1">
        <v>46025.041666666664</v>
      </c>
      <c r="B101" s="2">
        <v>11.5</v>
      </c>
      <c r="C101" s="1" t="str">
        <f t="shared" si="4"/>
        <v>0</v>
      </c>
      <c r="D101" s="1" t="str">
        <f t="shared" si="5"/>
        <v>0</v>
      </c>
      <c r="N101" s="19"/>
      <c r="O101" s="19"/>
      <c r="P101" s="19"/>
      <c r="Q101" s="21"/>
      <c r="R101" s="19"/>
      <c r="S101" s="19"/>
      <c r="T101" s="19"/>
      <c r="U101" s="19"/>
      <c r="V101" s="21"/>
    </row>
    <row r="102" spans="1:22" x14ac:dyDescent="0.3">
      <c r="A102" s="1">
        <v>46025.0625</v>
      </c>
      <c r="B102" s="2">
        <v>11.7</v>
      </c>
      <c r="C102" s="1" t="str">
        <f t="shared" si="4"/>
        <v>0</v>
      </c>
      <c r="D102" s="1" t="str">
        <f t="shared" si="5"/>
        <v>0</v>
      </c>
      <c r="N102" s="19"/>
      <c r="O102" s="19"/>
      <c r="P102" s="19"/>
      <c r="Q102" s="21"/>
      <c r="R102" s="19"/>
      <c r="S102" s="19"/>
      <c r="T102" s="19"/>
      <c r="U102" s="19"/>
      <c r="V102" s="21"/>
    </row>
    <row r="103" spans="1:22" x14ac:dyDescent="0.3">
      <c r="A103" s="1">
        <v>46025.083333333336</v>
      </c>
      <c r="B103" s="2">
        <v>11.9</v>
      </c>
      <c r="C103" s="1" t="str">
        <f t="shared" si="4"/>
        <v>0</v>
      </c>
      <c r="D103" s="1" t="str">
        <f t="shared" si="5"/>
        <v>0</v>
      </c>
      <c r="N103" s="19"/>
      <c r="O103" s="19"/>
      <c r="P103" s="19"/>
      <c r="Q103" s="21"/>
      <c r="R103" s="19"/>
      <c r="S103" s="19"/>
      <c r="T103" s="19"/>
      <c r="U103" s="19"/>
      <c r="V103" s="21"/>
    </row>
    <row r="104" spans="1:22" x14ac:dyDescent="0.3">
      <c r="A104" s="1">
        <v>46025.104166666664</v>
      </c>
      <c r="B104" s="2">
        <v>11.9</v>
      </c>
      <c r="C104" s="1" t="str">
        <f t="shared" si="4"/>
        <v>0</v>
      </c>
      <c r="D104" s="1" t="str">
        <f t="shared" si="5"/>
        <v>0</v>
      </c>
      <c r="N104" s="19"/>
      <c r="O104" s="19"/>
      <c r="P104" s="19"/>
      <c r="Q104" s="21"/>
      <c r="R104" s="19"/>
      <c r="S104" s="19"/>
      <c r="T104" s="19"/>
      <c r="U104" s="19"/>
      <c r="V104" s="21"/>
    </row>
    <row r="105" spans="1:22" x14ac:dyDescent="0.3">
      <c r="A105" s="1">
        <v>46025.125</v>
      </c>
      <c r="B105" s="2">
        <v>12.1</v>
      </c>
      <c r="C105" s="1" t="str">
        <f t="shared" si="4"/>
        <v>0</v>
      </c>
      <c r="D105" s="1" t="str">
        <f t="shared" si="5"/>
        <v>0</v>
      </c>
      <c r="N105" s="19"/>
      <c r="O105" s="19"/>
      <c r="P105" s="19"/>
      <c r="Q105" s="21"/>
      <c r="R105" s="19"/>
      <c r="S105" s="19"/>
      <c r="T105" s="19"/>
      <c r="U105" s="19"/>
      <c r="V105" s="21"/>
    </row>
    <row r="106" spans="1:22" x14ac:dyDescent="0.3">
      <c r="A106" s="1">
        <v>46025.145833333336</v>
      </c>
      <c r="B106" s="2">
        <v>12.2</v>
      </c>
      <c r="C106" s="1" t="str">
        <f t="shared" si="4"/>
        <v>0</v>
      </c>
      <c r="D106" s="1" t="str">
        <f t="shared" si="5"/>
        <v>0</v>
      </c>
      <c r="N106" s="19"/>
      <c r="O106" s="19"/>
      <c r="P106" s="19"/>
      <c r="Q106" s="21"/>
      <c r="R106" s="19"/>
      <c r="S106" s="19"/>
      <c r="T106" s="19"/>
      <c r="U106" s="19"/>
      <c r="V106" s="21"/>
    </row>
    <row r="107" spans="1:22" x14ac:dyDescent="0.3">
      <c r="A107" s="1">
        <v>46025.166666666664</v>
      </c>
      <c r="B107" s="2">
        <v>12.2</v>
      </c>
      <c r="C107" s="1" t="str">
        <f t="shared" si="4"/>
        <v>0</v>
      </c>
      <c r="D107" s="1" t="str">
        <f t="shared" si="5"/>
        <v>0</v>
      </c>
      <c r="N107" s="19"/>
      <c r="O107" s="19"/>
      <c r="P107" s="19"/>
      <c r="Q107" s="21"/>
      <c r="R107" s="19"/>
      <c r="S107" s="19"/>
      <c r="T107" s="19"/>
      <c r="U107" s="19"/>
      <c r="V107" s="21"/>
    </row>
    <row r="108" spans="1:22" x14ac:dyDescent="0.3">
      <c r="A108" s="1">
        <v>46025.1875</v>
      </c>
      <c r="B108" s="2">
        <v>12.1</v>
      </c>
      <c r="C108" s="1" t="str">
        <f t="shared" si="4"/>
        <v>0</v>
      </c>
      <c r="D108" s="1" t="str">
        <f t="shared" si="5"/>
        <v>0</v>
      </c>
      <c r="N108" s="19"/>
      <c r="O108" s="19"/>
      <c r="P108" s="19"/>
      <c r="Q108" s="21"/>
      <c r="R108" s="19"/>
      <c r="S108" s="19"/>
      <c r="T108" s="19"/>
      <c r="U108" s="19"/>
      <c r="V108" s="21"/>
    </row>
    <row r="109" spans="1:22" x14ac:dyDescent="0.3">
      <c r="A109" s="1">
        <v>46025.208333333336</v>
      </c>
      <c r="B109" s="2">
        <v>12.3</v>
      </c>
      <c r="C109" s="1" t="str">
        <f t="shared" si="4"/>
        <v>0</v>
      </c>
      <c r="D109" s="1" t="str">
        <f t="shared" si="5"/>
        <v>0</v>
      </c>
      <c r="N109" s="19"/>
      <c r="O109" s="19"/>
      <c r="P109" s="19"/>
      <c r="Q109" s="21"/>
      <c r="R109" s="19"/>
      <c r="S109" s="19"/>
      <c r="T109" s="19"/>
      <c r="U109" s="19"/>
      <c r="V109" s="21"/>
    </row>
    <row r="110" spans="1:22" x14ac:dyDescent="0.3">
      <c r="A110" s="1">
        <v>46025.229166666664</v>
      </c>
      <c r="B110" s="2">
        <v>12.4</v>
      </c>
      <c r="C110" s="1" t="str">
        <f t="shared" si="4"/>
        <v>0</v>
      </c>
      <c r="D110" s="1" t="str">
        <f t="shared" si="5"/>
        <v>0</v>
      </c>
      <c r="N110" s="19"/>
      <c r="O110" s="19"/>
      <c r="P110" s="19"/>
      <c r="Q110" s="21"/>
      <c r="R110" s="19"/>
      <c r="S110" s="19"/>
      <c r="T110" s="19"/>
      <c r="U110" s="19"/>
      <c r="V110" s="21"/>
    </row>
    <row r="111" spans="1:22" x14ac:dyDescent="0.3">
      <c r="A111" s="1">
        <v>46025.25</v>
      </c>
      <c r="B111" s="2">
        <v>12.3</v>
      </c>
      <c r="C111" s="1" t="str">
        <f t="shared" si="4"/>
        <v>0</v>
      </c>
      <c r="D111" s="1" t="str">
        <f t="shared" si="5"/>
        <v>0</v>
      </c>
      <c r="N111" s="19"/>
      <c r="O111" s="19"/>
      <c r="P111" s="19"/>
      <c r="Q111" s="21"/>
      <c r="R111" s="19"/>
      <c r="S111" s="19"/>
      <c r="T111" s="19"/>
      <c r="U111" s="19"/>
      <c r="V111" s="21"/>
    </row>
    <row r="112" spans="1:22" x14ac:dyDescent="0.3">
      <c r="A112" s="1">
        <v>46025.270833333336</v>
      </c>
      <c r="B112" s="2">
        <v>12.6</v>
      </c>
      <c r="C112" s="1" t="str">
        <f t="shared" si="4"/>
        <v>0</v>
      </c>
      <c r="D112" s="1" t="str">
        <f t="shared" si="5"/>
        <v>0</v>
      </c>
      <c r="N112" s="19"/>
      <c r="O112" s="19"/>
      <c r="P112" s="19"/>
      <c r="Q112" s="21"/>
      <c r="R112" s="19"/>
      <c r="S112" s="19"/>
      <c r="T112" s="19"/>
      <c r="U112" s="19"/>
      <c r="V112" s="21"/>
    </row>
    <row r="113" spans="1:22" x14ac:dyDescent="0.3">
      <c r="A113" s="1">
        <v>46025.291666666664</v>
      </c>
      <c r="B113" s="2">
        <v>12.6</v>
      </c>
      <c r="C113" s="1" t="str">
        <f t="shared" si="4"/>
        <v>0</v>
      </c>
      <c r="D113" s="1" t="str">
        <f t="shared" si="5"/>
        <v>0</v>
      </c>
      <c r="N113" s="19"/>
      <c r="O113" s="19"/>
      <c r="P113" s="19"/>
      <c r="Q113" s="21"/>
      <c r="R113" s="19"/>
      <c r="S113" s="19"/>
      <c r="T113" s="19"/>
      <c r="U113" s="19"/>
      <c r="V113" s="21"/>
    </row>
    <row r="114" spans="1:22" x14ac:dyDescent="0.3">
      <c r="A114" s="1">
        <v>46025.3125</v>
      </c>
      <c r="B114" s="2">
        <v>12.6</v>
      </c>
      <c r="C114" s="1" t="str">
        <f t="shared" si="4"/>
        <v>0</v>
      </c>
      <c r="D114" s="1" t="str">
        <f t="shared" si="5"/>
        <v>0</v>
      </c>
      <c r="N114" s="19"/>
      <c r="O114" s="19"/>
      <c r="P114" s="19"/>
      <c r="Q114" s="21"/>
      <c r="R114" s="19"/>
      <c r="S114" s="19"/>
      <c r="T114" s="19"/>
      <c r="U114" s="19"/>
      <c r="V114" s="21"/>
    </row>
    <row r="115" spans="1:22" x14ac:dyDescent="0.3">
      <c r="A115" s="1">
        <v>46025.333333333336</v>
      </c>
      <c r="B115" s="2">
        <v>12.7</v>
      </c>
      <c r="C115" s="1" t="str">
        <f t="shared" si="4"/>
        <v>0</v>
      </c>
      <c r="D115" s="1" t="str">
        <f t="shared" si="5"/>
        <v>0</v>
      </c>
      <c r="N115" s="19"/>
      <c r="O115" s="19"/>
      <c r="P115" s="19"/>
      <c r="Q115" s="21"/>
      <c r="R115" s="19"/>
      <c r="S115" s="19"/>
      <c r="T115" s="19"/>
      <c r="U115" s="19"/>
      <c r="V115" s="21"/>
    </row>
    <row r="116" spans="1:22" x14ac:dyDescent="0.3">
      <c r="A116" s="1">
        <v>46025.354166666664</v>
      </c>
      <c r="B116" s="2">
        <v>13</v>
      </c>
      <c r="C116" s="1" t="str">
        <f t="shared" si="4"/>
        <v>0</v>
      </c>
      <c r="D116" s="1" t="str">
        <f t="shared" si="5"/>
        <v>0</v>
      </c>
      <c r="N116" s="19"/>
      <c r="O116" s="19"/>
      <c r="P116" s="19"/>
      <c r="Q116" s="21"/>
      <c r="R116" s="19"/>
      <c r="S116" s="19"/>
      <c r="T116" s="19"/>
      <c r="U116" s="19"/>
      <c r="V116" s="21"/>
    </row>
    <row r="117" spans="1:22" x14ac:dyDescent="0.3">
      <c r="A117" s="1">
        <v>46025.375</v>
      </c>
      <c r="B117" s="2">
        <v>13.1</v>
      </c>
      <c r="C117" s="1" t="str">
        <f t="shared" si="4"/>
        <v>0</v>
      </c>
      <c r="D117" s="1" t="str">
        <f t="shared" si="5"/>
        <v>0</v>
      </c>
      <c r="N117" s="19"/>
      <c r="O117" s="19"/>
      <c r="P117" s="19"/>
      <c r="Q117" s="21"/>
      <c r="R117" s="19"/>
      <c r="S117" s="19"/>
      <c r="T117" s="19"/>
      <c r="U117" s="19"/>
      <c r="V117" s="21"/>
    </row>
    <row r="118" spans="1:22" x14ac:dyDescent="0.3">
      <c r="A118" s="1">
        <v>46025.395833333336</v>
      </c>
      <c r="B118" s="2">
        <v>13.3</v>
      </c>
      <c r="C118" s="1" t="str">
        <f t="shared" si="4"/>
        <v>0</v>
      </c>
      <c r="D118" s="1" t="str">
        <f t="shared" si="5"/>
        <v>0</v>
      </c>
      <c r="N118" s="19"/>
      <c r="O118" s="19"/>
      <c r="P118" s="19"/>
      <c r="Q118" s="21"/>
      <c r="R118" s="19"/>
      <c r="S118" s="19"/>
      <c r="T118" s="19"/>
      <c r="U118" s="19"/>
      <c r="V118" s="21"/>
    </row>
    <row r="119" spans="1:22" x14ac:dyDescent="0.3">
      <c r="A119" s="1">
        <v>46025.416666666664</v>
      </c>
      <c r="B119" s="2">
        <v>13.5</v>
      </c>
      <c r="C119" s="1" t="str">
        <f t="shared" si="4"/>
        <v>0</v>
      </c>
      <c r="D119" s="1" t="str">
        <f t="shared" si="5"/>
        <v>0</v>
      </c>
      <c r="N119" s="19"/>
      <c r="O119" s="19"/>
      <c r="P119" s="19"/>
      <c r="Q119" s="21"/>
      <c r="R119" s="19"/>
      <c r="S119" s="19"/>
      <c r="T119" s="19"/>
      <c r="U119" s="19"/>
      <c r="V119" s="21"/>
    </row>
    <row r="120" spans="1:22" x14ac:dyDescent="0.3">
      <c r="A120" s="1">
        <v>46025.4375</v>
      </c>
      <c r="B120" s="2">
        <v>13.7</v>
      </c>
      <c r="C120" s="1" t="str">
        <f t="shared" si="4"/>
        <v>0</v>
      </c>
      <c r="D120" s="1" t="str">
        <f t="shared" si="5"/>
        <v>0</v>
      </c>
      <c r="N120" s="19"/>
      <c r="O120" s="19"/>
      <c r="P120" s="19"/>
      <c r="Q120" s="21"/>
      <c r="R120" s="19"/>
      <c r="S120" s="19"/>
      <c r="T120" s="19"/>
      <c r="U120" s="19"/>
      <c r="V120" s="21"/>
    </row>
    <row r="121" spans="1:22" x14ac:dyDescent="0.3">
      <c r="A121" s="1">
        <v>46025.458333333336</v>
      </c>
      <c r="B121" s="2">
        <v>14</v>
      </c>
      <c r="C121" s="1" t="str">
        <f t="shared" si="4"/>
        <v>0</v>
      </c>
      <c r="D121" s="1" t="str">
        <f t="shared" si="5"/>
        <v>0</v>
      </c>
      <c r="N121" s="19"/>
      <c r="O121" s="19"/>
      <c r="P121" s="19"/>
      <c r="Q121" s="21"/>
      <c r="R121" s="19"/>
      <c r="S121" s="19"/>
      <c r="T121" s="19"/>
      <c r="U121" s="19"/>
      <c r="V121" s="21"/>
    </row>
    <row r="122" spans="1:22" x14ac:dyDescent="0.3">
      <c r="A122" s="1">
        <v>46025.479166666664</v>
      </c>
      <c r="B122" s="2">
        <v>14.5</v>
      </c>
      <c r="C122" s="1" t="str">
        <f t="shared" si="4"/>
        <v>0</v>
      </c>
      <c r="D122" s="1" t="str">
        <f t="shared" si="5"/>
        <v>0</v>
      </c>
      <c r="N122" s="19"/>
      <c r="O122" s="19"/>
      <c r="P122" s="19"/>
      <c r="Q122" s="21"/>
      <c r="R122" s="19"/>
      <c r="S122" s="19"/>
      <c r="T122" s="19"/>
      <c r="U122" s="19"/>
      <c r="V122" s="21"/>
    </row>
    <row r="123" spans="1:22" x14ac:dyDescent="0.3">
      <c r="A123" s="1">
        <v>46025.5</v>
      </c>
      <c r="B123" s="2">
        <v>14.9</v>
      </c>
      <c r="C123" s="1" t="str">
        <f t="shared" si="4"/>
        <v>0</v>
      </c>
      <c r="D123" s="1" t="str">
        <f t="shared" si="5"/>
        <v>0</v>
      </c>
      <c r="N123" s="19"/>
      <c r="O123" s="19"/>
      <c r="P123" s="19"/>
      <c r="Q123" s="21"/>
      <c r="R123" s="19"/>
      <c r="S123" s="19"/>
      <c r="T123" s="19"/>
      <c r="U123" s="19"/>
      <c r="V123" s="21"/>
    </row>
    <row r="124" spans="1:22" x14ac:dyDescent="0.3">
      <c r="A124" s="1">
        <v>46025.520833333336</v>
      </c>
      <c r="B124" s="2">
        <v>15.4</v>
      </c>
      <c r="C124" s="1" t="str">
        <f t="shared" si="4"/>
        <v>0</v>
      </c>
      <c r="D124" s="1" t="str">
        <f t="shared" si="5"/>
        <v>0</v>
      </c>
      <c r="N124" s="19"/>
      <c r="O124" s="19"/>
      <c r="P124" s="19"/>
      <c r="Q124" s="21"/>
      <c r="R124" s="19"/>
      <c r="S124" s="19"/>
      <c r="T124" s="19"/>
      <c r="U124" s="19"/>
      <c r="V124" s="21"/>
    </row>
    <row r="125" spans="1:22" x14ac:dyDescent="0.3">
      <c r="A125" s="1">
        <v>46025.541666666664</v>
      </c>
      <c r="B125" s="2">
        <v>15.2</v>
      </c>
      <c r="C125" s="1" t="str">
        <f t="shared" si="4"/>
        <v>0</v>
      </c>
      <c r="D125" s="1" t="str">
        <f t="shared" si="5"/>
        <v>0</v>
      </c>
      <c r="N125" s="19"/>
      <c r="O125" s="19"/>
      <c r="P125" s="19"/>
      <c r="Q125" s="21"/>
      <c r="R125" s="19"/>
      <c r="S125" s="19"/>
      <c r="T125" s="19"/>
      <c r="U125" s="19"/>
      <c r="V125" s="21"/>
    </row>
    <row r="126" spans="1:22" x14ac:dyDescent="0.3">
      <c r="A126" s="1">
        <v>46025.5625</v>
      </c>
      <c r="B126" s="2">
        <v>15.2</v>
      </c>
      <c r="C126" s="1" t="str">
        <f t="shared" si="4"/>
        <v>0</v>
      </c>
      <c r="D126" s="1" t="str">
        <f t="shared" si="5"/>
        <v>0</v>
      </c>
      <c r="N126" s="19"/>
      <c r="O126" s="19"/>
      <c r="P126" s="19"/>
      <c r="Q126" s="21"/>
      <c r="R126" s="19"/>
      <c r="S126" s="19"/>
      <c r="T126" s="19"/>
      <c r="U126" s="19"/>
      <c r="V126" s="21"/>
    </row>
    <row r="127" spans="1:22" x14ac:dyDescent="0.3">
      <c r="A127" s="1">
        <v>46025.583333333336</v>
      </c>
      <c r="B127" s="2">
        <v>15.1</v>
      </c>
      <c r="C127" s="1" t="str">
        <f t="shared" si="4"/>
        <v>0</v>
      </c>
      <c r="D127" s="1" t="str">
        <f t="shared" si="5"/>
        <v>0</v>
      </c>
      <c r="N127" s="19"/>
      <c r="O127" s="19"/>
      <c r="P127" s="19"/>
      <c r="Q127" s="21"/>
      <c r="R127" s="19"/>
      <c r="S127" s="19"/>
      <c r="T127" s="19"/>
      <c r="U127" s="19"/>
      <c r="V127" s="21"/>
    </row>
    <row r="128" spans="1:22" x14ac:dyDescent="0.3">
      <c r="A128" s="1">
        <v>46025.604166666664</v>
      </c>
      <c r="B128" s="2">
        <v>14.8</v>
      </c>
      <c r="C128" s="1" t="str">
        <f t="shared" si="4"/>
        <v>0</v>
      </c>
      <c r="D128" s="1" t="str">
        <f t="shared" si="5"/>
        <v>0</v>
      </c>
      <c r="N128" s="19"/>
      <c r="O128" s="19"/>
      <c r="P128" s="19"/>
      <c r="Q128" s="21"/>
      <c r="R128" s="19"/>
      <c r="S128" s="19"/>
      <c r="T128" s="19"/>
      <c r="U128" s="19"/>
      <c r="V128" s="21"/>
    </row>
    <row r="129" spans="1:22" x14ac:dyDescent="0.3">
      <c r="A129" s="1">
        <v>46025.625</v>
      </c>
      <c r="B129" s="2">
        <v>14.6</v>
      </c>
      <c r="C129" s="1" t="str">
        <f t="shared" si="4"/>
        <v>0</v>
      </c>
      <c r="D129" s="1" t="str">
        <f t="shared" si="5"/>
        <v>0</v>
      </c>
      <c r="N129" s="19"/>
      <c r="O129" s="19"/>
      <c r="P129" s="19"/>
      <c r="Q129" s="21"/>
      <c r="R129" s="19"/>
      <c r="S129" s="19"/>
      <c r="T129" s="19"/>
      <c r="U129" s="19"/>
      <c r="V129" s="21"/>
    </row>
    <row r="130" spans="1:22" x14ac:dyDescent="0.3">
      <c r="A130" s="1">
        <v>46025.645833333336</v>
      </c>
      <c r="B130" s="2">
        <v>14.4</v>
      </c>
      <c r="C130" s="1" t="str">
        <f t="shared" si="4"/>
        <v>0</v>
      </c>
      <c r="D130" s="1" t="str">
        <f t="shared" si="5"/>
        <v>0</v>
      </c>
      <c r="N130" s="19"/>
      <c r="O130" s="19"/>
      <c r="P130" s="19"/>
      <c r="Q130" s="21"/>
      <c r="R130" s="19"/>
      <c r="S130" s="19"/>
      <c r="T130" s="19"/>
      <c r="U130" s="19"/>
      <c r="V130" s="21"/>
    </row>
    <row r="131" spans="1:22" x14ac:dyDescent="0.3">
      <c r="A131" s="1">
        <v>46025.666666666664</v>
      </c>
      <c r="B131" s="2">
        <v>14</v>
      </c>
      <c r="C131" s="1" t="str">
        <f t="shared" ref="C131:C194" si="6">IF(B131=$P$13,A131,"0")</f>
        <v>0</v>
      </c>
      <c r="D131" s="1" t="str">
        <f t="shared" ref="D131:D194" si="7">IF(B131=$M$13,A131,"0")</f>
        <v>0</v>
      </c>
      <c r="N131" s="19"/>
      <c r="O131" s="19"/>
      <c r="P131" s="19"/>
      <c r="Q131" s="21"/>
      <c r="R131" s="19"/>
      <c r="S131" s="19"/>
      <c r="T131" s="19"/>
      <c r="U131" s="19"/>
      <c r="V131" s="21"/>
    </row>
    <row r="132" spans="1:22" x14ac:dyDescent="0.3">
      <c r="A132" s="1">
        <v>46025.6875</v>
      </c>
      <c r="B132" s="2">
        <v>13.8</v>
      </c>
      <c r="C132" s="1" t="str">
        <f t="shared" si="6"/>
        <v>0</v>
      </c>
      <c r="D132" s="1" t="str">
        <f t="shared" si="7"/>
        <v>0</v>
      </c>
      <c r="N132" s="19"/>
      <c r="O132" s="19"/>
      <c r="P132" s="19"/>
      <c r="Q132" s="21"/>
      <c r="R132" s="19"/>
      <c r="S132" s="19"/>
      <c r="T132" s="19"/>
      <c r="U132" s="19"/>
      <c r="V132" s="21"/>
    </row>
    <row r="133" spans="1:22" x14ac:dyDescent="0.3">
      <c r="A133" s="1">
        <v>46025.708333333336</v>
      </c>
      <c r="B133" s="2">
        <v>13.7</v>
      </c>
      <c r="C133" s="1" t="str">
        <f t="shared" si="6"/>
        <v>0</v>
      </c>
      <c r="D133" s="1" t="str">
        <f t="shared" si="7"/>
        <v>0</v>
      </c>
      <c r="N133" s="19"/>
      <c r="O133" s="19"/>
      <c r="P133" s="19"/>
      <c r="Q133" s="21"/>
      <c r="R133" s="19"/>
      <c r="S133" s="19"/>
      <c r="T133" s="19"/>
      <c r="U133" s="19"/>
      <c r="V133" s="21"/>
    </row>
    <row r="134" spans="1:22" x14ac:dyDescent="0.3">
      <c r="A134" s="1">
        <v>46025.729166666664</v>
      </c>
      <c r="B134" s="2">
        <v>13.6</v>
      </c>
      <c r="C134" s="1" t="str">
        <f t="shared" si="6"/>
        <v>0</v>
      </c>
      <c r="D134" s="1" t="str">
        <f t="shared" si="7"/>
        <v>0</v>
      </c>
      <c r="N134" s="19"/>
      <c r="O134" s="19"/>
      <c r="P134" s="19"/>
      <c r="Q134" s="21"/>
      <c r="R134" s="19"/>
      <c r="S134" s="19"/>
      <c r="T134" s="19"/>
      <c r="U134" s="19"/>
      <c r="V134" s="21"/>
    </row>
    <row r="135" spans="1:22" x14ac:dyDescent="0.3">
      <c r="A135" s="1">
        <v>46025.75</v>
      </c>
      <c r="B135" s="2">
        <v>13.6</v>
      </c>
      <c r="C135" s="1" t="str">
        <f t="shared" si="6"/>
        <v>0</v>
      </c>
      <c r="D135" s="1" t="str">
        <f t="shared" si="7"/>
        <v>0</v>
      </c>
      <c r="N135" s="19"/>
      <c r="O135" s="19"/>
      <c r="P135" s="19"/>
      <c r="Q135" s="21"/>
      <c r="R135" s="19"/>
      <c r="S135" s="19"/>
      <c r="T135" s="19"/>
      <c r="U135" s="19"/>
      <c r="V135" s="21"/>
    </row>
    <row r="136" spans="1:22" x14ac:dyDescent="0.3">
      <c r="A136" s="1">
        <v>46025.770833333336</v>
      </c>
      <c r="B136" s="2">
        <v>13.5</v>
      </c>
      <c r="C136" s="1" t="str">
        <f t="shared" si="6"/>
        <v>0</v>
      </c>
      <c r="D136" s="1" t="str">
        <f t="shared" si="7"/>
        <v>0</v>
      </c>
      <c r="N136" s="19"/>
      <c r="O136" s="19"/>
      <c r="P136" s="19"/>
      <c r="Q136" s="21"/>
      <c r="R136" s="19"/>
      <c r="S136" s="19"/>
      <c r="T136" s="19"/>
      <c r="U136" s="19"/>
      <c r="V136" s="21"/>
    </row>
    <row r="137" spans="1:22" x14ac:dyDescent="0.3">
      <c r="A137" s="1">
        <v>46025.791666666664</v>
      </c>
      <c r="B137" s="2">
        <v>13.5</v>
      </c>
      <c r="C137" s="1" t="str">
        <f t="shared" si="6"/>
        <v>0</v>
      </c>
      <c r="D137" s="1" t="str">
        <f t="shared" si="7"/>
        <v>0</v>
      </c>
      <c r="N137" s="19"/>
      <c r="O137" s="19"/>
      <c r="P137" s="19"/>
      <c r="Q137" s="21"/>
      <c r="R137" s="19"/>
      <c r="S137" s="19"/>
      <c r="T137" s="19"/>
      <c r="U137" s="19"/>
      <c r="V137" s="21"/>
    </row>
    <row r="138" spans="1:22" x14ac:dyDescent="0.3">
      <c r="A138" s="1">
        <v>46025.8125</v>
      </c>
      <c r="B138" s="2">
        <v>13.3</v>
      </c>
      <c r="C138" s="1" t="str">
        <f t="shared" si="6"/>
        <v>0</v>
      </c>
      <c r="D138" s="1" t="str">
        <f t="shared" si="7"/>
        <v>0</v>
      </c>
      <c r="N138" s="19"/>
      <c r="O138" s="19"/>
      <c r="P138" s="19"/>
      <c r="Q138" s="21"/>
      <c r="R138" s="19"/>
      <c r="S138" s="19"/>
      <c r="T138" s="19"/>
      <c r="U138" s="19"/>
      <c r="V138" s="21"/>
    </row>
    <row r="139" spans="1:22" x14ac:dyDescent="0.3">
      <c r="A139" s="1">
        <v>46025.833333333336</v>
      </c>
      <c r="B139" s="2">
        <v>13.3</v>
      </c>
      <c r="C139" s="1" t="str">
        <f t="shared" si="6"/>
        <v>0</v>
      </c>
      <c r="D139" s="1" t="str">
        <f t="shared" si="7"/>
        <v>0</v>
      </c>
      <c r="N139" s="19"/>
      <c r="O139" s="19"/>
      <c r="P139" s="19"/>
      <c r="Q139" s="21"/>
      <c r="R139" s="19"/>
      <c r="S139" s="19"/>
      <c r="T139" s="19"/>
      <c r="U139" s="19"/>
      <c r="V139" s="21"/>
    </row>
    <row r="140" spans="1:22" x14ac:dyDescent="0.3">
      <c r="A140" s="1">
        <v>46025.854166666664</v>
      </c>
      <c r="B140" s="2">
        <v>13.3</v>
      </c>
      <c r="C140" s="1" t="str">
        <f t="shared" si="6"/>
        <v>0</v>
      </c>
      <c r="D140" s="1" t="str">
        <f t="shared" si="7"/>
        <v>0</v>
      </c>
      <c r="N140" s="19"/>
      <c r="O140" s="19"/>
      <c r="P140" s="19"/>
      <c r="Q140" s="21"/>
      <c r="R140" s="19"/>
      <c r="S140" s="19"/>
      <c r="T140" s="19"/>
      <c r="U140" s="19"/>
      <c r="V140" s="21"/>
    </row>
    <row r="141" spans="1:22" x14ac:dyDescent="0.3">
      <c r="A141" s="1">
        <v>46025.875</v>
      </c>
      <c r="B141" s="2">
        <v>13.2</v>
      </c>
      <c r="C141" s="1" t="str">
        <f t="shared" si="6"/>
        <v>0</v>
      </c>
      <c r="D141" s="1" t="str">
        <f t="shared" si="7"/>
        <v>0</v>
      </c>
      <c r="N141" s="19"/>
      <c r="O141" s="19"/>
      <c r="P141" s="19"/>
      <c r="Q141" s="21"/>
      <c r="R141" s="19"/>
      <c r="S141" s="19"/>
      <c r="T141" s="19"/>
      <c r="U141" s="19"/>
      <c r="V141" s="21"/>
    </row>
    <row r="142" spans="1:22" x14ac:dyDescent="0.3">
      <c r="A142" s="1">
        <v>46025.895833333336</v>
      </c>
      <c r="B142" s="2">
        <v>13.2</v>
      </c>
      <c r="C142" s="1" t="str">
        <f t="shared" si="6"/>
        <v>0</v>
      </c>
      <c r="D142" s="1" t="str">
        <f t="shared" si="7"/>
        <v>0</v>
      </c>
      <c r="N142" s="19"/>
      <c r="O142" s="19"/>
      <c r="P142" s="19"/>
      <c r="Q142" s="21"/>
      <c r="R142" s="19"/>
      <c r="S142" s="19"/>
      <c r="T142" s="19"/>
      <c r="U142" s="19"/>
      <c r="V142" s="21"/>
    </row>
    <row r="143" spans="1:22" x14ac:dyDescent="0.3">
      <c r="A143" s="1">
        <v>46025.916666666664</v>
      </c>
      <c r="B143" s="2">
        <v>13.2</v>
      </c>
      <c r="C143" s="1" t="str">
        <f t="shared" si="6"/>
        <v>0</v>
      </c>
      <c r="D143" s="1" t="str">
        <f t="shared" si="7"/>
        <v>0</v>
      </c>
      <c r="N143" s="19"/>
      <c r="O143" s="19"/>
      <c r="P143" s="19"/>
      <c r="Q143" s="21"/>
      <c r="R143" s="19"/>
      <c r="S143" s="19"/>
      <c r="T143" s="19"/>
      <c r="U143" s="19"/>
      <c r="V143" s="21"/>
    </row>
    <row r="144" spans="1:22" x14ac:dyDescent="0.3">
      <c r="A144" s="1">
        <v>46025.9375</v>
      </c>
      <c r="B144" s="2">
        <v>13.3</v>
      </c>
      <c r="C144" s="1" t="str">
        <f t="shared" si="6"/>
        <v>0</v>
      </c>
      <c r="D144" s="1" t="str">
        <f t="shared" si="7"/>
        <v>0</v>
      </c>
      <c r="N144" s="19"/>
      <c r="O144" s="19"/>
      <c r="P144" s="19"/>
      <c r="Q144" s="21"/>
      <c r="R144" s="19"/>
      <c r="S144" s="19"/>
      <c r="T144" s="19"/>
      <c r="U144" s="19"/>
      <c r="V144" s="21"/>
    </row>
    <row r="145" spans="1:22" x14ac:dyDescent="0.3">
      <c r="A145" s="1">
        <v>46025.958333333336</v>
      </c>
      <c r="B145" s="2">
        <v>13.3</v>
      </c>
      <c r="C145" s="1" t="str">
        <f t="shared" si="6"/>
        <v>0</v>
      </c>
      <c r="D145" s="1" t="str">
        <f t="shared" si="7"/>
        <v>0</v>
      </c>
      <c r="N145" s="19"/>
      <c r="O145" s="19"/>
      <c r="P145" s="19"/>
      <c r="Q145" s="21"/>
      <c r="R145" s="19"/>
      <c r="S145" s="19"/>
      <c r="T145" s="19"/>
      <c r="U145" s="19"/>
      <c r="V145" s="21"/>
    </row>
    <row r="146" spans="1:22" x14ac:dyDescent="0.3">
      <c r="A146" s="1">
        <v>46025.979166666664</v>
      </c>
      <c r="B146" s="2">
        <v>13.4</v>
      </c>
      <c r="C146" s="1" t="str">
        <f t="shared" si="6"/>
        <v>0</v>
      </c>
      <c r="D146" s="1" t="str">
        <f t="shared" si="7"/>
        <v>0</v>
      </c>
      <c r="N146" s="19"/>
      <c r="O146" s="19"/>
      <c r="P146" s="19"/>
      <c r="Q146" s="21"/>
      <c r="R146" s="19"/>
      <c r="S146" s="19"/>
      <c r="T146" s="19"/>
      <c r="U146" s="19"/>
      <c r="V146" s="21"/>
    </row>
    <row r="147" spans="1:22" x14ac:dyDescent="0.3">
      <c r="A147" s="1">
        <v>46026</v>
      </c>
      <c r="B147" s="2">
        <v>13.3</v>
      </c>
      <c r="C147" s="1" t="str">
        <f t="shared" si="6"/>
        <v>0</v>
      </c>
      <c r="D147" s="1" t="str">
        <f t="shared" si="7"/>
        <v>0</v>
      </c>
      <c r="N147" s="19"/>
      <c r="O147" s="19"/>
      <c r="P147" s="19"/>
      <c r="Q147" s="21"/>
      <c r="R147" s="19"/>
      <c r="S147" s="19"/>
      <c r="T147" s="19"/>
      <c r="U147" s="19"/>
      <c r="V147" s="21"/>
    </row>
    <row r="148" spans="1:22" x14ac:dyDescent="0.3">
      <c r="A148" s="1">
        <v>46026.020833333336</v>
      </c>
      <c r="B148" s="2">
        <v>13.4</v>
      </c>
      <c r="C148" s="1" t="str">
        <f t="shared" si="6"/>
        <v>0</v>
      </c>
      <c r="D148" s="1" t="str">
        <f t="shared" si="7"/>
        <v>0</v>
      </c>
      <c r="N148" s="19"/>
      <c r="O148" s="19"/>
      <c r="P148" s="19"/>
      <c r="Q148" s="21"/>
      <c r="R148" s="19"/>
      <c r="S148" s="19"/>
      <c r="T148" s="19"/>
      <c r="U148" s="19"/>
      <c r="V148" s="21"/>
    </row>
    <row r="149" spans="1:22" x14ac:dyDescent="0.3">
      <c r="A149" s="1">
        <v>46026.041666666664</v>
      </c>
      <c r="B149" s="2">
        <v>13.5</v>
      </c>
      <c r="C149" s="1" t="str">
        <f t="shared" si="6"/>
        <v>0</v>
      </c>
      <c r="D149" s="1" t="str">
        <f t="shared" si="7"/>
        <v>0</v>
      </c>
      <c r="N149" s="19"/>
      <c r="O149" s="19"/>
      <c r="P149" s="19"/>
      <c r="Q149" s="21"/>
      <c r="R149" s="19"/>
      <c r="S149" s="19"/>
      <c r="T149" s="19"/>
      <c r="U149" s="19"/>
      <c r="V149" s="21"/>
    </row>
    <row r="150" spans="1:22" x14ac:dyDescent="0.3">
      <c r="A150" s="1">
        <v>46026.0625</v>
      </c>
      <c r="B150" s="2">
        <v>13.5</v>
      </c>
      <c r="C150" s="1" t="str">
        <f t="shared" si="6"/>
        <v>0</v>
      </c>
      <c r="D150" s="1" t="str">
        <f t="shared" si="7"/>
        <v>0</v>
      </c>
      <c r="N150" s="19"/>
      <c r="O150" s="19"/>
      <c r="P150" s="19"/>
      <c r="Q150" s="21"/>
      <c r="R150" s="19"/>
      <c r="S150" s="19"/>
      <c r="T150" s="19"/>
      <c r="U150" s="19"/>
      <c r="V150" s="21"/>
    </row>
    <row r="151" spans="1:22" x14ac:dyDescent="0.3">
      <c r="A151" s="1">
        <v>46026.083333333336</v>
      </c>
      <c r="B151" s="2">
        <v>13.5</v>
      </c>
      <c r="C151" s="1" t="str">
        <f t="shared" si="6"/>
        <v>0</v>
      </c>
      <c r="D151" s="1" t="str">
        <f t="shared" si="7"/>
        <v>0</v>
      </c>
      <c r="N151" s="19"/>
      <c r="O151" s="19"/>
      <c r="P151" s="19"/>
      <c r="Q151" s="21"/>
      <c r="R151" s="19"/>
      <c r="S151" s="19"/>
      <c r="T151" s="19"/>
      <c r="U151" s="19"/>
      <c r="V151" s="21"/>
    </row>
    <row r="152" spans="1:22" x14ac:dyDescent="0.3">
      <c r="A152" s="1">
        <v>46026.104166666664</v>
      </c>
      <c r="B152" s="2">
        <v>13.4</v>
      </c>
      <c r="C152" s="1" t="str">
        <f t="shared" si="6"/>
        <v>0</v>
      </c>
      <c r="D152" s="1" t="str">
        <f t="shared" si="7"/>
        <v>0</v>
      </c>
      <c r="N152" s="19"/>
      <c r="O152" s="19"/>
      <c r="P152" s="19"/>
      <c r="Q152" s="21"/>
      <c r="R152" s="19"/>
      <c r="S152" s="19"/>
      <c r="T152" s="19"/>
      <c r="U152" s="19"/>
      <c r="V152" s="21"/>
    </row>
    <row r="153" spans="1:22" x14ac:dyDescent="0.3">
      <c r="A153" s="1">
        <v>46026.125</v>
      </c>
      <c r="B153" s="2">
        <v>13.4</v>
      </c>
      <c r="C153" s="1" t="str">
        <f t="shared" si="6"/>
        <v>0</v>
      </c>
      <c r="D153" s="1" t="str">
        <f t="shared" si="7"/>
        <v>0</v>
      </c>
      <c r="N153" s="19"/>
      <c r="O153" s="19"/>
      <c r="P153" s="19"/>
      <c r="Q153" s="21"/>
      <c r="R153" s="19"/>
      <c r="S153" s="19"/>
      <c r="T153" s="19"/>
      <c r="U153" s="19"/>
      <c r="V153" s="21"/>
    </row>
    <row r="154" spans="1:22" x14ac:dyDescent="0.3">
      <c r="A154" s="1">
        <v>46026.145833333336</v>
      </c>
      <c r="B154" s="2">
        <v>13.3</v>
      </c>
      <c r="C154" s="1" t="str">
        <f t="shared" si="6"/>
        <v>0</v>
      </c>
      <c r="D154" s="1" t="str">
        <f t="shared" si="7"/>
        <v>0</v>
      </c>
      <c r="N154" s="19"/>
      <c r="O154" s="19"/>
      <c r="P154" s="19"/>
      <c r="Q154" s="21"/>
      <c r="R154" s="19"/>
      <c r="S154" s="19"/>
      <c r="T154" s="19"/>
      <c r="U154" s="19"/>
      <c r="V154" s="21"/>
    </row>
    <row r="155" spans="1:22" x14ac:dyDescent="0.3">
      <c r="A155" s="1">
        <v>46026.166666666664</v>
      </c>
      <c r="B155" s="2">
        <v>13.4</v>
      </c>
      <c r="C155" s="1" t="str">
        <f t="shared" si="6"/>
        <v>0</v>
      </c>
      <c r="D155" s="1" t="str">
        <f t="shared" si="7"/>
        <v>0</v>
      </c>
      <c r="N155" s="19"/>
      <c r="O155" s="19"/>
      <c r="P155" s="19"/>
      <c r="Q155" s="21"/>
      <c r="R155" s="19"/>
      <c r="S155" s="19"/>
      <c r="T155" s="19"/>
      <c r="U155" s="19"/>
      <c r="V155" s="21"/>
    </row>
    <row r="156" spans="1:22" x14ac:dyDescent="0.3">
      <c r="A156" s="1">
        <v>46026.1875</v>
      </c>
      <c r="B156" s="2">
        <v>13.4</v>
      </c>
      <c r="C156" s="1" t="str">
        <f t="shared" si="6"/>
        <v>0</v>
      </c>
      <c r="D156" s="1" t="str">
        <f t="shared" si="7"/>
        <v>0</v>
      </c>
      <c r="N156" s="19"/>
      <c r="O156" s="19"/>
      <c r="P156" s="19"/>
      <c r="Q156" s="21"/>
      <c r="R156" s="19"/>
      <c r="S156" s="19"/>
      <c r="T156" s="19"/>
      <c r="U156" s="19"/>
      <c r="V156" s="21"/>
    </row>
    <row r="157" spans="1:22" x14ac:dyDescent="0.3">
      <c r="A157" s="1">
        <v>46026.208333333336</v>
      </c>
      <c r="B157" s="2">
        <v>13.3</v>
      </c>
      <c r="C157" s="1" t="str">
        <f t="shared" si="6"/>
        <v>0</v>
      </c>
      <c r="D157" s="1" t="str">
        <f t="shared" si="7"/>
        <v>0</v>
      </c>
      <c r="N157" s="19"/>
      <c r="O157" s="19"/>
      <c r="P157" s="19"/>
      <c r="Q157" s="21"/>
      <c r="R157" s="19"/>
      <c r="S157" s="19"/>
      <c r="T157" s="19"/>
      <c r="U157" s="19"/>
      <c r="V157" s="21"/>
    </row>
    <row r="158" spans="1:22" x14ac:dyDescent="0.3">
      <c r="A158" s="1">
        <v>46026.229166666664</v>
      </c>
      <c r="B158" s="2">
        <v>13</v>
      </c>
      <c r="C158" s="1" t="str">
        <f t="shared" si="6"/>
        <v>0</v>
      </c>
      <c r="D158" s="1" t="str">
        <f t="shared" si="7"/>
        <v>0</v>
      </c>
      <c r="N158" s="19"/>
      <c r="O158" s="19"/>
      <c r="P158" s="19"/>
      <c r="Q158" s="21"/>
      <c r="R158" s="19"/>
      <c r="S158" s="19"/>
      <c r="T158" s="19"/>
      <c r="U158" s="19"/>
      <c r="V158" s="21"/>
    </row>
    <row r="159" spans="1:22" x14ac:dyDescent="0.3">
      <c r="A159" s="1">
        <v>46026.25</v>
      </c>
      <c r="B159" s="2">
        <v>13.1</v>
      </c>
      <c r="C159" s="1" t="str">
        <f t="shared" si="6"/>
        <v>0</v>
      </c>
      <c r="D159" s="1" t="str">
        <f t="shared" si="7"/>
        <v>0</v>
      </c>
      <c r="N159" s="19"/>
      <c r="O159" s="19"/>
      <c r="P159" s="19"/>
      <c r="Q159" s="21"/>
      <c r="R159" s="19"/>
      <c r="S159" s="19"/>
      <c r="T159" s="19"/>
      <c r="U159" s="19"/>
      <c r="V159" s="21"/>
    </row>
    <row r="160" spans="1:22" x14ac:dyDescent="0.3">
      <c r="A160" s="1">
        <v>46026.270833333336</v>
      </c>
      <c r="B160" s="2">
        <v>13</v>
      </c>
      <c r="C160" s="1" t="str">
        <f t="shared" si="6"/>
        <v>0</v>
      </c>
      <c r="D160" s="1" t="str">
        <f t="shared" si="7"/>
        <v>0</v>
      </c>
      <c r="N160" s="19"/>
      <c r="O160" s="19"/>
      <c r="P160" s="19"/>
      <c r="Q160" s="21"/>
      <c r="R160" s="19"/>
      <c r="S160" s="19"/>
      <c r="T160" s="19"/>
      <c r="U160" s="19"/>
      <c r="V160" s="21"/>
    </row>
    <row r="161" spans="1:22" x14ac:dyDescent="0.3">
      <c r="A161" s="1">
        <v>46026.291666666664</v>
      </c>
      <c r="B161" s="2">
        <v>13.1</v>
      </c>
      <c r="C161" s="1" t="str">
        <f t="shared" si="6"/>
        <v>0</v>
      </c>
      <c r="D161" s="1" t="str">
        <f t="shared" si="7"/>
        <v>0</v>
      </c>
      <c r="N161" s="19"/>
      <c r="O161" s="19"/>
      <c r="P161" s="19"/>
      <c r="Q161" s="21"/>
      <c r="R161" s="19"/>
      <c r="S161" s="19"/>
      <c r="T161" s="19"/>
      <c r="U161" s="19"/>
      <c r="V161" s="21"/>
    </row>
    <row r="162" spans="1:22" x14ac:dyDescent="0.3">
      <c r="A162" s="1">
        <v>46026.3125</v>
      </c>
      <c r="B162" s="2">
        <v>13.1</v>
      </c>
      <c r="C162" s="1" t="str">
        <f t="shared" si="6"/>
        <v>0</v>
      </c>
      <c r="D162" s="1" t="str">
        <f t="shared" si="7"/>
        <v>0</v>
      </c>
      <c r="N162" s="19"/>
      <c r="O162" s="19"/>
      <c r="P162" s="19"/>
      <c r="Q162" s="21"/>
      <c r="R162" s="19"/>
      <c r="S162" s="19"/>
      <c r="T162" s="19"/>
      <c r="U162" s="19"/>
      <c r="V162" s="21"/>
    </row>
    <row r="163" spans="1:22" x14ac:dyDescent="0.3">
      <c r="A163" s="1">
        <v>46026.333333333336</v>
      </c>
      <c r="B163" s="2">
        <v>13.4</v>
      </c>
      <c r="C163" s="1" t="str">
        <f t="shared" si="6"/>
        <v>0</v>
      </c>
      <c r="D163" s="1" t="str">
        <f t="shared" si="7"/>
        <v>0</v>
      </c>
      <c r="N163" s="19"/>
      <c r="O163" s="19"/>
      <c r="P163" s="19"/>
      <c r="Q163" s="21"/>
      <c r="R163" s="19"/>
      <c r="S163" s="19"/>
      <c r="T163" s="19"/>
      <c r="U163" s="19"/>
      <c r="V163" s="21"/>
    </row>
    <row r="164" spans="1:22" x14ac:dyDescent="0.3">
      <c r="A164" s="1">
        <v>46026.354166666664</v>
      </c>
      <c r="B164" s="2">
        <v>13.7</v>
      </c>
      <c r="C164" s="1" t="str">
        <f t="shared" si="6"/>
        <v>0</v>
      </c>
      <c r="D164" s="1" t="str">
        <f t="shared" si="7"/>
        <v>0</v>
      </c>
      <c r="N164" s="19"/>
      <c r="O164" s="19"/>
      <c r="P164" s="19"/>
      <c r="Q164" s="21"/>
      <c r="R164" s="19"/>
      <c r="S164" s="19"/>
      <c r="T164" s="19"/>
      <c r="U164" s="19"/>
      <c r="V164" s="21"/>
    </row>
    <row r="165" spans="1:22" x14ac:dyDescent="0.3">
      <c r="A165" s="1">
        <v>46026.375</v>
      </c>
      <c r="B165" s="2">
        <v>13.7</v>
      </c>
      <c r="C165" s="1" t="str">
        <f t="shared" si="6"/>
        <v>0</v>
      </c>
      <c r="D165" s="1" t="str">
        <f t="shared" si="7"/>
        <v>0</v>
      </c>
      <c r="N165" s="19"/>
      <c r="O165" s="19"/>
      <c r="P165" s="19"/>
      <c r="Q165" s="21"/>
      <c r="R165" s="19"/>
      <c r="S165" s="19"/>
      <c r="T165" s="19"/>
      <c r="U165" s="19"/>
      <c r="V165" s="21"/>
    </row>
    <row r="166" spans="1:22" x14ac:dyDescent="0.3">
      <c r="A166" s="1">
        <v>46026.395833333336</v>
      </c>
      <c r="B166" s="2">
        <v>13.7</v>
      </c>
      <c r="C166" s="1" t="str">
        <f t="shared" si="6"/>
        <v>0</v>
      </c>
      <c r="D166" s="1" t="str">
        <f t="shared" si="7"/>
        <v>0</v>
      </c>
      <c r="N166" s="19"/>
      <c r="O166" s="19"/>
      <c r="P166" s="19"/>
      <c r="Q166" s="21"/>
      <c r="R166" s="19"/>
      <c r="S166" s="19"/>
      <c r="T166" s="19"/>
      <c r="U166" s="19"/>
      <c r="V166" s="21"/>
    </row>
    <row r="167" spans="1:22" x14ac:dyDescent="0.3">
      <c r="A167" s="1">
        <v>46026.416666666664</v>
      </c>
      <c r="B167" s="2">
        <v>13.9</v>
      </c>
      <c r="C167" s="1" t="str">
        <f t="shared" si="6"/>
        <v>0</v>
      </c>
      <c r="D167" s="1" t="str">
        <f t="shared" si="7"/>
        <v>0</v>
      </c>
      <c r="N167" s="19"/>
      <c r="O167" s="19"/>
      <c r="P167" s="19"/>
      <c r="Q167" s="21"/>
      <c r="R167" s="19"/>
      <c r="S167" s="19"/>
      <c r="T167" s="19"/>
      <c r="U167" s="19"/>
      <c r="V167" s="21"/>
    </row>
    <row r="168" spans="1:22" x14ac:dyDescent="0.3">
      <c r="A168" s="1">
        <v>46026.4375</v>
      </c>
      <c r="B168" s="2">
        <v>13.8</v>
      </c>
      <c r="C168" s="1" t="str">
        <f t="shared" si="6"/>
        <v>0</v>
      </c>
      <c r="D168" s="1" t="str">
        <f t="shared" si="7"/>
        <v>0</v>
      </c>
      <c r="N168" s="19"/>
      <c r="O168" s="19"/>
      <c r="P168" s="19"/>
      <c r="Q168" s="21"/>
      <c r="R168" s="19"/>
      <c r="S168" s="19"/>
      <c r="T168" s="19"/>
      <c r="U168" s="19"/>
      <c r="V168" s="21"/>
    </row>
    <row r="169" spans="1:22" x14ac:dyDescent="0.3">
      <c r="A169" s="1">
        <v>46026.458333333336</v>
      </c>
      <c r="B169" s="2">
        <v>14.5</v>
      </c>
      <c r="C169" s="1" t="str">
        <f t="shared" si="6"/>
        <v>0</v>
      </c>
      <c r="D169" s="1" t="str">
        <f t="shared" si="7"/>
        <v>0</v>
      </c>
      <c r="N169" s="19"/>
      <c r="O169" s="19"/>
      <c r="P169" s="19"/>
      <c r="Q169" s="21"/>
      <c r="R169" s="19"/>
      <c r="S169" s="19"/>
      <c r="T169" s="19"/>
      <c r="U169" s="19"/>
      <c r="V169" s="21"/>
    </row>
    <row r="170" spans="1:22" x14ac:dyDescent="0.3">
      <c r="A170" s="1">
        <v>46026.479166666664</v>
      </c>
      <c r="B170" s="2">
        <v>14.6</v>
      </c>
      <c r="C170" s="1" t="str">
        <f t="shared" si="6"/>
        <v>0</v>
      </c>
      <c r="D170" s="1" t="str">
        <f t="shared" si="7"/>
        <v>0</v>
      </c>
      <c r="N170" s="19"/>
      <c r="O170" s="19"/>
      <c r="P170" s="19"/>
      <c r="Q170" s="21"/>
      <c r="R170" s="19"/>
      <c r="S170" s="19"/>
      <c r="T170" s="19"/>
      <c r="U170" s="19"/>
      <c r="V170" s="21"/>
    </row>
    <row r="171" spans="1:22" x14ac:dyDescent="0.3">
      <c r="A171" s="1">
        <v>46026.5</v>
      </c>
      <c r="B171" s="2">
        <v>14.2</v>
      </c>
      <c r="C171" s="1" t="str">
        <f t="shared" si="6"/>
        <v>0</v>
      </c>
      <c r="D171" s="1" t="str">
        <f t="shared" si="7"/>
        <v>0</v>
      </c>
      <c r="N171" s="19"/>
      <c r="O171" s="19"/>
      <c r="P171" s="19"/>
      <c r="Q171" s="21"/>
      <c r="R171" s="19"/>
      <c r="S171" s="19"/>
      <c r="T171" s="19"/>
      <c r="U171" s="19"/>
      <c r="V171" s="21"/>
    </row>
    <row r="172" spans="1:22" x14ac:dyDescent="0.3">
      <c r="A172" s="1">
        <v>46026.520833333336</v>
      </c>
      <c r="B172" s="2">
        <v>14</v>
      </c>
      <c r="C172" s="1" t="str">
        <f t="shared" si="6"/>
        <v>0</v>
      </c>
      <c r="D172" s="1" t="str">
        <f t="shared" si="7"/>
        <v>0</v>
      </c>
      <c r="N172" s="19"/>
      <c r="O172" s="19"/>
      <c r="P172" s="19"/>
      <c r="Q172" s="21"/>
      <c r="R172" s="19"/>
      <c r="S172" s="19"/>
      <c r="T172" s="19"/>
      <c r="U172" s="19"/>
      <c r="V172" s="21"/>
    </row>
    <row r="173" spans="1:22" x14ac:dyDescent="0.3">
      <c r="A173" s="1">
        <v>46026.541666666664</v>
      </c>
      <c r="B173" s="2">
        <v>13.8</v>
      </c>
      <c r="C173" s="1" t="str">
        <f t="shared" si="6"/>
        <v>0</v>
      </c>
      <c r="D173" s="1" t="str">
        <f t="shared" si="7"/>
        <v>0</v>
      </c>
      <c r="N173" s="19"/>
      <c r="O173" s="19"/>
      <c r="P173" s="19"/>
      <c r="Q173" s="21"/>
      <c r="R173" s="19"/>
      <c r="S173" s="19"/>
      <c r="T173" s="19"/>
      <c r="U173" s="19"/>
      <c r="V173" s="21"/>
    </row>
    <row r="174" spans="1:22" x14ac:dyDescent="0.3">
      <c r="A174" s="1">
        <v>46026.5625</v>
      </c>
      <c r="B174" s="2">
        <v>13.7</v>
      </c>
      <c r="C174" s="1" t="str">
        <f t="shared" si="6"/>
        <v>0</v>
      </c>
      <c r="D174" s="1" t="str">
        <f t="shared" si="7"/>
        <v>0</v>
      </c>
      <c r="N174" s="19"/>
      <c r="O174" s="19"/>
      <c r="P174" s="19"/>
      <c r="Q174" s="21"/>
      <c r="R174" s="19"/>
      <c r="S174" s="19"/>
      <c r="T174" s="19"/>
      <c r="U174" s="19"/>
      <c r="V174" s="21"/>
    </row>
    <row r="175" spans="1:22" x14ac:dyDescent="0.3">
      <c r="A175" s="1">
        <v>46026.583333333336</v>
      </c>
      <c r="B175" s="2">
        <v>13.6</v>
      </c>
      <c r="C175" s="1" t="str">
        <f t="shared" si="6"/>
        <v>0</v>
      </c>
      <c r="D175" s="1" t="str">
        <f t="shared" si="7"/>
        <v>0</v>
      </c>
      <c r="N175" s="19"/>
      <c r="O175" s="19"/>
      <c r="P175" s="19"/>
      <c r="Q175" s="21"/>
      <c r="R175" s="19"/>
      <c r="S175" s="19"/>
      <c r="T175" s="19"/>
      <c r="U175" s="19"/>
      <c r="V175" s="21"/>
    </row>
    <row r="176" spans="1:22" x14ac:dyDescent="0.3">
      <c r="A176" s="1">
        <v>46026.604166666664</v>
      </c>
      <c r="B176" s="2">
        <v>13.3</v>
      </c>
      <c r="C176" s="1" t="str">
        <f t="shared" si="6"/>
        <v>0</v>
      </c>
      <c r="D176" s="1" t="str">
        <f t="shared" si="7"/>
        <v>0</v>
      </c>
      <c r="N176" s="19"/>
      <c r="O176" s="19"/>
      <c r="P176" s="19"/>
      <c r="Q176" s="21"/>
      <c r="R176" s="19"/>
      <c r="S176" s="19"/>
      <c r="T176" s="19"/>
      <c r="U176" s="19"/>
      <c r="V176" s="21"/>
    </row>
    <row r="177" spans="1:22" x14ac:dyDescent="0.3">
      <c r="A177" s="1">
        <v>46026.625</v>
      </c>
      <c r="B177" s="2">
        <v>13.2</v>
      </c>
      <c r="C177" s="1" t="str">
        <f t="shared" si="6"/>
        <v>0</v>
      </c>
      <c r="D177" s="1" t="str">
        <f t="shared" si="7"/>
        <v>0</v>
      </c>
      <c r="N177" s="19"/>
      <c r="O177" s="19"/>
      <c r="P177" s="19"/>
      <c r="Q177" s="21"/>
      <c r="R177" s="19"/>
      <c r="S177" s="19"/>
      <c r="T177" s="19"/>
      <c r="U177" s="19"/>
      <c r="V177" s="21"/>
    </row>
    <row r="178" spans="1:22" x14ac:dyDescent="0.3">
      <c r="A178" s="1">
        <v>46026.645833333336</v>
      </c>
      <c r="B178" s="2">
        <v>13.1</v>
      </c>
      <c r="C178" s="1" t="str">
        <f t="shared" si="6"/>
        <v>0</v>
      </c>
      <c r="D178" s="1" t="str">
        <f t="shared" si="7"/>
        <v>0</v>
      </c>
      <c r="N178" s="19"/>
      <c r="O178" s="19"/>
      <c r="P178" s="19"/>
      <c r="Q178" s="21"/>
      <c r="R178" s="19"/>
      <c r="S178" s="19"/>
      <c r="T178" s="19"/>
      <c r="U178" s="19"/>
      <c r="V178" s="21"/>
    </row>
    <row r="179" spans="1:22" x14ac:dyDescent="0.3">
      <c r="A179" s="1">
        <v>46026.666666666664</v>
      </c>
      <c r="B179" s="2">
        <v>13.1</v>
      </c>
      <c r="C179" s="1" t="str">
        <f t="shared" si="6"/>
        <v>0</v>
      </c>
      <c r="D179" s="1" t="str">
        <f t="shared" si="7"/>
        <v>0</v>
      </c>
      <c r="N179" s="19"/>
      <c r="O179" s="19"/>
      <c r="P179" s="19"/>
      <c r="Q179" s="21"/>
      <c r="R179" s="19"/>
      <c r="S179" s="19"/>
      <c r="T179" s="19"/>
      <c r="U179" s="19"/>
      <c r="V179" s="21"/>
    </row>
    <row r="180" spans="1:22" x14ac:dyDescent="0.3">
      <c r="A180" s="1">
        <v>46026.6875</v>
      </c>
      <c r="B180" s="2">
        <v>13</v>
      </c>
      <c r="C180" s="1" t="str">
        <f t="shared" si="6"/>
        <v>0</v>
      </c>
      <c r="D180" s="1" t="str">
        <f t="shared" si="7"/>
        <v>0</v>
      </c>
      <c r="N180" s="19"/>
      <c r="O180" s="19"/>
      <c r="P180" s="19"/>
      <c r="Q180" s="21"/>
      <c r="R180" s="19"/>
      <c r="S180" s="19"/>
      <c r="T180" s="19"/>
      <c r="U180" s="19"/>
      <c r="V180" s="21"/>
    </row>
    <row r="181" spans="1:22" x14ac:dyDescent="0.3">
      <c r="A181" s="1">
        <v>46026.708333333336</v>
      </c>
      <c r="B181" s="2">
        <v>12.8</v>
      </c>
      <c r="C181" s="1" t="str">
        <f t="shared" si="6"/>
        <v>0</v>
      </c>
      <c r="D181" s="1" t="str">
        <f t="shared" si="7"/>
        <v>0</v>
      </c>
      <c r="N181" s="19"/>
      <c r="O181" s="19"/>
      <c r="P181" s="19"/>
      <c r="Q181" s="21"/>
      <c r="R181" s="19"/>
      <c r="S181" s="19"/>
      <c r="T181" s="19"/>
      <c r="U181" s="19"/>
      <c r="V181" s="21"/>
    </row>
    <row r="182" spans="1:22" x14ac:dyDescent="0.3">
      <c r="A182" s="1">
        <v>46026.729166666664</v>
      </c>
      <c r="B182" s="2">
        <v>12.8</v>
      </c>
      <c r="C182" s="1" t="str">
        <f t="shared" si="6"/>
        <v>0</v>
      </c>
      <c r="D182" s="1" t="str">
        <f t="shared" si="7"/>
        <v>0</v>
      </c>
      <c r="N182" s="19"/>
      <c r="O182" s="19"/>
      <c r="P182" s="19"/>
      <c r="Q182" s="21"/>
      <c r="R182" s="19"/>
      <c r="S182" s="19"/>
      <c r="T182" s="19"/>
      <c r="U182" s="19"/>
      <c r="V182" s="21"/>
    </row>
    <row r="183" spans="1:22" x14ac:dyDescent="0.3">
      <c r="A183" s="1">
        <v>46026.75</v>
      </c>
      <c r="B183" s="2">
        <v>12.7</v>
      </c>
      <c r="C183" s="1" t="str">
        <f t="shared" si="6"/>
        <v>0</v>
      </c>
      <c r="D183" s="1" t="str">
        <f t="shared" si="7"/>
        <v>0</v>
      </c>
      <c r="N183" s="19"/>
      <c r="O183" s="19"/>
      <c r="P183" s="19"/>
      <c r="Q183" s="21"/>
      <c r="R183" s="19"/>
      <c r="S183" s="19"/>
      <c r="T183" s="19"/>
      <c r="U183" s="19"/>
      <c r="V183" s="21"/>
    </row>
    <row r="184" spans="1:22" x14ac:dyDescent="0.3">
      <c r="A184" s="1">
        <v>46026.770833333336</v>
      </c>
      <c r="B184" s="2">
        <v>12.7</v>
      </c>
      <c r="C184" s="1" t="str">
        <f t="shared" si="6"/>
        <v>0</v>
      </c>
      <c r="D184" s="1" t="str">
        <f t="shared" si="7"/>
        <v>0</v>
      </c>
      <c r="N184" s="19"/>
      <c r="O184" s="19"/>
      <c r="P184" s="19"/>
      <c r="Q184" s="21"/>
      <c r="R184" s="19"/>
      <c r="S184" s="19"/>
      <c r="T184" s="19"/>
      <c r="U184" s="19"/>
      <c r="V184" s="21"/>
    </row>
    <row r="185" spans="1:22" x14ac:dyDescent="0.3">
      <c r="A185" s="1">
        <v>46026.791666666664</v>
      </c>
      <c r="B185" s="2">
        <v>12.8</v>
      </c>
      <c r="C185" s="1" t="str">
        <f t="shared" si="6"/>
        <v>0</v>
      </c>
      <c r="D185" s="1" t="str">
        <f t="shared" si="7"/>
        <v>0</v>
      </c>
      <c r="N185" s="19"/>
      <c r="O185" s="19"/>
      <c r="P185" s="19"/>
      <c r="Q185" s="21"/>
      <c r="R185" s="19"/>
      <c r="S185" s="19"/>
      <c r="T185" s="19"/>
      <c r="U185" s="19"/>
      <c r="V185" s="21"/>
    </row>
    <row r="186" spans="1:22" x14ac:dyDescent="0.3">
      <c r="A186" s="1">
        <v>46026.8125</v>
      </c>
      <c r="B186" s="2">
        <v>12.8</v>
      </c>
      <c r="C186" s="1" t="str">
        <f t="shared" si="6"/>
        <v>0</v>
      </c>
      <c r="D186" s="1" t="str">
        <f t="shared" si="7"/>
        <v>0</v>
      </c>
      <c r="N186" s="19"/>
      <c r="O186" s="19"/>
      <c r="P186" s="19"/>
      <c r="Q186" s="21"/>
      <c r="R186" s="19"/>
      <c r="S186" s="19"/>
      <c r="T186" s="19"/>
      <c r="U186" s="19"/>
      <c r="V186" s="21"/>
    </row>
    <row r="187" spans="1:22" x14ac:dyDescent="0.3">
      <c r="A187" s="1">
        <v>46026.833333333336</v>
      </c>
      <c r="B187" s="2">
        <v>12.8</v>
      </c>
      <c r="C187" s="1" t="str">
        <f t="shared" si="6"/>
        <v>0</v>
      </c>
      <c r="D187" s="1" t="str">
        <f t="shared" si="7"/>
        <v>0</v>
      </c>
      <c r="N187" s="19"/>
      <c r="O187" s="19"/>
      <c r="P187" s="19"/>
      <c r="Q187" s="21"/>
      <c r="R187" s="19"/>
      <c r="S187" s="19"/>
      <c r="T187" s="19"/>
      <c r="U187" s="19"/>
      <c r="V187" s="21"/>
    </row>
    <row r="188" spans="1:22" x14ac:dyDescent="0.3">
      <c r="A188" s="1">
        <v>46026.854166666664</v>
      </c>
      <c r="B188" s="2">
        <v>12.6</v>
      </c>
      <c r="C188" s="1" t="str">
        <f t="shared" si="6"/>
        <v>0</v>
      </c>
      <c r="D188" s="1" t="str">
        <f t="shared" si="7"/>
        <v>0</v>
      </c>
      <c r="N188" s="19"/>
      <c r="O188" s="19"/>
      <c r="P188" s="19"/>
      <c r="Q188" s="21"/>
      <c r="R188" s="19"/>
      <c r="S188" s="19"/>
      <c r="T188" s="19"/>
      <c r="U188" s="19"/>
      <c r="V188" s="21"/>
    </row>
    <row r="189" spans="1:22" x14ac:dyDescent="0.3">
      <c r="A189" s="1">
        <v>46026.875</v>
      </c>
      <c r="B189" s="2">
        <v>12.7</v>
      </c>
      <c r="C189" s="1" t="str">
        <f t="shared" si="6"/>
        <v>0</v>
      </c>
      <c r="D189" s="1" t="str">
        <f t="shared" si="7"/>
        <v>0</v>
      </c>
      <c r="N189" s="19"/>
      <c r="O189" s="19"/>
      <c r="P189" s="19"/>
      <c r="Q189" s="21"/>
      <c r="R189" s="19"/>
      <c r="S189" s="19"/>
      <c r="T189" s="19"/>
      <c r="U189" s="19"/>
      <c r="V189" s="21"/>
    </row>
    <row r="190" spans="1:22" x14ac:dyDescent="0.3">
      <c r="A190" s="1">
        <v>46026.895833333336</v>
      </c>
      <c r="B190" s="2">
        <v>12.6</v>
      </c>
      <c r="C190" s="1" t="str">
        <f t="shared" si="6"/>
        <v>0</v>
      </c>
      <c r="D190" s="1" t="str">
        <f t="shared" si="7"/>
        <v>0</v>
      </c>
      <c r="N190" s="19"/>
      <c r="O190" s="19"/>
      <c r="P190" s="19"/>
      <c r="Q190" s="21"/>
      <c r="R190" s="19"/>
      <c r="S190" s="19"/>
      <c r="T190" s="19"/>
      <c r="U190" s="19"/>
      <c r="V190" s="21"/>
    </row>
    <row r="191" spans="1:22" x14ac:dyDescent="0.3">
      <c r="A191" s="1">
        <v>46026.916666666664</v>
      </c>
      <c r="B191" s="2">
        <v>12.1</v>
      </c>
      <c r="C191" s="1" t="str">
        <f t="shared" si="6"/>
        <v>0</v>
      </c>
      <c r="D191" s="1" t="str">
        <f t="shared" si="7"/>
        <v>0</v>
      </c>
      <c r="N191" s="19"/>
      <c r="O191" s="19"/>
      <c r="P191" s="19"/>
      <c r="Q191" s="21"/>
      <c r="R191" s="19"/>
      <c r="S191" s="19"/>
      <c r="T191" s="19"/>
      <c r="U191" s="19"/>
      <c r="V191" s="21"/>
    </row>
    <row r="192" spans="1:22" x14ac:dyDescent="0.3">
      <c r="A192" s="1">
        <v>46026.9375</v>
      </c>
      <c r="B192" s="2">
        <v>11.9</v>
      </c>
      <c r="C192" s="1" t="str">
        <f t="shared" si="6"/>
        <v>0</v>
      </c>
      <c r="D192" s="1" t="str">
        <f t="shared" si="7"/>
        <v>0</v>
      </c>
      <c r="N192" s="19"/>
      <c r="O192" s="19"/>
      <c r="P192" s="19"/>
      <c r="Q192" s="21"/>
      <c r="R192" s="19"/>
      <c r="S192" s="19"/>
      <c r="T192" s="19"/>
      <c r="U192" s="19"/>
      <c r="V192" s="21"/>
    </row>
    <row r="193" spans="1:22" x14ac:dyDescent="0.3">
      <c r="A193" s="1">
        <v>46026.958333333336</v>
      </c>
      <c r="B193" s="2">
        <v>11.2</v>
      </c>
      <c r="C193" s="1" t="str">
        <f t="shared" si="6"/>
        <v>0</v>
      </c>
      <c r="D193" s="1" t="str">
        <f t="shared" si="7"/>
        <v>0</v>
      </c>
      <c r="N193" s="19"/>
      <c r="O193" s="19"/>
      <c r="P193" s="19"/>
      <c r="Q193" s="21"/>
      <c r="R193" s="19"/>
      <c r="S193" s="19"/>
      <c r="T193" s="19"/>
      <c r="U193" s="19"/>
      <c r="V193" s="21"/>
    </row>
    <row r="194" spans="1:22" x14ac:dyDescent="0.3">
      <c r="A194" s="1">
        <v>46026.979166666664</v>
      </c>
      <c r="B194" s="2">
        <v>10.8</v>
      </c>
      <c r="C194" s="1" t="str">
        <f t="shared" si="6"/>
        <v>0</v>
      </c>
      <c r="D194" s="1" t="str">
        <f t="shared" si="7"/>
        <v>0</v>
      </c>
      <c r="N194" s="19"/>
      <c r="O194" s="19"/>
      <c r="P194" s="19"/>
      <c r="Q194" s="21"/>
      <c r="R194" s="19"/>
      <c r="S194" s="19"/>
      <c r="T194" s="19"/>
      <c r="U194" s="19"/>
      <c r="V194" s="21"/>
    </row>
    <row r="195" spans="1:22" x14ac:dyDescent="0.3">
      <c r="A195" s="1">
        <v>46027</v>
      </c>
      <c r="B195" s="2">
        <v>10.7</v>
      </c>
      <c r="C195" s="1" t="str">
        <f t="shared" ref="C195:C258" si="8">IF(B195=$P$13,A195,"0")</f>
        <v>0</v>
      </c>
      <c r="D195" s="1" t="str">
        <f t="shared" ref="D195:D258" si="9">IF(B195=$M$13,A195,"0")</f>
        <v>0</v>
      </c>
      <c r="N195" s="19"/>
      <c r="O195" s="19"/>
      <c r="P195" s="19"/>
      <c r="Q195" s="21"/>
      <c r="R195" s="19"/>
      <c r="S195" s="19"/>
      <c r="T195" s="19"/>
      <c r="U195" s="19"/>
      <c r="V195" s="21"/>
    </row>
    <row r="196" spans="1:22" x14ac:dyDescent="0.3">
      <c r="A196" s="1">
        <v>46027.020833333336</v>
      </c>
      <c r="B196" s="2">
        <v>10.4</v>
      </c>
      <c r="C196" s="1" t="str">
        <f t="shared" si="8"/>
        <v>0</v>
      </c>
      <c r="D196" s="1" t="str">
        <f t="shared" si="9"/>
        <v>0</v>
      </c>
      <c r="N196" s="19"/>
      <c r="O196" s="19"/>
      <c r="P196" s="19"/>
      <c r="Q196" s="21"/>
      <c r="R196" s="19"/>
      <c r="S196" s="19"/>
      <c r="T196" s="19"/>
      <c r="U196" s="19"/>
      <c r="V196" s="21"/>
    </row>
    <row r="197" spans="1:22" x14ac:dyDescent="0.3">
      <c r="A197" s="1">
        <v>46027.041666666664</v>
      </c>
      <c r="B197" s="2">
        <v>10.6</v>
      </c>
      <c r="C197" s="1" t="str">
        <f t="shared" si="8"/>
        <v>0</v>
      </c>
      <c r="D197" s="1" t="str">
        <f t="shared" si="9"/>
        <v>0</v>
      </c>
      <c r="N197" s="19"/>
      <c r="O197" s="19"/>
      <c r="P197" s="19"/>
      <c r="Q197" s="21"/>
      <c r="R197" s="19"/>
      <c r="S197" s="19"/>
      <c r="T197" s="19"/>
      <c r="U197" s="19"/>
      <c r="V197" s="21"/>
    </row>
    <row r="198" spans="1:22" x14ac:dyDescent="0.3">
      <c r="A198" s="1">
        <v>46027.0625</v>
      </c>
      <c r="B198" s="2">
        <v>10.8</v>
      </c>
      <c r="C198" s="1" t="str">
        <f t="shared" si="8"/>
        <v>0</v>
      </c>
      <c r="D198" s="1" t="str">
        <f t="shared" si="9"/>
        <v>0</v>
      </c>
      <c r="N198" s="19"/>
      <c r="O198" s="19"/>
      <c r="P198" s="19"/>
      <c r="Q198" s="21"/>
      <c r="R198" s="19"/>
      <c r="S198" s="19"/>
      <c r="T198" s="19"/>
      <c r="U198" s="19"/>
      <c r="V198" s="21"/>
    </row>
    <row r="199" spans="1:22" x14ac:dyDescent="0.3">
      <c r="A199" s="1">
        <v>46027.083333333336</v>
      </c>
      <c r="B199" s="2">
        <v>10.4</v>
      </c>
      <c r="C199" s="1" t="str">
        <f t="shared" si="8"/>
        <v>0</v>
      </c>
      <c r="D199" s="1" t="str">
        <f t="shared" si="9"/>
        <v>0</v>
      </c>
      <c r="N199" s="19"/>
      <c r="O199" s="19"/>
      <c r="P199" s="19"/>
      <c r="Q199" s="21"/>
      <c r="R199" s="19"/>
      <c r="S199" s="19"/>
      <c r="T199" s="19"/>
      <c r="U199" s="19"/>
      <c r="V199" s="21"/>
    </row>
    <row r="200" spans="1:22" x14ac:dyDescent="0.3">
      <c r="A200" s="1">
        <v>46027.104166666664</v>
      </c>
      <c r="B200" s="2">
        <v>10</v>
      </c>
      <c r="C200" s="1" t="str">
        <f t="shared" si="8"/>
        <v>0</v>
      </c>
      <c r="D200" s="1" t="str">
        <f t="shared" si="9"/>
        <v>0</v>
      </c>
      <c r="N200" s="19"/>
      <c r="O200" s="19"/>
      <c r="P200" s="19"/>
      <c r="Q200" s="21"/>
      <c r="R200" s="19"/>
      <c r="S200" s="19"/>
      <c r="T200" s="19"/>
      <c r="U200" s="19"/>
      <c r="V200" s="21"/>
    </row>
    <row r="201" spans="1:22" x14ac:dyDescent="0.3">
      <c r="A201" s="1">
        <v>46027.125</v>
      </c>
      <c r="B201" s="2">
        <v>10</v>
      </c>
      <c r="C201" s="1" t="str">
        <f t="shared" si="8"/>
        <v>0</v>
      </c>
      <c r="D201" s="1" t="str">
        <f t="shared" si="9"/>
        <v>0</v>
      </c>
      <c r="N201" s="19"/>
      <c r="O201" s="19"/>
      <c r="P201" s="19"/>
      <c r="Q201" s="21"/>
      <c r="R201" s="19"/>
      <c r="S201" s="19"/>
      <c r="T201" s="19"/>
      <c r="U201" s="19"/>
      <c r="V201" s="21"/>
    </row>
    <row r="202" spans="1:22" x14ac:dyDescent="0.3">
      <c r="A202" s="1">
        <v>46027.145833333336</v>
      </c>
      <c r="B202" s="2">
        <v>10</v>
      </c>
      <c r="C202" s="1" t="str">
        <f t="shared" si="8"/>
        <v>0</v>
      </c>
      <c r="D202" s="1" t="str">
        <f t="shared" si="9"/>
        <v>0</v>
      </c>
      <c r="N202" s="19"/>
      <c r="O202" s="19"/>
      <c r="P202" s="19"/>
      <c r="Q202" s="21"/>
      <c r="R202" s="19"/>
      <c r="S202" s="19"/>
      <c r="T202" s="19"/>
      <c r="U202" s="19"/>
      <c r="V202" s="21"/>
    </row>
    <row r="203" spans="1:22" x14ac:dyDescent="0.3">
      <c r="A203" s="1">
        <v>46027.166666666664</v>
      </c>
      <c r="B203" s="2">
        <v>9.6999999999999993</v>
      </c>
      <c r="C203" s="1" t="str">
        <f t="shared" si="8"/>
        <v>0</v>
      </c>
      <c r="D203" s="1" t="str">
        <f t="shared" si="9"/>
        <v>0</v>
      </c>
      <c r="N203" s="19"/>
      <c r="O203" s="19"/>
      <c r="P203" s="19"/>
      <c r="Q203" s="21"/>
      <c r="R203" s="19"/>
      <c r="S203" s="19"/>
      <c r="T203" s="19"/>
      <c r="U203" s="19"/>
      <c r="V203" s="21"/>
    </row>
    <row r="204" spans="1:22" x14ac:dyDescent="0.3">
      <c r="A204" s="1">
        <v>46027.1875</v>
      </c>
      <c r="B204" s="2">
        <v>9.6999999999999993</v>
      </c>
      <c r="C204" s="1" t="str">
        <f t="shared" si="8"/>
        <v>0</v>
      </c>
      <c r="D204" s="1" t="str">
        <f t="shared" si="9"/>
        <v>0</v>
      </c>
      <c r="N204" s="19"/>
      <c r="O204" s="19"/>
      <c r="P204" s="19"/>
      <c r="Q204" s="21"/>
      <c r="R204" s="19"/>
      <c r="S204" s="19"/>
      <c r="T204" s="19"/>
      <c r="U204" s="19"/>
      <c r="V204" s="21"/>
    </row>
    <row r="205" spans="1:22" x14ac:dyDescent="0.3">
      <c r="A205" s="1">
        <v>46027.208333333336</v>
      </c>
      <c r="B205" s="2">
        <v>9.6999999999999993</v>
      </c>
      <c r="C205" s="1" t="str">
        <f t="shared" si="8"/>
        <v>0</v>
      </c>
      <c r="D205" s="1" t="str">
        <f t="shared" si="9"/>
        <v>0</v>
      </c>
      <c r="N205" s="19"/>
      <c r="O205" s="19"/>
      <c r="P205" s="19"/>
      <c r="Q205" s="21"/>
      <c r="R205" s="19"/>
      <c r="S205" s="19"/>
      <c r="T205" s="19"/>
      <c r="U205" s="19"/>
      <c r="V205" s="21"/>
    </row>
    <row r="206" spans="1:22" x14ac:dyDescent="0.3">
      <c r="A206" s="1">
        <v>46027.229166666664</v>
      </c>
      <c r="B206" s="2">
        <v>10.5</v>
      </c>
      <c r="C206" s="1" t="str">
        <f t="shared" si="8"/>
        <v>0</v>
      </c>
      <c r="D206" s="1" t="str">
        <f t="shared" si="9"/>
        <v>0</v>
      </c>
      <c r="N206" s="19"/>
      <c r="O206" s="19"/>
      <c r="P206" s="19"/>
      <c r="Q206" s="21"/>
      <c r="R206" s="19"/>
      <c r="S206" s="19"/>
      <c r="T206" s="19"/>
      <c r="U206" s="19"/>
      <c r="V206" s="21"/>
    </row>
    <row r="207" spans="1:22" x14ac:dyDescent="0.3">
      <c r="A207" s="1">
        <v>46027.25</v>
      </c>
      <c r="B207" s="2">
        <v>9.9</v>
      </c>
      <c r="C207" s="1" t="str">
        <f t="shared" si="8"/>
        <v>0</v>
      </c>
      <c r="D207" s="1" t="str">
        <f t="shared" si="9"/>
        <v>0</v>
      </c>
      <c r="N207" s="19"/>
      <c r="O207" s="19"/>
      <c r="P207" s="19"/>
      <c r="Q207" s="21"/>
      <c r="R207" s="19"/>
      <c r="S207" s="19"/>
      <c r="T207" s="19"/>
      <c r="U207" s="19"/>
      <c r="V207" s="21"/>
    </row>
    <row r="208" spans="1:22" x14ac:dyDescent="0.3">
      <c r="A208" s="1">
        <v>46027.270833333336</v>
      </c>
      <c r="B208" s="2">
        <v>10</v>
      </c>
      <c r="C208" s="1" t="str">
        <f t="shared" si="8"/>
        <v>0</v>
      </c>
      <c r="D208" s="1" t="str">
        <f t="shared" si="9"/>
        <v>0</v>
      </c>
      <c r="N208" s="19"/>
      <c r="O208" s="19"/>
      <c r="P208" s="19"/>
      <c r="Q208" s="21"/>
      <c r="R208" s="19"/>
      <c r="S208" s="19"/>
      <c r="T208" s="19"/>
      <c r="U208" s="19"/>
      <c r="V208" s="21"/>
    </row>
    <row r="209" spans="1:22" x14ac:dyDescent="0.3">
      <c r="A209" s="1">
        <v>46027.291666666664</v>
      </c>
      <c r="B209" s="2">
        <v>9.5</v>
      </c>
      <c r="C209" s="1" t="str">
        <f t="shared" si="8"/>
        <v>0</v>
      </c>
      <c r="D209" s="1" t="str">
        <f t="shared" si="9"/>
        <v>0</v>
      </c>
      <c r="N209" s="19"/>
      <c r="O209" s="19"/>
      <c r="P209" s="19"/>
      <c r="Q209" s="21"/>
      <c r="R209" s="19"/>
      <c r="S209" s="19"/>
      <c r="T209" s="19"/>
      <c r="U209" s="19"/>
      <c r="V209" s="21"/>
    </row>
    <row r="210" spans="1:22" x14ac:dyDescent="0.3">
      <c r="A210" s="1">
        <v>46027.3125</v>
      </c>
      <c r="B210" s="2">
        <v>9.5</v>
      </c>
      <c r="C210" s="1" t="str">
        <f t="shared" si="8"/>
        <v>0</v>
      </c>
      <c r="D210" s="1" t="str">
        <f t="shared" si="9"/>
        <v>0</v>
      </c>
      <c r="N210" s="19"/>
      <c r="O210" s="19"/>
      <c r="P210" s="19"/>
      <c r="Q210" s="21"/>
      <c r="R210" s="19"/>
      <c r="S210" s="19"/>
      <c r="T210" s="19"/>
      <c r="U210" s="19"/>
      <c r="V210" s="21"/>
    </row>
    <row r="211" spans="1:22" x14ac:dyDescent="0.3">
      <c r="A211" s="1">
        <v>46027.333333333336</v>
      </c>
      <c r="B211" s="2">
        <v>9.4</v>
      </c>
      <c r="C211" s="1" t="str">
        <f t="shared" si="8"/>
        <v>0</v>
      </c>
      <c r="D211" s="1" t="str">
        <f t="shared" si="9"/>
        <v>0</v>
      </c>
      <c r="N211" s="19"/>
      <c r="O211" s="19"/>
      <c r="P211" s="19"/>
      <c r="Q211" s="21"/>
      <c r="R211" s="19"/>
      <c r="S211" s="19"/>
      <c r="T211" s="19"/>
      <c r="U211" s="19"/>
      <c r="V211" s="21"/>
    </row>
    <row r="212" spans="1:22" x14ac:dyDescent="0.3">
      <c r="A212" s="1">
        <v>46027.354166666664</v>
      </c>
      <c r="B212" s="2">
        <v>9.4</v>
      </c>
      <c r="C212" s="1" t="str">
        <f t="shared" si="8"/>
        <v>0</v>
      </c>
      <c r="D212" s="1" t="str">
        <f t="shared" si="9"/>
        <v>0</v>
      </c>
      <c r="N212" s="19"/>
      <c r="O212" s="19"/>
      <c r="P212" s="19"/>
      <c r="Q212" s="21"/>
      <c r="R212" s="19"/>
      <c r="S212" s="19"/>
      <c r="T212" s="19"/>
      <c r="U212" s="19"/>
      <c r="V212" s="21"/>
    </row>
    <row r="213" spans="1:22" x14ac:dyDescent="0.3">
      <c r="A213" s="1">
        <v>46027.375</v>
      </c>
      <c r="B213" s="2">
        <v>9.6999999999999993</v>
      </c>
      <c r="C213" s="1" t="str">
        <f t="shared" si="8"/>
        <v>0</v>
      </c>
      <c r="D213" s="1" t="str">
        <f t="shared" si="9"/>
        <v>0</v>
      </c>
      <c r="N213" s="19"/>
      <c r="O213" s="19"/>
      <c r="P213" s="19"/>
      <c r="Q213" s="21"/>
      <c r="R213" s="19"/>
      <c r="S213" s="19"/>
      <c r="T213" s="19"/>
      <c r="U213" s="19"/>
      <c r="V213" s="21"/>
    </row>
    <row r="214" spans="1:22" x14ac:dyDescent="0.3">
      <c r="A214" s="1">
        <v>46027.395833333336</v>
      </c>
      <c r="B214" s="2">
        <v>10.9</v>
      </c>
      <c r="C214" s="1" t="str">
        <f t="shared" si="8"/>
        <v>0</v>
      </c>
      <c r="D214" s="1" t="str">
        <f t="shared" si="9"/>
        <v>0</v>
      </c>
      <c r="N214" s="19"/>
      <c r="O214" s="19"/>
      <c r="P214" s="19"/>
      <c r="Q214" s="21"/>
      <c r="R214" s="19"/>
      <c r="S214" s="19"/>
      <c r="T214" s="19"/>
      <c r="U214" s="19"/>
      <c r="V214" s="21"/>
    </row>
    <row r="215" spans="1:22" x14ac:dyDescent="0.3">
      <c r="A215" s="1">
        <v>46027.416666666664</v>
      </c>
      <c r="B215" s="2">
        <v>10.199999999999999</v>
      </c>
      <c r="C215" s="1" t="str">
        <f t="shared" si="8"/>
        <v>0</v>
      </c>
      <c r="D215" s="1" t="str">
        <f t="shared" si="9"/>
        <v>0</v>
      </c>
      <c r="N215" s="19"/>
      <c r="O215" s="19"/>
      <c r="P215" s="19"/>
      <c r="Q215" s="21"/>
      <c r="R215" s="19"/>
      <c r="S215" s="19"/>
      <c r="T215" s="19"/>
      <c r="U215" s="19"/>
      <c r="V215" s="21"/>
    </row>
    <row r="216" spans="1:22" x14ac:dyDescent="0.3">
      <c r="A216" s="1">
        <v>46027.4375</v>
      </c>
      <c r="B216" s="2">
        <v>10.4</v>
      </c>
      <c r="C216" s="1" t="str">
        <f t="shared" si="8"/>
        <v>0</v>
      </c>
      <c r="D216" s="1" t="str">
        <f t="shared" si="9"/>
        <v>0</v>
      </c>
      <c r="N216" s="19"/>
      <c r="O216" s="19"/>
      <c r="P216" s="19"/>
      <c r="Q216" s="21"/>
      <c r="R216" s="19"/>
      <c r="S216" s="19"/>
      <c r="T216" s="19"/>
      <c r="U216" s="19"/>
      <c r="V216" s="21"/>
    </row>
    <row r="217" spans="1:22" x14ac:dyDescent="0.3">
      <c r="A217" s="1">
        <v>46027.458333333336</v>
      </c>
      <c r="B217" s="2">
        <v>9.8000000000000007</v>
      </c>
      <c r="C217" s="1" t="str">
        <f t="shared" si="8"/>
        <v>0</v>
      </c>
      <c r="D217" s="1" t="str">
        <f t="shared" si="9"/>
        <v>0</v>
      </c>
      <c r="N217" s="19"/>
      <c r="O217" s="19"/>
      <c r="P217" s="19"/>
      <c r="Q217" s="21"/>
      <c r="R217" s="19"/>
      <c r="S217" s="19"/>
      <c r="T217" s="19"/>
      <c r="U217" s="19"/>
      <c r="V217" s="21"/>
    </row>
    <row r="218" spans="1:22" x14ac:dyDescent="0.3">
      <c r="A218" s="1">
        <v>46027.479166666664</v>
      </c>
      <c r="B218" s="2">
        <v>10.7</v>
      </c>
      <c r="C218" s="1" t="str">
        <f t="shared" si="8"/>
        <v>0</v>
      </c>
      <c r="D218" s="1" t="str">
        <f t="shared" si="9"/>
        <v>0</v>
      </c>
      <c r="N218" s="19"/>
      <c r="O218" s="19"/>
      <c r="P218" s="19"/>
      <c r="Q218" s="21"/>
      <c r="R218" s="19"/>
      <c r="S218" s="19"/>
      <c r="T218" s="19"/>
      <c r="U218" s="19"/>
      <c r="V218" s="21"/>
    </row>
    <row r="219" spans="1:22" x14ac:dyDescent="0.3">
      <c r="A219" s="1">
        <v>46027.5</v>
      </c>
      <c r="B219" s="2">
        <v>11.1</v>
      </c>
      <c r="C219" s="1" t="str">
        <f t="shared" si="8"/>
        <v>0</v>
      </c>
      <c r="D219" s="1" t="str">
        <f t="shared" si="9"/>
        <v>0</v>
      </c>
      <c r="N219" s="19"/>
      <c r="O219" s="19"/>
      <c r="P219" s="19"/>
      <c r="Q219" s="21"/>
      <c r="R219" s="19"/>
      <c r="S219" s="19"/>
      <c r="T219" s="19"/>
      <c r="U219" s="19"/>
      <c r="V219" s="21"/>
    </row>
    <row r="220" spans="1:22" x14ac:dyDescent="0.3">
      <c r="A220" s="1">
        <v>46027.520833333336</v>
      </c>
      <c r="B220" s="2">
        <v>11.6</v>
      </c>
      <c r="C220" s="1" t="str">
        <f t="shared" si="8"/>
        <v>0</v>
      </c>
      <c r="D220" s="1" t="str">
        <f t="shared" si="9"/>
        <v>0</v>
      </c>
      <c r="N220" s="19"/>
      <c r="O220" s="19"/>
      <c r="P220" s="19"/>
      <c r="Q220" s="21"/>
      <c r="R220" s="19"/>
      <c r="S220" s="19"/>
      <c r="T220" s="19"/>
      <c r="U220" s="19"/>
      <c r="V220" s="21"/>
    </row>
    <row r="221" spans="1:22" x14ac:dyDescent="0.3">
      <c r="A221" s="1">
        <v>46027.541666666664</v>
      </c>
      <c r="B221" s="2">
        <v>11.8</v>
      </c>
      <c r="C221" s="1" t="str">
        <f t="shared" si="8"/>
        <v>0</v>
      </c>
      <c r="D221" s="1" t="str">
        <f t="shared" si="9"/>
        <v>0</v>
      </c>
      <c r="N221" s="19"/>
      <c r="O221" s="19"/>
      <c r="P221" s="19"/>
      <c r="Q221" s="21"/>
      <c r="R221" s="19"/>
      <c r="S221" s="19"/>
      <c r="T221" s="19"/>
      <c r="U221" s="19"/>
      <c r="V221" s="21"/>
    </row>
    <row r="222" spans="1:22" x14ac:dyDescent="0.3">
      <c r="A222" s="1">
        <v>46027.5625</v>
      </c>
      <c r="B222" s="2">
        <v>11.9</v>
      </c>
      <c r="C222" s="1" t="str">
        <f t="shared" si="8"/>
        <v>0</v>
      </c>
      <c r="D222" s="1" t="str">
        <f t="shared" si="9"/>
        <v>0</v>
      </c>
      <c r="N222" s="19"/>
      <c r="O222" s="19"/>
      <c r="P222" s="19"/>
      <c r="Q222" s="21"/>
      <c r="R222" s="19"/>
      <c r="S222" s="19"/>
      <c r="T222" s="19"/>
      <c r="U222" s="19"/>
      <c r="V222" s="21"/>
    </row>
    <row r="223" spans="1:22" x14ac:dyDescent="0.3">
      <c r="A223" s="1">
        <v>46027.583333333336</v>
      </c>
      <c r="B223" s="2">
        <v>11.9</v>
      </c>
      <c r="C223" s="1" t="str">
        <f t="shared" si="8"/>
        <v>0</v>
      </c>
      <c r="D223" s="1" t="str">
        <f t="shared" si="9"/>
        <v>0</v>
      </c>
      <c r="N223" s="19"/>
      <c r="O223" s="19"/>
      <c r="P223" s="19"/>
      <c r="Q223" s="21"/>
      <c r="R223" s="19"/>
      <c r="S223" s="19"/>
      <c r="T223" s="19"/>
      <c r="U223" s="19"/>
      <c r="V223" s="21"/>
    </row>
    <row r="224" spans="1:22" x14ac:dyDescent="0.3">
      <c r="A224" s="1">
        <v>46027.604166666664</v>
      </c>
      <c r="B224" s="2">
        <v>11.9</v>
      </c>
      <c r="C224" s="1" t="str">
        <f t="shared" si="8"/>
        <v>0</v>
      </c>
      <c r="D224" s="1" t="str">
        <f t="shared" si="9"/>
        <v>0</v>
      </c>
      <c r="N224" s="19"/>
      <c r="O224" s="19"/>
      <c r="P224" s="19"/>
      <c r="Q224" s="21"/>
      <c r="R224" s="19"/>
      <c r="S224" s="19"/>
      <c r="T224" s="19"/>
      <c r="U224" s="19"/>
      <c r="V224" s="21"/>
    </row>
    <row r="225" spans="1:22" x14ac:dyDescent="0.3">
      <c r="A225" s="1">
        <v>46027.625</v>
      </c>
      <c r="B225" s="2">
        <v>12.2</v>
      </c>
      <c r="C225" s="1" t="str">
        <f t="shared" si="8"/>
        <v>0</v>
      </c>
      <c r="D225" s="1" t="str">
        <f t="shared" si="9"/>
        <v>0</v>
      </c>
      <c r="N225" s="19"/>
      <c r="O225" s="19"/>
      <c r="P225" s="19"/>
      <c r="Q225" s="21"/>
      <c r="R225" s="19"/>
      <c r="S225" s="19"/>
      <c r="T225" s="19"/>
      <c r="U225" s="19"/>
      <c r="V225" s="21"/>
    </row>
    <row r="226" spans="1:22" x14ac:dyDescent="0.3">
      <c r="A226" s="1">
        <v>46027.645833333336</v>
      </c>
      <c r="B226" s="2">
        <v>12</v>
      </c>
      <c r="C226" s="1" t="str">
        <f t="shared" si="8"/>
        <v>0</v>
      </c>
      <c r="D226" s="1" t="str">
        <f t="shared" si="9"/>
        <v>0</v>
      </c>
      <c r="N226" s="19"/>
      <c r="O226" s="19"/>
      <c r="P226" s="19"/>
      <c r="Q226" s="21"/>
      <c r="R226" s="19"/>
      <c r="S226" s="19"/>
      <c r="T226" s="19"/>
      <c r="U226" s="19"/>
      <c r="V226" s="21"/>
    </row>
    <row r="227" spans="1:22" x14ac:dyDescent="0.3">
      <c r="A227" s="1">
        <v>46027.666666666664</v>
      </c>
      <c r="B227" s="2">
        <v>11.3</v>
      </c>
      <c r="C227" s="1" t="str">
        <f t="shared" si="8"/>
        <v>0</v>
      </c>
      <c r="D227" s="1" t="str">
        <f t="shared" si="9"/>
        <v>0</v>
      </c>
      <c r="N227" s="19"/>
      <c r="O227" s="19"/>
      <c r="P227" s="19"/>
      <c r="Q227" s="21"/>
      <c r="R227" s="19"/>
      <c r="S227" s="19"/>
      <c r="T227" s="19"/>
      <c r="U227" s="19"/>
      <c r="V227" s="21"/>
    </row>
    <row r="228" spans="1:22" x14ac:dyDescent="0.3">
      <c r="A228" s="1">
        <v>46027.6875</v>
      </c>
      <c r="B228" s="2">
        <v>11.3</v>
      </c>
      <c r="C228" s="1" t="str">
        <f t="shared" si="8"/>
        <v>0</v>
      </c>
      <c r="D228" s="1" t="str">
        <f t="shared" si="9"/>
        <v>0</v>
      </c>
      <c r="N228" s="19"/>
      <c r="O228" s="19"/>
      <c r="P228" s="19"/>
      <c r="Q228" s="21"/>
      <c r="R228" s="19"/>
      <c r="S228" s="19"/>
      <c r="T228" s="19"/>
      <c r="U228" s="19"/>
      <c r="V228" s="21"/>
    </row>
    <row r="229" spans="1:22" x14ac:dyDescent="0.3">
      <c r="A229" s="1">
        <v>46027.708333333336</v>
      </c>
      <c r="B229" s="2">
        <v>11.5</v>
      </c>
      <c r="C229" s="1" t="str">
        <f t="shared" si="8"/>
        <v>0</v>
      </c>
      <c r="D229" s="1" t="str">
        <f t="shared" si="9"/>
        <v>0</v>
      </c>
      <c r="N229" s="19"/>
      <c r="O229" s="19"/>
      <c r="P229" s="19"/>
      <c r="Q229" s="21"/>
      <c r="R229" s="19"/>
      <c r="S229" s="19"/>
      <c r="T229" s="19"/>
      <c r="U229" s="19"/>
      <c r="V229" s="21"/>
    </row>
    <row r="230" spans="1:22" x14ac:dyDescent="0.3">
      <c r="A230" s="1">
        <v>46027.729166666664</v>
      </c>
      <c r="B230" s="2">
        <v>11.1</v>
      </c>
      <c r="C230" s="1" t="str">
        <f t="shared" si="8"/>
        <v>0</v>
      </c>
      <c r="D230" s="1" t="str">
        <f t="shared" si="9"/>
        <v>0</v>
      </c>
      <c r="N230" s="19"/>
      <c r="O230" s="19"/>
      <c r="P230" s="19"/>
      <c r="Q230" s="21"/>
      <c r="R230" s="19"/>
      <c r="S230" s="19"/>
      <c r="T230" s="19"/>
      <c r="U230" s="19"/>
      <c r="V230" s="21"/>
    </row>
    <row r="231" spans="1:22" x14ac:dyDescent="0.3">
      <c r="A231" s="1">
        <v>46027.75</v>
      </c>
      <c r="B231" s="2">
        <v>11.1</v>
      </c>
      <c r="C231" s="1" t="str">
        <f t="shared" si="8"/>
        <v>0</v>
      </c>
      <c r="D231" s="1" t="str">
        <f t="shared" si="9"/>
        <v>0</v>
      </c>
      <c r="N231" s="19"/>
      <c r="O231" s="19"/>
      <c r="P231" s="19"/>
      <c r="Q231" s="21"/>
      <c r="R231" s="19"/>
      <c r="S231" s="19"/>
      <c r="T231" s="19"/>
      <c r="U231" s="19"/>
      <c r="V231" s="21"/>
    </row>
    <row r="232" spans="1:22" x14ac:dyDescent="0.3">
      <c r="A232" s="1">
        <v>46027.770833333336</v>
      </c>
      <c r="B232" s="2">
        <v>11</v>
      </c>
      <c r="C232" s="1" t="str">
        <f t="shared" si="8"/>
        <v>0</v>
      </c>
      <c r="D232" s="1" t="str">
        <f t="shared" si="9"/>
        <v>0</v>
      </c>
      <c r="N232" s="19"/>
      <c r="O232" s="19"/>
      <c r="P232" s="19"/>
      <c r="Q232" s="21"/>
      <c r="R232" s="19"/>
      <c r="S232" s="19"/>
      <c r="T232" s="19"/>
      <c r="U232" s="19"/>
      <c r="V232" s="21"/>
    </row>
    <row r="233" spans="1:22" x14ac:dyDescent="0.3">
      <c r="A233" s="1">
        <v>46027.791666666664</v>
      </c>
      <c r="B233" s="2">
        <v>10.7</v>
      </c>
      <c r="C233" s="1" t="str">
        <f t="shared" si="8"/>
        <v>0</v>
      </c>
      <c r="D233" s="1" t="str">
        <f t="shared" si="9"/>
        <v>0</v>
      </c>
      <c r="N233" s="19"/>
      <c r="O233" s="19"/>
      <c r="P233" s="19"/>
      <c r="Q233" s="21"/>
      <c r="R233" s="19"/>
      <c r="S233" s="19"/>
      <c r="T233" s="19"/>
      <c r="U233" s="19"/>
      <c r="V233" s="21"/>
    </row>
    <row r="234" spans="1:22" x14ac:dyDescent="0.3">
      <c r="A234" s="1">
        <v>46027.8125</v>
      </c>
      <c r="B234" s="2">
        <v>10.6</v>
      </c>
      <c r="C234" s="1" t="str">
        <f t="shared" si="8"/>
        <v>0</v>
      </c>
      <c r="D234" s="1" t="str">
        <f t="shared" si="9"/>
        <v>0</v>
      </c>
      <c r="N234" s="19"/>
      <c r="O234" s="19"/>
      <c r="P234" s="19"/>
      <c r="Q234" s="21"/>
      <c r="R234" s="19"/>
      <c r="S234" s="19"/>
      <c r="T234" s="19"/>
      <c r="U234" s="19"/>
      <c r="V234" s="21"/>
    </row>
    <row r="235" spans="1:22" x14ac:dyDescent="0.3">
      <c r="A235" s="1">
        <v>46027.833333333336</v>
      </c>
      <c r="B235" s="2">
        <v>10.199999999999999</v>
      </c>
      <c r="C235" s="1" t="str">
        <f t="shared" si="8"/>
        <v>0</v>
      </c>
      <c r="D235" s="1" t="str">
        <f t="shared" si="9"/>
        <v>0</v>
      </c>
      <c r="N235" s="19"/>
      <c r="O235" s="19"/>
      <c r="P235" s="19"/>
      <c r="Q235" s="21"/>
      <c r="R235" s="19"/>
      <c r="S235" s="19"/>
      <c r="T235" s="19"/>
      <c r="U235" s="19"/>
      <c r="V235" s="21"/>
    </row>
    <row r="236" spans="1:22" x14ac:dyDescent="0.3">
      <c r="A236" s="1">
        <v>46027.854166666664</v>
      </c>
      <c r="B236" s="2">
        <v>9.9</v>
      </c>
      <c r="C236" s="1" t="str">
        <f t="shared" si="8"/>
        <v>0</v>
      </c>
      <c r="D236" s="1" t="str">
        <f t="shared" si="9"/>
        <v>0</v>
      </c>
      <c r="N236" s="19"/>
      <c r="O236" s="19"/>
      <c r="P236" s="19"/>
      <c r="Q236" s="21"/>
      <c r="R236" s="19"/>
      <c r="S236" s="19"/>
      <c r="T236" s="19"/>
      <c r="U236" s="19"/>
      <c r="V236" s="21"/>
    </row>
    <row r="237" spans="1:22" x14ac:dyDescent="0.3">
      <c r="A237" s="1">
        <v>46027.875</v>
      </c>
      <c r="B237" s="2">
        <v>9.9</v>
      </c>
      <c r="C237" s="1" t="str">
        <f t="shared" si="8"/>
        <v>0</v>
      </c>
      <c r="D237" s="1" t="str">
        <f t="shared" si="9"/>
        <v>0</v>
      </c>
      <c r="N237" s="19"/>
      <c r="O237" s="19"/>
      <c r="P237" s="19"/>
      <c r="Q237" s="21"/>
      <c r="R237" s="19"/>
      <c r="S237" s="19"/>
      <c r="T237" s="19"/>
      <c r="U237" s="19"/>
      <c r="V237" s="21"/>
    </row>
    <row r="238" spans="1:22" x14ac:dyDescent="0.3">
      <c r="A238" s="1">
        <v>46027.895833333336</v>
      </c>
      <c r="B238" s="2">
        <v>9.8000000000000007</v>
      </c>
      <c r="C238" s="1" t="str">
        <f t="shared" si="8"/>
        <v>0</v>
      </c>
      <c r="D238" s="1" t="str">
        <f t="shared" si="9"/>
        <v>0</v>
      </c>
      <c r="N238" s="19"/>
      <c r="O238" s="19"/>
      <c r="P238" s="19"/>
      <c r="Q238" s="21"/>
      <c r="R238" s="19"/>
      <c r="S238" s="19"/>
      <c r="T238" s="19"/>
      <c r="U238" s="19"/>
      <c r="V238" s="21"/>
    </row>
    <row r="239" spans="1:22" x14ac:dyDescent="0.3">
      <c r="A239" s="1">
        <v>46027.916666666664</v>
      </c>
      <c r="B239" s="2">
        <v>9.6999999999999993</v>
      </c>
      <c r="C239" s="1" t="str">
        <f t="shared" si="8"/>
        <v>0</v>
      </c>
      <c r="D239" s="1" t="str">
        <f t="shared" si="9"/>
        <v>0</v>
      </c>
      <c r="N239" s="19"/>
      <c r="O239" s="19"/>
      <c r="P239" s="19"/>
      <c r="Q239" s="21"/>
      <c r="R239" s="19"/>
      <c r="S239" s="19"/>
      <c r="T239" s="19"/>
      <c r="U239" s="19"/>
      <c r="V239" s="21"/>
    </row>
    <row r="240" spans="1:22" x14ac:dyDescent="0.3">
      <c r="A240" s="1">
        <v>46027.9375</v>
      </c>
      <c r="B240" s="2">
        <v>9.6999999999999993</v>
      </c>
      <c r="C240" s="1" t="str">
        <f t="shared" si="8"/>
        <v>0</v>
      </c>
      <c r="D240" s="1" t="str">
        <f t="shared" si="9"/>
        <v>0</v>
      </c>
      <c r="N240" s="19"/>
      <c r="O240" s="19"/>
      <c r="P240" s="19"/>
      <c r="Q240" s="21"/>
      <c r="R240" s="19"/>
      <c r="S240" s="19"/>
      <c r="T240" s="19"/>
      <c r="U240" s="19"/>
      <c r="V240" s="21"/>
    </row>
    <row r="241" spans="1:22" x14ac:dyDescent="0.3">
      <c r="A241" s="1">
        <v>46027.958333333336</v>
      </c>
      <c r="B241" s="2">
        <v>9.5</v>
      </c>
      <c r="C241" s="1" t="str">
        <f t="shared" si="8"/>
        <v>0</v>
      </c>
      <c r="D241" s="1" t="str">
        <f t="shared" si="9"/>
        <v>0</v>
      </c>
      <c r="N241" s="19"/>
      <c r="O241" s="19"/>
      <c r="P241" s="19"/>
      <c r="Q241" s="21"/>
      <c r="R241" s="19"/>
      <c r="S241" s="19"/>
      <c r="T241" s="19"/>
      <c r="U241" s="19"/>
      <c r="V241" s="21"/>
    </row>
    <row r="242" spans="1:22" x14ac:dyDescent="0.3">
      <c r="A242" s="1">
        <v>46027.979166666664</v>
      </c>
      <c r="B242" s="2">
        <v>9.1</v>
      </c>
      <c r="C242" s="1" t="str">
        <f t="shared" si="8"/>
        <v>0</v>
      </c>
      <c r="D242" s="1" t="str">
        <f t="shared" si="9"/>
        <v>0</v>
      </c>
      <c r="N242" s="19"/>
      <c r="O242" s="19"/>
      <c r="P242" s="19"/>
      <c r="Q242" s="21"/>
      <c r="R242" s="19"/>
      <c r="S242" s="19"/>
      <c r="T242" s="19"/>
      <c r="U242" s="19"/>
      <c r="V242" s="21"/>
    </row>
    <row r="243" spans="1:22" x14ac:dyDescent="0.3">
      <c r="A243" s="1">
        <v>46028</v>
      </c>
      <c r="B243" s="2">
        <v>9.1</v>
      </c>
      <c r="C243" s="1" t="str">
        <f t="shared" si="8"/>
        <v>0</v>
      </c>
      <c r="D243" s="1" t="str">
        <f t="shared" si="9"/>
        <v>0</v>
      </c>
      <c r="N243" s="19"/>
      <c r="O243" s="19"/>
      <c r="P243" s="19"/>
      <c r="Q243" s="21"/>
      <c r="R243" s="19"/>
      <c r="S243" s="19"/>
      <c r="T243" s="19"/>
      <c r="U243" s="19"/>
      <c r="V243" s="21"/>
    </row>
    <row r="244" spans="1:22" x14ac:dyDescent="0.3">
      <c r="A244" s="1">
        <v>46028.020833333336</v>
      </c>
      <c r="B244" s="2">
        <v>9</v>
      </c>
      <c r="C244" s="1" t="str">
        <f t="shared" si="8"/>
        <v>0</v>
      </c>
      <c r="D244" s="1" t="str">
        <f t="shared" si="9"/>
        <v>0</v>
      </c>
      <c r="N244" s="19"/>
      <c r="O244" s="19"/>
      <c r="P244" s="19"/>
      <c r="Q244" s="21"/>
      <c r="R244" s="19"/>
      <c r="S244" s="19"/>
      <c r="T244" s="19"/>
      <c r="U244" s="19"/>
      <c r="V244" s="21"/>
    </row>
    <row r="245" spans="1:22" x14ac:dyDescent="0.3">
      <c r="A245" s="1">
        <v>46028.041666666664</v>
      </c>
      <c r="B245" s="2">
        <v>8.9</v>
      </c>
      <c r="C245" s="1" t="str">
        <f t="shared" si="8"/>
        <v>0</v>
      </c>
      <c r="D245" s="1" t="str">
        <f t="shared" si="9"/>
        <v>0</v>
      </c>
      <c r="N245" s="19"/>
      <c r="O245" s="19"/>
      <c r="P245" s="19"/>
      <c r="Q245" s="21"/>
      <c r="R245" s="19"/>
      <c r="S245" s="19"/>
      <c r="T245" s="19"/>
      <c r="U245" s="19"/>
      <c r="V245" s="21"/>
    </row>
    <row r="246" spans="1:22" x14ac:dyDescent="0.3">
      <c r="A246" s="1">
        <v>46028.0625</v>
      </c>
      <c r="B246" s="2">
        <v>8.8000000000000007</v>
      </c>
      <c r="C246" s="1" t="str">
        <f t="shared" si="8"/>
        <v>0</v>
      </c>
      <c r="D246" s="1" t="str">
        <f t="shared" si="9"/>
        <v>0</v>
      </c>
      <c r="N246" s="19"/>
      <c r="O246" s="19"/>
      <c r="P246" s="19"/>
      <c r="Q246" s="21"/>
      <c r="R246" s="19"/>
      <c r="S246" s="19"/>
      <c r="T246" s="19"/>
      <c r="U246" s="19"/>
      <c r="V246" s="21"/>
    </row>
    <row r="247" spans="1:22" x14ac:dyDescent="0.3">
      <c r="A247" s="1">
        <v>46028.083333333336</v>
      </c>
      <c r="B247" s="2">
        <v>8.6999999999999993</v>
      </c>
      <c r="C247" s="1" t="str">
        <f t="shared" si="8"/>
        <v>0</v>
      </c>
      <c r="D247" s="1" t="str">
        <f t="shared" si="9"/>
        <v>0</v>
      </c>
      <c r="N247" s="19"/>
      <c r="O247" s="19"/>
      <c r="P247" s="19"/>
      <c r="Q247" s="21"/>
      <c r="R247" s="19"/>
      <c r="S247" s="19"/>
      <c r="T247" s="19"/>
      <c r="U247" s="19"/>
      <c r="V247" s="21"/>
    </row>
    <row r="248" spans="1:22" x14ac:dyDescent="0.3">
      <c r="A248" s="1">
        <v>46028.104166666664</v>
      </c>
      <c r="B248" s="2">
        <v>8.6</v>
      </c>
      <c r="C248" s="1" t="str">
        <f t="shared" si="8"/>
        <v>0</v>
      </c>
      <c r="D248" s="1" t="str">
        <f t="shared" si="9"/>
        <v>0</v>
      </c>
      <c r="N248" s="19"/>
      <c r="O248" s="19"/>
      <c r="P248" s="19"/>
      <c r="Q248" s="21"/>
      <c r="R248" s="19"/>
      <c r="S248" s="19"/>
      <c r="T248" s="19"/>
      <c r="U248" s="19"/>
      <c r="V248" s="21"/>
    </row>
    <row r="249" spans="1:22" x14ac:dyDescent="0.3">
      <c r="A249" s="1">
        <v>46028.125</v>
      </c>
      <c r="B249" s="2">
        <v>8.6</v>
      </c>
      <c r="C249" s="1" t="str">
        <f t="shared" si="8"/>
        <v>0</v>
      </c>
      <c r="D249" s="1" t="str">
        <f t="shared" si="9"/>
        <v>0</v>
      </c>
      <c r="N249" s="19"/>
      <c r="O249" s="19"/>
      <c r="P249" s="19"/>
      <c r="Q249" s="21"/>
      <c r="R249" s="19"/>
      <c r="S249" s="19"/>
      <c r="T249" s="19"/>
      <c r="U249" s="19"/>
      <c r="V249" s="21"/>
    </row>
    <row r="250" spans="1:22" x14ac:dyDescent="0.3">
      <c r="A250" s="1">
        <v>46028.145833333336</v>
      </c>
      <c r="B250" s="2">
        <v>8.6</v>
      </c>
      <c r="C250" s="1" t="str">
        <f t="shared" si="8"/>
        <v>0</v>
      </c>
      <c r="D250" s="1" t="str">
        <f t="shared" si="9"/>
        <v>0</v>
      </c>
      <c r="N250" s="19"/>
      <c r="O250" s="19"/>
      <c r="P250" s="19"/>
      <c r="Q250" s="21"/>
      <c r="R250" s="19"/>
      <c r="S250" s="19"/>
      <c r="T250" s="19"/>
      <c r="U250" s="19"/>
      <c r="V250" s="21"/>
    </row>
    <row r="251" spans="1:22" x14ac:dyDescent="0.3">
      <c r="A251" s="1">
        <v>46028.166666666664</v>
      </c>
      <c r="B251" s="2">
        <v>8.6999999999999993</v>
      </c>
      <c r="C251" s="1" t="str">
        <f t="shared" si="8"/>
        <v>0</v>
      </c>
      <c r="D251" s="1" t="str">
        <f t="shared" si="9"/>
        <v>0</v>
      </c>
      <c r="N251" s="19"/>
      <c r="O251" s="19"/>
      <c r="P251" s="19"/>
      <c r="Q251" s="21"/>
      <c r="R251" s="19"/>
      <c r="S251" s="19"/>
      <c r="T251" s="19"/>
      <c r="U251" s="19"/>
      <c r="V251" s="21"/>
    </row>
    <row r="252" spans="1:22" x14ac:dyDescent="0.3">
      <c r="A252" s="1">
        <v>46028.1875</v>
      </c>
      <c r="B252" s="2">
        <v>8.6999999999999993</v>
      </c>
      <c r="C252" s="1" t="str">
        <f t="shared" si="8"/>
        <v>0</v>
      </c>
      <c r="D252" s="1" t="str">
        <f t="shared" si="9"/>
        <v>0</v>
      </c>
      <c r="N252" s="19"/>
      <c r="O252" s="19"/>
      <c r="P252" s="19"/>
      <c r="Q252" s="21"/>
      <c r="R252" s="19"/>
      <c r="S252" s="19"/>
      <c r="T252" s="19"/>
      <c r="U252" s="19"/>
      <c r="V252" s="21"/>
    </row>
    <row r="253" spans="1:22" x14ac:dyDescent="0.3">
      <c r="A253" s="1">
        <v>46028.208333333336</v>
      </c>
      <c r="B253" s="2">
        <v>8.9</v>
      </c>
      <c r="C253" s="1" t="str">
        <f t="shared" si="8"/>
        <v>0</v>
      </c>
      <c r="D253" s="1" t="str">
        <f t="shared" si="9"/>
        <v>0</v>
      </c>
      <c r="N253" s="19"/>
      <c r="O253" s="19"/>
      <c r="P253" s="19"/>
      <c r="Q253" s="21"/>
      <c r="R253" s="19"/>
      <c r="S253" s="19"/>
      <c r="T253" s="19"/>
      <c r="U253" s="19"/>
      <c r="V253" s="21"/>
    </row>
    <row r="254" spans="1:22" x14ac:dyDescent="0.3">
      <c r="A254" s="1">
        <v>46028.229166666664</v>
      </c>
      <c r="B254" s="2">
        <v>9.6</v>
      </c>
      <c r="C254" s="1" t="str">
        <f t="shared" si="8"/>
        <v>0</v>
      </c>
      <c r="D254" s="1" t="str">
        <f t="shared" si="9"/>
        <v>0</v>
      </c>
      <c r="N254" s="19"/>
      <c r="O254" s="19"/>
      <c r="P254" s="19"/>
      <c r="Q254" s="21"/>
      <c r="R254" s="19"/>
      <c r="S254" s="19"/>
      <c r="T254" s="19"/>
      <c r="U254" s="19"/>
      <c r="V254" s="21"/>
    </row>
    <row r="255" spans="1:22" x14ac:dyDescent="0.3">
      <c r="A255" s="1">
        <v>46028.25</v>
      </c>
      <c r="B255" s="2">
        <v>9</v>
      </c>
      <c r="C255" s="1" t="str">
        <f t="shared" si="8"/>
        <v>0</v>
      </c>
      <c r="D255" s="1" t="str">
        <f t="shared" si="9"/>
        <v>0</v>
      </c>
      <c r="N255" s="19"/>
      <c r="O255" s="19"/>
      <c r="P255" s="19"/>
      <c r="Q255" s="21"/>
      <c r="R255" s="19"/>
      <c r="S255" s="19"/>
      <c r="T255" s="19"/>
      <c r="U255" s="19"/>
      <c r="V255" s="21"/>
    </row>
    <row r="256" spans="1:22" x14ac:dyDescent="0.3">
      <c r="A256" s="1">
        <v>46028.270833333336</v>
      </c>
      <c r="B256" s="2">
        <v>8.6999999999999993</v>
      </c>
      <c r="C256" s="1" t="str">
        <f t="shared" si="8"/>
        <v>0</v>
      </c>
      <c r="D256" s="1" t="str">
        <f t="shared" si="9"/>
        <v>0</v>
      </c>
      <c r="N256" s="19"/>
      <c r="O256" s="19"/>
      <c r="P256" s="19"/>
      <c r="Q256" s="21"/>
      <c r="R256" s="19"/>
      <c r="S256" s="19"/>
      <c r="T256" s="19"/>
      <c r="U256" s="19"/>
      <c r="V256" s="21"/>
    </row>
    <row r="257" spans="1:22" x14ac:dyDescent="0.3">
      <c r="A257" s="1">
        <v>46028.291666666664</v>
      </c>
      <c r="B257" s="2">
        <v>8.4</v>
      </c>
      <c r="C257" s="1" t="str">
        <f t="shared" si="8"/>
        <v>0</v>
      </c>
      <c r="D257" s="1" t="str">
        <f t="shared" si="9"/>
        <v>0</v>
      </c>
      <c r="N257" s="19"/>
      <c r="O257" s="19"/>
      <c r="P257" s="19"/>
      <c r="Q257" s="21"/>
      <c r="R257" s="19"/>
      <c r="S257" s="19"/>
      <c r="T257" s="19"/>
      <c r="U257" s="19"/>
      <c r="V257" s="21"/>
    </row>
    <row r="258" spans="1:22" x14ac:dyDescent="0.3">
      <c r="A258" s="1">
        <v>46028.3125</v>
      </c>
      <c r="B258" s="2">
        <v>8.5</v>
      </c>
      <c r="C258" s="1" t="str">
        <f t="shared" si="8"/>
        <v>0</v>
      </c>
      <c r="D258" s="1" t="str">
        <f t="shared" si="9"/>
        <v>0</v>
      </c>
      <c r="N258" s="19"/>
      <c r="O258" s="19"/>
      <c r="P258" s="19"/>
      <c r="Q258" s="21"/>
      <c r="R258" s="19"/>
      <c r="S258" s="19"/>
      <c r="T258" s="19"/>
      <c r="U258" s="19"/>
      <c r="V258" s="21"/>
    </row>
    <row r="259" spans="1:22" x14ac:dyDescent="0.3">
      <c r="A259" s="1">
        <v>46028.333333333336</v>
      </c>
      <c r="B259" s="2">
        <v>8.9</v>
      </c>
      <c r="C259" s="1" t="str">
        <f t="shared" ref="C259:C322" si="10">IF(B259=$P$13,A259,"0")</f>
        <v>0</v>
      </c>
      <c r="D259" s="1" t="str">
        <f t="shared" ref="D259:D322" si="11">IF(B259=$M$13,A259,"0")</f>
        <v>0</v>
      </c>
      <c r="N259" s="19"/>
      <c r="O259" s="19"/>
      <c r="P259" s="19"/>
      <c r="Q259" s="21"/>
      <c r="R259" s="19"/>
      <c r="S259" s="19"/>
      <c r="T259" s="19"/>
      <c r="U259" s="19"/>
      <c r="V259" s="21"/>
    </row>
    <row r="260" spans="1:22" x14ac:dyDescent="0.3">
      <c r="A260" s="1">
        <v>46028.354166666664</v>
      </c>
      <c r="B260" s="2">
        <v>9.4</v>
      </c>
      <c r="C260" s="1" t="str">
        <f t="shared" si="10"/>
        <v>0</v>
      </c>
      <c r="D260" s="1" t="str">
        <f t="shared" si="11"/>
        <v>0</v>
      </c>
      <c r="N260" s="19"/>
      <c r="O260" s="19"/>
      <c r="P260" s="19"/>
      <c r="Q260" s="21"/>
      <c r="R260" s="19"/>
      <c r="S260" s="19"/>
      <c r="T260" s="19"/>
      <c r="U260" s="19"/>
      <c r="V260" s="21"/>
    </row>
    <row r="261" spans="1:22" x14ac:dyDescent="0.3">
      <c r="A261" s="1">
        <v>46028.375</v>
      </c>
      <c r="B261" s="2">
        <v>9.6999999999999993</v>
      </c>
      <c r="C261" s="1" t="str">
        <f t="shared" si="10"/>
        <v>0</v>
      </c>
      <c r="D261" s="1" t="str">
        <f t="shared" si="11"/>
        <v>0</v>
      </c>
      <c r="N261" s="19"/>
      <c r="O261" s="19"/>
      <c r="P261" s="19"/>
      <c r="Q261" s="21"/>
      <c r="R261" s="19"/>
      <c r="S261" s="19"/>
      <c r="T261" s="19"/>
      <c r="U261" s="19"/>
      <c r="V261" s="21"/>
    </row>
    <row r="262" spans="1:22" x14ac:dyDescent="0.3">
      <c r="A262" s="1">
        <v>46028.395833333336</v>
      </c>
      <c r="B262" s="2">
        <v>9.5</v>
      </c>
      <c r="C262" s="1" t="str">
        <f t="shared" si="10"/>
        <v>0</v>
      </c>
      <c r="D262" s="1" t="str">
        <f t="shared" si="11"/>
        <v>0</v>
      </c>
      <c r="N262" s="19"/>
      <c r="O262" s="19"/>
      <c r="P262" s="19"/>
      <c r="Q262" s="21"/>
      <c r="R262" s="19"/>
      <c r="S262" s="19"/>
      <c r="T262" s="19"/>
      <c r="U262" s="19"/>
      <c r="V262" s="21"/>
    </row>
    <row r="263" spans="1:22" x14ac:dyDescent="0.3">
      <c r="A263" s="1">
        <v>46028.416666666664</v>
      </c>
      <c r="B263" s="2">
        <v>10.5</v>
      </c>
      <c r="C263" s="1" t="str">
        <f t="shared" si="10"/>
        <v>0</v>
      </c>
      <c r="D263" s="1" t="str">
        <f t="shared" si="11"/>
        <v>0</v>
      </c>
      <c r="N263" s="19"/>
      <c r="O263" s="19"/>
      <c r="P263" s="19"/>
      <c r="Q263" s="21"/>
      <c r="R263" s="19"/>
      <c r="S263" s="19"/>
      <c r="T263" s="19"/>
      <c r="U263" s="19"/>
      <c r="V263" s="21"/>
    </row>
    <row r="264" spans="1:22" x14ac:dyDescent="0.3">
      <c r="A264" s="1">
        <v>46028.4375</v>
      </c>
      <c r="B264" s="2">
        <v>11.1</v>
      </c>
      <c r="C264" s="1" t="str">
        <f t="shared" si="10"/>
        <v>0</v>
      </c>
      <c r="D264" s="1" t="str">
        <f t="shared" si="11"/>
        <v>0</v>
      </c>
      <c r="N264" s="19"/>
      <c r="O264" s="19"/>
      <c r="P264" s="19"/>
      <c r="Q264" s="21"/>
      <c r="R264" s="19"/>
      <c r="S264" s="19"/>
      <c r="T264" s="19"/>
      <c r="U264" s="19"/>
      <c r="V264" s="21"/>
    </row>
    <row r="265" spans="1:22" x14ac:dyDescent="0.3">
      <c r="A265" s="1">
        <v>46028.458333333336</v>
      </c>
      <c r="B265" s="2">
        <v>11.4</v>
      </c>
      <c r="C265" s="1" t="str">
        <f t="shared" si="10"/>
        <v>0</v>
      </c>
      <c r="D265" s="1" t="str">
        <f t="shared" si="11"/>
        <v>0</v>
      </c>
      <c r="N265" s="19"/>
      <c r="O265" s="19"/>
      <c r="P265" s="19"/>
      <c r="Q265" s="21"/>
      <c r="R265" s="19"/>
      <c r="S265" s="19"/>
      <c r="T265" s="19"/>
      <c r="U265" s="19"/>
      <c r="V265" s="21"/>
    </row>
    <row r="266" spans="1:22" x14ac:dyDescent="0.3">
      <c r="A266" s="1">
        <v>46028.479166666664</v>
      </c>
      <c r="B266" s="2">
        <v>11.3</v>
      </c>
      <c r="C266" s="1" t="str">
        <f t="shared" si="10"/>
        <v>0</v>
      </c>
      <c r="D266" s="1" t="str">
        <f t="shared" si="11"/>
        <v>0</v>
      </c>
      <c r="N266" s="19"/>
      <c r="O266" s="19"/>
      <c r="P266" s="19"/>
      <c r="Q266" s="21"/>
      <c r="R266" s="19"/>
      <c r="S266" s="19"/>
      <c r="T266" s="19"/>
      <c r="U266" s="19"/>
      <c r="V266" s="21"/>
    </row>
    <row r="267" spans="1:22" x14ac:dyDescent="0.3">
      <c r="A267" s="1">
        <v>46028.5</v>
      </c>
      <c r="B267" s="2">
        <v>10.3</v>
      </c>
      <c r="C267" s="1" t="str">
        <f t="shared" si="10"/>
        <v>0</v>
      </c>
      <c r="D267" s="1" t="str">
        <f t="shared" si="11"/>
        <v>0</v>
      </c>
      <c r="N267" s="19"/>
      <c r="O267" s="19"/>
      <c r="P267" s="19"/>
      <c r="Q267" s="21"/>
      <c r="R267" s="19"/>
      <c r="S267" s="19"/>
      <c r="T267" s="19"/>
      <c r="U267" s="19"/>
      <c r="V267" s="21"/>
    </row>
    <row r="268" spans="1:22" x14ac:dyDescent="0.3">
      <c r="A268" s="1">
        <v>46028.520833333336</v>
      </c>
      <c r="B268" s="2">
        <v>9.6999999999999993</v>
      </c>
      <c r="C268" s="1" t="str">
        <f t="shared" si="10"/>
        <v>0</v>
      </c>
      <c r="D268" s="1" t="str">
        <f t="shared" si="11"/>
        <v>0</v>
      </c>
      <c r="N268" s="19"/>
      <c r="O268" s="19"/>
      <c r="P268" s="19"/>
      <c r="Q268" s="21"/>
      <c r="R268" s="19"/>
      <c r="S268" s="19"/>
      <c r="T268" s="19"/>
      <c r="U268" s="19"/>
      <c r="V268" s="21"/>
    </row>
    <row r="269" spans="1:22" x14ac:dyDescent="0.3">
      <c r="A269" s="1">
        <v>46028.541666666664</v>
      </c>
      <c r="B269" s="2">
        <v>9.4</v>
      </c>
      <c r="C269" s="1" t="str">
        <f t="shared" si="10"/>
        <v>0</v>
      </c>
      <c r="D269" s="1" t="str">
        <f t="shared" si="11"/>
        <v>0</v>
      </c>
      <c r="N269" s="19"/>
      <c r="O269" s="19"/>
      <c r="P269" s="19"/>
      <c r="Q269" s="21"/>
      <c r="R269" s="19"/>
      <c r="S269" s="19"/>
      <c r="T269" s="19"/>
      <c r="U269" s="19"/>
      <c r="V269" s="21"/>
    </row>
    <row r="270" spans="1:22" x14ac:dyDescent="0.3">
      <c r="A270" s="1">
        <v>46028.5625</v>
      </c>
      <c r="B270" s="2">
        <v>9.1</v>
      </c>
      <c r="C270" s="1" t="str">
        <f t="shared" si="10"/>
        <v>0</v>
      </c>
      <c r="D270" s="1" t="str">
        <f t="shared" si="11"/>
        <v>0</v>
      </c>
      <c r="N270" s="19"/>
      <c r="O270" s="19"/>
      <c r="P270" s="19"/>
      <c r="Q270" s="21"/>
      <c r="R270" s="19"/>
      <c r="S270" s="19"/>
      <c r="T270" s="19"/>
      <c r="U270" s="19"/>
      <c r="V270" s="21"/>
    </row>
    <row r="271" spans="1:22" x14ac:dyDescent="0.3">
      <c r="A271" s="1">
        <v>46028.583333333336</v>
      </c>
      <c r="B271" s="2">
        <v>8.1999999999999993</v>
      </c>
      <c r="C271" s="1" t="str">
        <f t="shared" si="10"/>
        <v>0</v>
      </c>
      <c r="D271" s="1" t="str">
        <f t="shared" si="11"/>
        <v>0</v>
      </c>
      <c r="N271" s="19"/>
      <c r="O271" s="19"/>
      <c r="P271" s="19"/>
      <c r="Q271" s="21"/>
      <c r="R271" s="19"/>
      <c r="S271" s="19"/>
      <c r="T271" s="19"/>
      <c r="U271" s="19"/>
      <c r="V271" s="21"/>
    </row>
    <row r="272" spans="1:22" x14ac:dyDescent="0.3">
      <c r="A272" s="1">
        <v>46028.604166666664</v>
      </c>
      <c r="B272" s="2">
        <v>7.3</v>
      </c>
      <c r="C272" s="1" t="str">
        <f t="shared" si="10"/>
        <v>0</v>
      </c>
      <c r="D272" s="1" t="str">
        <f t="shared" si="11"/>
        <v>0</v>
      </c>
      <c r="N272" s="19"/>
      <c r="O272" s="19"/>
      <c r="P272" s="19"/>
      <c r="Q272" s="21"/>
      <c r="R272" s="19"/>
      <c r="S272" s="19"/>
      <c r="T272" s="19"/>
      <c r="U272" s="19"/>
      <c r="V272" s="21"/>
    </row>
    <row r="273" spans="1:22" x14ac:dyDescent="0.3">
      <c r="A273" s="1">
        <v>46028.625</v>
      </c>
      <c r="B273" s="2">
        <v>7.1</v>
      </c>
      <c r="C273" s="1" t="str">
        <f t="shared" si="10"/>
        <v>0</v>
      </c>
      <c r="D273" s="1" t="str">
        <f t="shared" si="11"/>
        <v>0</v>
      </c>
      <c r="N273" s="19"/>
      <c r="O273" s="19"/>
      <c r="P273" s="19"/>
      <c r="Q273" s="21"/>
      <c r="R273" s="19"/>
      <c r="S273" s="19"/>
      <c r="T273" s="19"/>
      <c r="U273" s="19"/>
      <c r="V273" s="21"/>
    </row>
    <row r="274" spans="1:22" x14ac:dyDescent="0.3">
      <c r="A274" s="1">
        <v>46028.645833333336</v>
      </c>
      <c r="B274" s="2">
        <v>7</v>
      </c>
      <c r="C274" s="1" t="str">
        <f t="shared" si="10"/>
        <v>0</v>
      </c>
      <c r="D274" s="1" t="str">
        <f t="shared" si="11"/>
        <v>0</v>
      </c>
      <c r="N274" s="19"/>
      <c r="O274" s="19"/>
      <c r="P274" s="19"/>
      <c r="Q274" s="21"/>
      <c r="R274" s="19"/>
      <c r="S274" s="19"/>
      <c r="T274" s="19"/>
      <c r="U274" s="19"/>
      <c r="V274" s="21"/>
    </row>
    <row r="275" spans="1:22" x14ac:dyDescent="0.3">
      <c r="A275" s="1">
        <v>46028.666666666664</v>
      </c>
      <c r="B275" s="2">
        <v>6.9</v>
      </c>
      <c r="C275" s="1" t="str">
        <f t="shared" si="10"/>
        <v>0</v>
      </c>
      <c r="D275" s="1" t="str">
        <f t="shared" si="11"/>
        <v>0</v>
      </c>
      <c r="N275" s="19"/>
      <c r="O275" s="19"/>
      <c r="P275" s="19"/>
      <c r="Q275" s="21"/>
      <c r="R275" s="19"/>
      <c r="S275" s="19"/>
      <c r="T275" s="19"/>
      <c r="U275" s="19"/>
      <c r="V275" s="21"/>
    </row>
    <row r="276" spans="1:22" x14ac:dyDescent="0.3">
      <c r="A276" s="1">
        <v>46028.6875</v>
      </c>
      <c r="B276" s="2">
        <v>6.8</v>
      </c>
      <c r="C276" s="1" t="str">
        <f t="shared" si="10"/>
        <v>0</v>
      </c>
      <c r="D276" s="1" t="str">
        <f t="shared" si="11"/>
        <v>0</v>
      </c>
      <c r="N276" s="19"/>
      <c r="O276" s="19"/>
      <c r="P276" s="19"/>
      <c r="Q276" s="21"/>
      <c r="R276" s="19"/>
      <c r="S276" s="19"/>
      <c r="T276" s="19"/>
      <c r="U276" s="19"/>
      <c r="V276" s="21"/>
    </row>
    <row r="277" spans="1:22" x14ac:dyDescent="0.3">
      <c r="A277" s="1">
        <v>46028.708333333336</v>
      </c>
      <c r="B277" s="2">
        <v>6.6</v>
      </c>
      <c r="C277" s="1" t="str">
        <f t="shared" si="10"/>
        <v>0</v>
      </c>
      <c r="D277" s="1" t="str">
        <f t="shared" si="11"/>
        <v>0</v>
      </c>
      <c r="N277" s="19"/>
      <c r="O277" s="19"/>
      <c r="P277" s="19"/>
      <c r="Q277" s="21"/>
      <c r="R277" s="19"/>
      <c r="S277" s="19"/>
      <c r="T277" s="19"/>
      <c r="U277" s="19"/>
      <c r="V277" s="21"/>
    </row>
    <row r="278" spans="1:22" x14ac:dyDescent="0.3">
      <c r="A278" s="1">
        <v>46028.729166666664</v>
      </c>
      <c r="B278" s="2">
        <v>6.7</v>
      </c>
      <c r="C278" s="1" t="str">
        <f t="shared" si="10"/>
        <v>0</v>
      </c>
      <c r="D278" s="1" t="str">
        <f t="shared" si="11"/>
        <v>0</v>
      </c>
      <c r="N278" s="19"/>
      <c r="O278" s="19"/>
      <c r="P278" s="19"/>
      <c r="Q278" s="21"/>
      <c r="R278" s="19"/>
      <c r="S278" s="19"/>
      <c r="T278" s="19"/>
      <c r="U278" s="19"/>
      <c r="V278" s="21"/>
    </row>
    <row r="279" spans="1:22" x14ac:dyDescent="0.3">
      <c r="A279" s="1">
        <v>46028.75</v>
      </c>
      <c r="B279" s="2">
        <v>6.5</v>
      </c>
      <c r="C279" s="1" t="str">
        <f t="shared" si="10"/>
        <v>0</v>
      </c>
      <c r="D279" s="1" t="str">
        <f t="shared" si="11"/>
        <v>0</v>
      </c>
      <c r="N279" s="19"/>
      <c r="O279" s="19"/>
      <c r="P279" s="19"/>
      <c r="Q279" s="21"/>
      <c r="R279" s="19"/>
      <c r="S279" s="19"/>
      <c r="T279" s="19"/>
      <c r="U279" s="19"/>
      <c r="V279" s="21"/>
    </row>
    <row r="280" spans="1:22" x14ac:dyDescent="0.3">
      <c r="A280" s="1">
        <v>46028.770833333336</v>
      </c>
      <c r="B280" s="2">
        <v>6.5</v>
      </c>
      <c r="C280" s="1" t="str">
        <f t="shared" si="10"/>
        <v>0</v>
      </c>
      <c r="D280" s="1" t="str">
        <f t="shared" si="11"/>
        <v>0</v>
      </c>
      <c r="N280" s="19"/>
      <c r="O280" s="19"/>
      <c r="P280" s="19"/>
      <c r="Q280" s="21"/>
      <c r="R280" s="19"/>
      <c r="S280" s="19"/>
      <c r="T280" s="19"/>
      <c r="U280" s="19"/>
      <c r="V280" s="21"/>
    </row>
    <row r="281" spans="1:22" x14ac:dyDescent="0.3">
      <c r="A281" s="1">
        <v>46028.791666666664</v>
      </c>
      <c r="B281" s="2">
        <v>6.3</v>
      </c>
      <c r="C281" s="1" t="str">
        <f t="shared" si="10"/>
        <v>0</v>
      </c>
      <c r="D281" s="1" t="str">
        <f t="shared" si="11"/>
        <v>0</v>
      </c>
      <c r="N281" s="19"/>
      <c r="O281" s="19"/>
      <c r="P281" s="19"/>
      <c r="Q281" s="21"/>
      <c r="R281" s="19"/>
      <c r="S281" s="19"/>
      <c r="T281" s="19"/>
      <c r="U281" s="19"/>
      <c r="V281" s="21"/>
    </row>
    <row r="282" spans="1:22" x14ac:dyDescent="0.3">
      <c r="A282" s="1">
        <v>46028.8125</v>
      </c>
      <c r="B282" s="2">
        <v>6.1</v>
      </c>
      <c r="C282" s="1" t="str">
        <f t="shared" si="10"/>
        <v>0</v>
      </c>
      <c r="D282" s="1" t="str">
        <f t="shared" si="11"/>
        <v>0</v>
      </c>
      <c r="N282" s="19"/>
      <c r="O282" s="19"/>
      <c r="P282" s="19"/>
      <c r="Q282" s="21"/>
      <c r="R282" s="19"/>
      <c r="S282" s="19"/>
      <c r="T282" s="19"/>
      <c r="U282" s="19"/>
      <c r="V282" s="21"/>
    </row>
    <row r="283" spans="1:22" x14ac:dyDescent="0.3">
      <c r="A283" s="1">
        <v>46028.833333333336</v>
      </c>
      <c r="B283" s="2">
        <v>5.7</v>
      </c>
      <c r="C283" s="1" t="str">
        <f t="shared" si="10"/>
        <v>0</v>
      </c>
      <c r="D283" s="1" t="str">
        <f t="shared" si="11"/>
        <v>0</v>
      </c>
      <c r="N283" s="19"/>
      <c r="O283" s="19"/>
      <c r="P283" s="19"/>
      <c r="Q283" s="21"/>
      <c r="R283" s="19"/>
      <c r="S283" s="19"/>
      <c r="T283" s="19"/>
      <c r="U283" s="19"/>
      <c r="V283" s="21"/>
    </row>
    <row r="284" spans="1:22" x14ac:dyDescent="0.3">
      <c r="A284" s="1">
        <v>46028.854166666664</v>
      </c>
      <c r="B284" s="2">
        <v>5.6</v>
      </c>
      <c r="C284" s="1" t="str">
        <f t="shared" si="10"/>
        <v>0</v>
      </c>
      <c r="D284" s="1" t="str">
        <f t="shared" si="11"/>
        <v>0</v>
      </c>
      <c r="N284" s="19"/>
      <c r="O284" s="19"/>
      <c r="P284" s="19"/>
      <c r="Q284" s="21"/>
      <c r="R284" s="19"/>
      <c r="S284" s="19"/>
      <c r="T284" s="19"/>
      <c r="U284" s="19"/>
      <c r="V284" s="21"/>
    </row>
    <row r="285" spans="1:22" x14ac:dyDescent="0.3">
      <c r="A285" s="1">
        <v>46028.875</v>
      </c>
      <c r="B285" s="2">
        <v>5.4</v>
      </c>
      <c r="C285" s="1" t="str">
        <f t="shared" si="10"/>
        <v>0</v>
      </c>
      <c r="D285" s="1" t="str">
        <f t="shared" si="11"/>
        <v>0</v>
      </c>
      <c r="N285" s="19"/>
      <c r="O285" s="19"/>
      <c r="P285" s="19"/>
      <c r="Q285" s="21"/>
      <c r="R285" s="19"/>
      <c r="S285" s="19"/>
      <c r="T285" s="19"/>
      <c r="U285" s="19"/>
      <c r="V285" s="21"/>
    </row>
    <row r="286" spans="1:22" x14ac:dyDescent="0.3">
      <c r="A286" s="1">
        <v>46028.895833333336</v>
      </c>
      <c r="B286" s="2">
        <v>5.5</v>
      </c>
      <c r="C286" s="1" t="str">
        <f t="shared" si="10"/>
        <v>0</v>
      </c>
      <c r="D286" s="1" t="str">
        <f t="shared" si="11"/>
        <v>0</v>
      </c>
      <c r="N286" s="19"/>
      <c r="O286" s="19"/>
      <c r="P286" s="19"/>
      <c r="Q286" s="21"/>
      <c r="R286" s="19"/>
      <c r="S286" s="19"/>
      <c r="T286" s="19"/>
      <c r="U286" s="19"/>
      <c r="V286" s="21"/>
    </row>
    <row r="287" spans="1:22" x14ac:dyDescent="0.3">
      <c r="A287" s="1">
        <v>46028.916666666664</v>
      </c>
      <c r="B287" s="2">
        <v>5.5</v>
      </c>
      <c r="C287" s="1" t="str">
        <f t="shared" si="10"/>
        <v>0</v>
      </c>
      <c r="D287" s="1" t="str">
        <f t="shared" si="11"/>
        <v>0</v>
      </c>
      <c r="N287" s="19"/>
      <c r="O287" s="19"/>
      <c r="P287" s="19"/>
      <c r="Q287" s="21"/>
      <c r="R287" s="19"/>
      <c r="S287" s="19"/>
      <c r="T287" s="19"/>
      <c r="U287" s="19"/>
      <c r="V287" s="21"/>
    </row>
    <row r="288" spans="1:22" x14ac:dyDescent="0.3">
      <c r="A288" s="1">
        <v>46028.9375</v>
      </c>
      <c r="B288" s="2">
        <v>5.6</v>
      </c>
      <c r="C288" s="1" t="str">
        <f t="shared" si="10"/>
        <v>0</v>
      </c>
      <c r="D288" s="1" t="str">
        <f t="shared" si="11"/>
        <v>0</v>
      </c>
      <c r="N288" s="19"/>
      <c r="O288" s="19"/>
      <c r="P288" s="19"/>
      <c r="Q288" s="21"/>
      <c r="R288" s="19"/>
      <c r="S288" s="19"/>
      <c r="T288" s="19"/>
      <c r="U288" s="19"/>
      <c r="V288" s="21"/>
    </row>
    <row r="289" spans="1:22" x14ac:dyDescent="0.3">
      <c r="A289" s="1">
        <v>46028.958333333336</v>
      </c>
      <c r="B289" s="2">
        <v>5.4</v>
      </c>
      <c r="C289" s="1" t="str">
        <f t="shared" si="10"/>
        <v>0</v>
      </c>
      <c r="D289" s="1" t="str">
        <f t="shared" si="11"/>
        <v>0</v>
      </c>
      <c r="N289" s="19"/>
      <c r="O289" s="19"/>
      <c r="P289" s="19"/>
      <c r="Q289" s="21"/>
      <c r="R289" s="19"/>
      <c r="S289" s="19"/>
      <c r="T289" s="19"/>
      <c r="U289" s="19"/>
      <c r="V289" s="21"/>
    </row>
    <row r="290" spans="1:22" x14ac:dyDescent="0.3">
      <c r="A290" s="1">
        <v>46028.979166666664</v>
      </c>
      <c r="B290" s="2">
        <v>5.4</v>
      </c>
      <c r="C290" s="1" t="str">
        <f t="shared" si="10"/>
        <v>0</v>
      </c>
      <c r="D290" s="1" t="str">
        <f t="shared" si="11"/>
        <v>0</v>
      </c>
      <c r="N290" s="19"/>
      <c r="O290" s="19"/>
      <c r="P290" s="19"/>
      <c r="Q290" s="21"/>
      <c r="R290" s="19"/>
      <c r="S290" s="19"/>
      <c r="T290" s="19"/>
      <c r="U290" s="19"/>
      <c r="V290" s="21"/>
    </row>
    <row r="291" spans="1:22" x14ac:dyDescent="0.3">
      <c r="A291" s="1">
        <v>46029</v>
      </c>
      <c r="B291" s="2">
        <v>5.3</v>
      </c>
      <c r="C291" s="1" t="str">
        <f t="shared" si="10"/>
        <v>0</v>
      </c>
      <c r="D291" s="1" t="str">
        <f t="shared" si="11"/>
        <v>0</v>
      </c>
      <c r="N291" s="19"/>
      <c r="O291" s="19"/>
      <c r="P291" s="19"/>
      <c r="Q291" s="21"/>
      <c r="R291" s="19"/>
      <c r="S291" s="19"/>
      <c r="T291" s="19"/>
      <c r="U291" s="19"/>
      <c r="V291" s="21"/>
    </row>
    <row r="292" spans="1:22" x14ac:dyDescent="0.3">
      <c r="A292" s="1">
        <v>46029.020833333336</v>
      </c>
      <c r="B292" s="2">
        <v>5.4</v>
      </c>
      <c r="C292" s="1" t="str">
        <f t="shared" si="10"/>
        <v>0</v>
      </c>
      <c r="D292" s="1" t="str">
        <f t="shared" si="11"/>
        <v>0</v>
      </c>
      <c r="N292" s="19"/>
      <c r="O292" s="19"/>
      <c r="P292" s="19"/>
      <c r="Q292" s="21"/>
      <c r="R292" s="19"/>
      <c r="S292" s="19"/>
      <c r="T292" s="19"/>
      <c r="U292" s="19"/>
      <c r="V292" s="21"/>
    </row>
    <row r="293" spans="1:22" x14ac:dyDescent="0.3">
      <c r="A293" s="1">
        <v>46029.041666666664</v>
      </c>
      <c r="B293" s="2">
        <v>5.4</v>
      </c>
      <c r="C293" s="1" t="str">
        <f t="shared" si="10"/>
        <v>0</v>
      </c>
      <c r="D293" s="1" t="str">
        <f t="shared" si="11"/>
        <v>0</v>
      </c>
      <c r="N293" s="19"/>
      <c r="O293" s="19"/>
      <c r="P293" s="19"/>
      <c r="Q293" s="21"/>
      <c r="R293" s="19"/>
      <c r="S293" s="19"/>
      <c r="T293" s="19"/>
      <c r="U293" s="19"/>
      <c r="V293" s="21"/>
    </row>
    <row r="294" spans="1:22" x14ac:dyDescent="0.3">
      <c r="A294" s="1">
        <v>46029.0625</v>
      </c>
      <c r="B294" s="2">
        <v>5.4</v>
      </c>
      <c r="C294" s="1" t="str">
        <f t="shared" si="10"/>
        <v>0</v>
      </c>
      <c r="D294" s="1" t="str">
        <f t="shared" si="11"/>
        <v>0</v>
      </c>
      <c r="N294" s="19"/>
      <c r="O294" s="19"/>
      <c r="P294" s="19"/>
      <c r="Q294" s="21"/>
      <c r="R294" s="19"/>
      <c r="S294" s="19"/>
      <c r="T294" s="19"/>
      <c r="U294" s="19"/>
      <c r="V294" s="21"/>
    </row>
    <row r="295" spans="1:22" x14ac:dyDescent="0.3">
      <c r="A295" s="1">
        <v>46029.083333333336</v>
      </c>
      <c r="B295" s="2">
        <v>5.5</v>
      </c>
      <c r="C295" s="1" t="str">
        <f t="shared" si="10"/>
        <v>0</v>
      </c>
      <c r="D295" s="1" t="str">
        <f t="shared" si="11"/>
        <v>0</v>
      </c>
      <c r="N295" s="19"/>
      <c r="O295" s="19"/>
      <c r="P295" s="19"/>
      <c r="Q295" s="21"/>
      <c r="R295" s="19"/>
      <c r="S295" s="19"/>
      <c r="T295" s="19"/>
      <c r="U295" s="19"/>
      <c r="V295" s="21"/>
    </row>
    <row r="296" spans="1:22" x14ac:dyDescent="0.3">
      <c r="A296" s="1">
        <v>46029.104166666664</v>
      </c>
      <c r="B296" s="2">
        <v>5.4</v>
      </c>
      <c r="C296" s="1" t="str">
        <f t="shared" si="10"/>
        <v>0</v>
      </c>
      <c r="D296" s="1" t="str">
        <f t="shared" si="11"/>
        <v>0</v>
      </c>
      <c r="N296" s="19"/>
      <c r="O296" s="19"/>
      <c r="P296" s="19"/>
      <c r="Q296" s="21"/>
      <c r="R296" s="19"/>
      <c r="S296" s="19"/>
      <c r="T296" s="19"/>
      <c r="U296" s="19"/>
      <c r="V296" s="21"/>
    </row>
    <row r="297" spans="1:22" x14ac:dyDescent="0.3">
      <c r="A297" s="1">
        <v>46029.125</v>
      </c>
      <c r="B297" s="2">
        <v>5.2</v>
      </c>
      <c r="C297" s="1" t="str">
        <f t="shared" si="10"/>
        <v>0</v>
      </c>
      <c r="D297" s="1" t="str">
        <f t="shared" si="11"/>
        <v>0</v>
      </c>
      <c r="N297" s="19"/>
      <c r="O297" s="19"/>
      <c r="P297" s="19"/>
      <c r="Q297" s="21"/>
      <c r="R297" s="19"/>
      <c r="S297" s="19"/>
      <c r="T297" s="19"/>
      <c r="U297" s="19"/>
      <c r="V297" s="21"/>
    </row>
    <row r="298" spans="1:22" x14ac:dyDescent="0.3">
      <c r="A298" s="1">
        <v>46029.145833333336</v>
      </c>
      <c r="B298" s="2">
        <v>4.9000000000000004</v>
      </c>
      <c r="C298" s="1" t="str">
        <f t="shared" si="10"/>
        <v>0</v>
      </c>
      <c r="D298" s="1" t="str">
        <f t="shared" si="11"/>
        <v>0</v>
      </c>
      <c r="N298" s="19"/>
      <c r="O298" s="19"/>
      <c r="P298" s="19"/>
      <c r="Q298" s="21"/>
      <c r="R298" s="19"/>
      <c r="S298" s="19"/>
      <c r="T298" s="19"/>
      <c r="U298" s="19"/>
      <c r="V298" s="21"/>
    </row>
    <row r="299" spans="1:22" x14ac:dyDescent="0.3">
      <c r="A299" s="1">
        <v>46029.166666666664</v>
      </c>
      <c r="B299" s="2">
        <v>4.9000000000000004</v>
      </c>
      <c r="C299" s="1" t="str">
        <f t="shared" si="10"/>
        <v>0</v>
      </c>
      <c r="D299" s="1" t="str">
        <f t="shared" si="11"/>
        <v>0</v>
      </c>
      <c r="N299" s="19"/>
      <c r="O299" s="19"/>
      <c r="P299" s="19"/>
      <c r="Q299" s="21"/>
      <c r="R299" s="19"/>
      <c r="S299" s="19"/>
      <c r="T299" s="19"/>
      <c r="U299" s="19"/>
      <c r="V299" s="21"/>
    </row>
    <row r="300" spans="1:22" x14ac:dyDescent="0.3">
      <c r="A300" s="1">
        <v>46029.1875</v>
      </c>
      <c r="B300" s="2">
        <v>4.8</v>
      </c>
      <c r="C300" s="1" t="str">
        <f t="shared" si="10"/>
        <v>0</v>
      </c>
      <c r="D300" s="1" t="str">
        <f t="shared" si="11"/>
        <v>0</v>
      </c>
      <c r="N300" s="19"/>
      <c r="O300" s="19"/>
      <c r="P300" s="19"/>
      <c r="Q300" s="21"/>
      <c r="R300" s="19"/>
      <c r="S300" s="19"/>
      <c r="T300" s="19"/>
      <c r="U300" s="19"/>
      <c r="V300" s="21"/>
    </row>
    <row r="301" spans="1:22" x14ac:dyDescent="0.3">
      <c r="A301" s="1">
        <v>46029.208333333336</v>
      </c>
      <c r="B301" s="2">
        <v>4.7</v>
      </c>
      <c r="C301" s="1" t="str">
        <f t="shared" si="10"/>
        <v>0</v>
      </c>
      <c r="D301" s="1" t="str">
        <f t="shared" si="11"/>
        <v>0</v>
      </c>
      <c r="N301" s="19"/>
      <c r="O301" s="19"/>
      <c r="P301" s="19"/>
      <c r="Q301" s="21"/>
      <c r="R301" s="19"/>
      <c r="S301" s="19"/>
      <c r="T301" s="19"/>
      <c r="U301" s="19"/>
      <c r="V301" s="21"/>
    </row>
    <row r="302" spans="1:22" x14ac:dyDescent="0.3">
      <c r="A302" s="1">
        <v>46029.229166666664</v>
      </c>
      <c r="B302" s="2">
        <v>4.7</v>
      </c>
      <c r="C302" s="1" t="str">
        <f t="shared" si="10"/>
        <v>0</v>
      </c>
      <c r="D302" s="1" t="str">
        <f t="shared" si="11"/>
        <v>0</v>
      </c>
      <c r="N302" s="19"/>
      <c r="O302" s="19"/>
      <c r="P302" s="19"/>
      <c r="Q302" s="21"/>
      <c r="R302" s="19"/>
      <c r="S302" s="19"/>
      <c r="T302" s="19"/>
      <c r="U302" s="19"/>
      <c r="V302" s="21"/>
    </row>
    <row r="303" spans="1:22" x14ac:dyDescent="0.3">
      <c r="A303" s="1">
        <v>46029.25</v>
      </c>
      <c r="B303" s="2">
        <v>4.7</v>
      </c>
      <c r="C303" s="1" t="str">
        <f t="shared" si="10"/>
        <v>0</v>
      </c>
      <c r="D303" s="1" t="str">
        <f t="shared" si="11"/>
        <v>0</v>
      </c>
      <c r="N303" s="19"/>
      <c r="O303" s="19"/>
      <c r="P303" s="19"/>
      <c r="Q303" s="21"/>
      <c r="R303" s="19"/>
      <c r="S303" s="19"/>
      <c r="T303" s="19"/>
      <c r="U303" s="19"/>
      <c r="V303" s="21"/>
    </row>
    <row r="304" spans="1:22" x14ac:dyDescent="0.3">
      <c r="A304" s="1">
        <v>46029.270833333336</v>
      </c>
      <c r="B304" s="2">
        <v>4.5999999999999996</v>
      </c>
      <c r="C304" s="1" t="str">
        <f t="shared" si="10"/>
        <v>0</v>
      </c>
      <c r="D304" s="1" t="str">
        <f t="shared" si="11"/>
        <v>0</v>
      </c>
      <c r="N304" s="19"/>
      <c r="O304" s="19"/>
      <c r="P304" s="19"/>
      <c r="Q304" s="21"/>
      <c r="R304" s="19"/>
      <c r="S304" s="19"/>
      <c r="T304" s="19"/>
      <c r="U304" s="19"/>
      <c r="V304" s="21"/>
    </row>
    <row r="305" spans="1:22" x14ac:dyDescent="0.3">
      <c r="A305" s="1">
        <v>46029.291666666664</v>
      </c>
      <c r="B305" s="2">
        <v>4.5</v>
      </c>
      <c r="C305" s="1" t="str">
        <f t="shared" si="10"/>
        <v>0</v>
      </c>
      <c r="D305" s="1" t="str">
        <f t="shared" si="11"/>
        <v>0</v>
      </c>
      <c r="N305" s="19"/>
      <c r="O305" s="19"/>
      <c r="P305" s="19"/>
      <c r="Q305" s="21"/>
      <c r="R305" s="19"/>
      <c r="S305" s="19"/>
      <c r="T305" s="19"/>
      <c r="U305" s="19"/>
      <c r="V305" s="21"/>
    </row>
    <row r="306" spans="1:22" x14ac:dyDescent="0.3">
      <c r="A306" s="1">
        <v>46029.3125</v>
      </c>
      <c r="B306" s="2">
        <v>4.4000000000000004</v>
      </c>
      <c r="C306" s="1" t="str">
        <f t="shared" si="10"/>
        <v>0</v>
      </c>
      <c r="D306" s="1" t="str">
        <f t="shared" si="11"/>
        <v>0</v>
      </c>
      <c r="N306" s="19"/>
      <c r="O306" s="19"/>
      <c r="P306" s="19"/>
      <c r="Q306" s="21"/>
      <c r="R306" s="19"/>
      <c r="S306" s="19"/>
      <c r="T306" s="19"/>
      <c r="U306" s="19"/>
      <c r="V306" s="21"/>
    </row>
    <row r="307" spans="1:22" x14ac:dyDescent="0.3">
      <c r="A307" s="1">
        <v>46029.333333333336</v>
      </c>
      <c r="B307" s="2">
        <v>4.4000000000000004</v>
      </c>
      <c r="C307" s="1" t="str">
        <f t="shared" si="10"/>
        <v>0</v>
      </c>
      <c r="D307" s="1" t="str">
        <f t="shared" si="11"/>
        <v>0</v>
      </c>
      <c r="N307" s="19"/>
      <c r="O307" s="19"/>
      <c r="P307" s="19"/>
      <c r="Q307" s="21"/>
      <c r="R307" s="19"/>
      <c r="S307" s="19"/>
      <c r="T307" s="19"/>
      <c r="U307" s="19"/>
      <c r="V307" s="21"/>
    </row>
    <row r="308" spans="1:22" x14ac:dyDescent="0.3">
      <c r="A308" s="1">
        <v>46029.354166666664</v>
      </c>
      <c r="B308" s="2">
        <v>4.8</v>
      </c>
      <c r="C308" s="1" t="str">
        <f t="shared" si="10"/>
        <v>0</v>
      </c>
      <c r="D308" s="1" t="str">
        <f t="shared" si="11"/>
        <v>0</v>
      </c>
      <c r="N308" s="19"/>
      <c r="O308" s="19"/>
      <c r="P308" s="19"/>
      <c r="Q308" s="21"/>
      <c r="R308" s="19"/>
      <c r="S308" s="19"/>
      <c r="T308" s="19"/>
      <c r="U308" s="19"/>
      <c r="V308" s="21"/>
    </row>
    <row r="309" spans="1:22" x14ac:dyDescent="0.3">
      <c r="A309" s="1">
        <v>46029.375</v>
      </c>
      <c r="B309" s="2">
        <v>5.3</v>
      </c>
      <c r="C309" s="1" t="str">
        <f t="shared" si="10"/>
        <v>0</v>
      </c>
      <c r="D309" s="1" t="str">
        <f t="shared" si="11"/>
        <v>0</v>
      </c>
      <c r="N309" s="19"/>
      <c r="O309" s="19"/>
      <c r="P309" s="19"/>
      <c r="Q309" s="21"/>
      <c r="R309" s="19"/>
      <c r="S309" s="19"/>
      <c r="T309" s="19"/>
      <c r="U309" s="19"/>
      <c r="V309" s="21"/>
    </row>
    <row r="310" spans="1:22" x14ac:dyDescent="0.3">
      <c r="A310" s="1">
        <v>46029.395833333336</v>
      </c>
      <c r="B310" s="2">
        <v>5.6</v>
      </c>
      <c r="C310" s="1" t="str">
        <f t="shared" si="10"/>
        <v>0</v>
      </c>
      <c r="D310" s="1" t="str">
        <f t="shared" si="11"/>
        <v>0</v>
      </c>
      <c r="N310" s="19"/>
      <c r="O310" s="19"/>
      <c r="P310" s="19"/>
      <c r="Q310" s="21"/>
      <c r="R310" s="19"/>
      <c r="S310" s="19"/>
      <c r="T310" s="19"/>
      <c r="U310" s="19"/>
      <c r="V310" s="21"/>
    </row>
    <row r="311" spans="1:22" x14ac:dyDescent="0.3">
      <c r="A311" s="1">
        <v>46029.416666666664</v>
      </c>
      <c r="B311" s="2">
        <v>5.9</v>
      </c>
      <c r="C311" s="1" t="str">
        <f t="shared" si="10"/>
        <v>0</v>
      </c>
      <c r="D311" s="1" t="str">
        <f t="shared" si="11"/>
        <v>0</v>
      </c>
      <c r="N311" s="19"/>
      <c r="O311" s="19"/>
      <c r="P311" s="19"/>
      <c r="Q311" s="21"/>
      <c r="R311" s="19"/>
      <c r="S311" s="19"/>
      <c r="T311" s="19"/>
      <c r="U311" s="19"/>
      <c r="V311" s="21"/>
    </row>
    <row r="312" spans="1:22" x14ac:dyDescent="0.3">
      <c r="A312" s="1">
        <v>46029.4375</v>
      </c>
      <c r="B312" s="2">
        <v>6</v>
      </c>
      <c r="C312" s="1" t="str">
        <f t="shared" si="10"/>
        <v>0</v>
      </c>
      <c r="D312" s="1" t="str">
        <f t="shared" si="11"/>
        <v>0</v>
      </c>
      <c r="N312" s="19"/>
      <c r="O312" s="19"/>
      <c r="P312" s="19"/>
      <c r="Q312" s="21"/>
      <c r="R312" s="19"/>
      <c r="S312" s="19"/>
      <c r="T312" s="19"/>
      <c r="U312" s="19"/>
      <c r="V312" s="21"/>
    </row>
    <row r="313" spans="1:22" x14ac:dyDescent="0.3">
      <c r="A313" s="1">
        <v>46029.458333333336</v>
      </c>
      <c r="B313" s="2">
        <v>6.6</v>
      </c>
      <c r="C313" s="1" t="str">
        <f t="shared" si="10"/>
        <v>0</v>
      </c>
      <c r="D313" s="1" t="str">
        <f t="shared" si="11"/>
        <v>0</v>
      </c>
      <c r="N313" s="19"/>
      <c r="O313" s="19"/>
      <c r="P313" s="19"/>
      <c r="Q313" s="21"/>
      <c r="R313" s="19"/>
      <c r="S313" s="19"/>
      <c r="T313" s="19"/>
      <c r="U313" s="19"/>
      <c r="V313" s="21"/>
    </row>
    <row r="314" spans="1:22" x14ac:dyDescent="0.3">
      <c r="A314" s="1">
        <v>46029.479166666664</v>
      </c>
      <c r="B314" s="2">
        <v>6.9</v>
      </c>
      <c r="C314" s="1" t="str">
        <f t="shared" si="10"/>
        <v>0</v>
      </c>
      <c r="D314" s="1" t="str">
        <f t="shared" si="11"/>
        <v>0</v>
      </c>
      <c r="N314" s="19"/>
      <c r="O314" s="19"/>
      <c r="P314" s="19"/>
      <c r="Q314" s="21"/>
      <c r="R314" s="19"/>
      <c r="S314" s="19"/>
      <c r="T314" s="19"/>
      <c r="U314" s="19"/>
      <c r="V314" s="21"/>
    </row>
    <row r="315" spans="1:22" x14ac:dyDescent="0.3">
      <c r="A315" s="1">
        <v>46029.5</v>
      </c>
      <c r="B315" s="2">
        <v>7.3</v>
      </c>
      <c r="C315" s="1" t="str">
        <f t="shared" si="10"/>
        <v>0</v>
      </c>
      <c r="D315" s="1" t="str">
        <f t="shared" si="11"/>
        <v>0</v>
      </c>
      <c r="N315" s="19"/>
      <c r="O315" s="19"/>
      <c r="P315" s="19"/>
      <c r="Q315" s="21"/>
      <c r="R315" s="19"/>
      <c r="S315" s="19"/>
      <c r="T315" s="19"/>
      <c r="U315" s="19"/>
      <c r="V315" s="21"/>
    </row>
    <row r="316" spans="1:22" x14ac:dyDescent="0.3">
      <c r="A316" s="1">
        <v>46029.520833333336</v>
      </c>
      <c r="B316" s="2">
        <v>7.4</v>
      </c>
      <c r="C316" s="1" t="str">
        <f t="shared" si="10"/>
        <v>0</v>
      </c>
      <c r="D316" s="1" t="str">
        <f t="shared" si="11"/>
        <v>0</v>
      </c>
      <c r="N316" s="19"/>
      <c r="O316" s="19"/>
      <c r="P316" s="19"/>
      <c r="Q316" s="21"/>
      <c r="R316" s="19"/>
      <c r="S316" s="19"/>
      <c r="T316" s="19"/>
      <c r="U316" s="19"/>
      <c r="V316" s="21"/>
    </row>
    <row r="317" spans="1:22" x14ac:dyDescent="0.3">
      <c r="A317" s="1">
        <v>46029.541666666664</v>
      </c>
      <c r="B317" s="2">
        <v>7.5</v>
      </c>
      <c r="C317" s="1" t="str">
        <f t="shared" si="10"/>
        <v>0</v>
      </c>
      <c r="D317" s="1" t="str">
        <f t="shared" si="11"/>
        <v>0</v>
      </c>
      <c r="N317" s="19"/>
      <c r="O317" s="19"/>
      <c r="P317" s="19"/>
      <c r="Q317" s="21"/>
      <c r="R317" s="19"/>
      <c r="S317" s="19"/>
      <c r="T317" s="19"/>
      <c r="U317" s="19"/>
      <c r="V317" s="21"/>
    </row>
    <row r="318" spans="1:22" x14ac:dyDescent="0.3">
      <c r="A318" s="1">
        <v>46029.5625</v>
      </c>
      <c r="B318" s="2">
        <v>7.4</v>
      </c>
      <c r="C318" s="1" t="str">
        <f t="shared" si="10"/>
        <v>0</v>
      </c>
      <c r="D318" s="1" t="str">
        <f t="shared" si="11"/>
        <v>0</v>
      </c>
      <c r="N318" s="19"/>
      <c r="O318" s="19"/>
      <c r="P318" s="19"/>
      <c r="Q318" s="21"/>
      <c r="R318" s="19"/>
      <c r="S318" s="19"/>
      <c r="T318" s="19"/>
      <c r="U318" s="19"/>
      <c r="V318" s="21"/>
    </row>
    <row r="319" spans="1:22" x14ac:dyDescent="0.3">
      <c r="A319" s="1">
        <v>46029.583333333336</v>
      </c>
      <c r="B319" s="2">
        <v>7.5</v>
      </c>
      <c r="C319" s="1" t="str">
        <f t="shared" si="10"/>
        <v>0</v>
      </c>
      <c r="D319" s="1" t="str">
        <f t="shared" si="11"/>
        <v>0</v>
      </c>
      <c r="N319" s="19"/>
      <c r="O319" s="19"/>
      <c r="P319" s="19"/>
      <c r="Q319" s="21"/>
      <c r="R319" s="19"/>
      <c r="S319" s="19"/>
      <c r="T319" s="19"/>
      <c r="U319" s="19"/>
      <c r="V319" s="21"/>
    </row>
    <row r="320" spans="1:22" x14ac:dyDescent="0.3">
      <c r="A320" s="1">
        <v>46029.604166666664</v>
      </c>
      <c r="B320" s="2">
        <v>7.1</v>
      </c>
      <c r="C320" s="1" t="str">
        <f t="shared" si="10"/>
        <v>0</v>
      </c>
      <c r="D320" s="1" t="str">
        <f t="shared" si="11"/>
        <v>0</v>
      </c>
      <c r="N320" s="19"/>
      <c r="O320" s="19"/>
      <c r="P320" s="19"/>
      <c r="Q320" s="21"/>
      <c r="R320" s="19"/>
      <c r="S320" s="19"/>
      <c r="T320" s="19"/>
      <c r="U320" s="19"/>
      <c r="V320" s="21"/>
    </row>
    <row r="321" spans="1:22" x14ac:dyDescent="0.3">
      <c r="A321" s="1">
        <v>46029.625</v>
      </c>
      <c r="B321" s="2">
        <v>7</v>
      </c>
      <c r="C321" s="1" t="str">
        <f t="shared" si="10"/>
        <v>0</v>
      </c>
      <c r="D321" s="1" t="str">
        <f t="shared" si="11"/>
        <v>0</v>
      </c>
      <c r="N321" s="19"/>
      <c r="O321" s="19"/>
      <c r="P321" s="19"/>
      <c r="Q321" s="21"/>
      <c r="R321" s="19"/>
      <c r="S321" s="19"/>
      <c r="T321" s="19"/>
      <c r="U321" s="19"/>
      <c r="V321" s="21"/>
    </row>
    <row r="322" spans="1:22" x14ac:dyDescent="0.3">
      <c r="A322" s="1">
        <v>46029.645833333336</v>
      </c>
      <c r="B322" s="2">
        <v>6.5</v>
      </c>
      <c r="C322" s="1" t="str">
        <f t="shared" si="10"/>
        <v>0</v>
      </c>
      <c r="D322" s="1" t="str">
        <f t="shared" si="11"/>
        <v>0</v>
      </c>
      <c r="N322" s="19"/>
      <c r="O322" s="19"/>
      <c r="P322" s="19"/>
      <c r="Q322" s="21"/>
      <c r="R322" s="19"/>
      <c r="S322" s="19"/>
      <c r="T322" s="19"/>
      <c r="U322" s="19"/>
      <c r="V322" s="21"/>
    </row>
    <row r="323" spans="1:22" x14ac:dyDescent="0.3">
      <c r="A323" s="1">
        <v>46029.666666666664</v>
      </c>
      <c r="B323" s="2">
        <v>6</v>
      </c>
      <c r="C323" s="1" t="str">
        <f t="shared" ref="C323:C386" si="12">IF(B323=$P$13,A323,"0")</f>
        <v>0</v>
      </c>
      <c r="D323" s="1" t="str">
        <f t="shared" ref="D323:D386" si="13">IF(B323=$M$13,A323,"0")</f>
        <v>0</v>
      </c>
      <c r="N323" s="19"/>
      <c r="O323" s="19"/>
      <c r="P323" s="19"/>
      <c r="Q323" s="21"/>
      <c r="R323" s="19"/>
      <c r="S323" s="19"/>
      <c r="T323" s="19"/>
      <c r="U323" s="19"/>
      <c r="V323" s="21"/>
    </row>
    <row r="324" spans="1:22" x14ac:dyDescent="0.3">
      <c r="A324" s="1">
        <v>46029.6875</v>
      </c>
      <c r="B324" s="2">
        <v>5.7</v>
      </c>
      <c r="C324" s="1" t="str">
        <f t="shared" si="12"/>
        <v>0</v>
      </c>
      <c r="D324" s="1" t="str">
        <f t="shared" si="13"/>
        <v>0</v>
      </c>
      <c r="N324" s="19"/>
      <c r="O324" s="19"/>
      <c r="P324" s="19"/>
      <c r="Q324" s="21"/>
      <c r="R324" s="19"/>
      <c r="S324" s="19"/>
      <c r="T324" s="19"/>
      <c r="U324" s="19"/>
      <c r="V324" s="21"/>
    </row>
    <row r="325" spans="1:22" x14ac:dyDescent="0.3">
      <c r="A325" s="1">
        <v>46029.708333333336</v>
      </c>
      <c r="B325" s="2">
        <v>5.2</v>
      </c>
      <c r="C325" s="1" t="str">
        <f t="shared" si="12"/>
        <v>0</v>
      </c>
      <c r="D325" s="1" t="str">
        <f t="shared" si="13"/>
        <v>0</v>
      </c>
      <c r="N325" s="19"/>
      <c r="O325" s="19"/>
      <c r="P325" s="19"/>
      <c r="Q325" s="21"/>
      <c r="R325" s="19"/>
      <c r="S325" s="19"/>
      <c r="T325" s="19"/>
      <c r="U325" s="19"/>
      <c r="V325" s="21"/>
    </row>
    <row r="326" spans="1:22" x14ac:dyDescent="0.3">
      <c r="A326" s="1">
        <v>46029.729166666664</v>
      </c>
      <c r="B326" s="2">
        <v>4.7</v>
      </c>
      <c r="C326" s="1" t="str">
        <f t="shared" si="12"/>
        <v>0</v>
      </c>
      <c r="D326" s="1" t="str">
        <f t="shared" si="13"/>
        <v>0</v>
      </c>
      <c r="N326" s="19"/>
      <c r="O326" s="19"/>
      <c r="P326" s="19"/>
      <c r="Q326" s="21"/>
      <c r="R326" s="19"/>
      <c r="S326" s="19"/>
      <c r="T326" s="19"/>
      <c r="U326" s="19"/>
      <c r="V326" s="21"/>
    </row>
    <row r="327" spans="1:22" x14ac:dyDescent="0.3">
      <c r="A327" s="1">
        <v>46029.75</v>
      </c>
      <c r="B327" s="2">
        <v>4.4000000000000004</v>
      </c>
      <c r="C327" s="1" t="str">
        <f t="shared" si="12"/>
        <v>0</v>
      </c>
      <c r="D327" s="1" t="str">
        <f t="shared" si="13"/>
        <v>0</v>
      </c>
      <c r="N327" s="19"/>
      <c r="O327" s="19"/>
      <c r="P327" s="19"/>
      <c r="Q327" s="21"/>
      <c r="R327" s="19"/>
      <c r="S327" s="19"/>
      <c r="T327" s="19"/>
      <c r="U327" s="19"/>
      <c r="V327" s="21"/>
    </row>
    <row r="328" spans="1:22" x14ac:dyDescent="0.3">
      <c r="A328" s="1">
        <v>46029.770833333336</v>
      </c>
      <c r="B328" s="2">
        <v>4.3</v>
      </c>
      <c r="C328" s="1" t="str">
        <f t="shared" si="12"/>
        <v>0</v>
      </c>
      <c r="D328" s="1" t="str">
        <f t="shared" si="13"/>
        <v>0</v>
      </c>
      <c r="N328" s="19"/>
      <c r="O328" s="19"/>
      <c r="P328" s="19"/>
      <c r="Q328" s="21"/>
      <c r="R328" s="19"/>
      <c r="S328" s="19"/>
      <c r="T328" s="19"/>
      <c r="U328" s="19"/>
      <c r="V328" s="21"/>
    </row>
    <row r="329" spans="1:22" x14ac:dyDescent="0.3">
      <c r="A329" s="1">
        <v>46029.791666666664</v>
      </c>
      <c r="B329" s="2">
        <v>4.2</v>
      </c>
      <c r="C329" s="1" t="str">
        <f t="shared" si="12"/>
        <v>0</v>
      </c>
      <c r="D329" s="1" t="str">
        <f t="shared" si="13"/>
        <v>0</v>
      </c>
      <c r="N329" s="19"/>
      <c r="O329" s="19"/>
      <c r="P329" s="19"/>
      <c r="Q329" s="21"/>
      <c r="R329" s="19"/>
      <c r="S329" s="19"/>
      <c r="T329" s="19"/>
      <c r="U329" s="19"/>
      <c r="V329" s="21"/>
    </row>
    <row r="330" spans="1:22" x14ac:dyDescent="0.3">
      <c r="A330" s="1">
        <v>46029.8125</v>
      </c>
      <c r="B330" s="2">
        <v>4</v>
      </c>
      <c r="C330" s="1" t="str">
        <f t="shared" si="12"/>
        <v>0</v>
      </c>
      <c r="D330" s="1" t="str">
        <f t="shared" si="13"/>
        <v>0</v>
      </c>
      <c r="N330" s="19"/>
      <c r="O330" s="19"/>
      <c r="P330" s="19"/>
      <c r="Q330" s="21"/>
      <c r="R330" s="19"/>
      <c r="S330" s="19"/>
      <c r="T330" s="19"/>
      <c r="U330" s="19"/>
      <c r="V330" s="21"/>
    </row>
    <row r="331" spans="1:22" x14ac:dyDescent="0.3">
      <c r="A331" s="1">
        <v>46029.833333333336</v>
      </c>
      <c r="B331" s="2">
        <v>4.0999999999999996</v>
      </c>
      <c r="C331" s="1" t="str">
        <f t="shared" si="12"/>
        <v>0</v>
      </c>
      <c r="D331" s="1" t="str">
        <f t="shared" si="13"/>
        <v>0</v>
      </c>
      <c r="N331" s="19"/>
      <c r="O331" s="19"/>
      <c r="P331" s="19"/>
      <c r="Q331" s="21"/>
      <c r="R331" s="19"/>
      <c r="S331" s="19"/>
      <c r="T331" s="19"/>
      <c r="U331" s="19"/>
      <c r="V331" s="21"/>
    </row>
    <row r="332" spans="1:22" x14ac:dyDescent="0.3">
      <c r="A332" s="1">
        <v>46029.854166666664</v>
      </c>
      <c r="B332" s="2">
        <v>4</v>
      </c>
      <c r="C332" s="1" t="str">
        <f t="shared" si="12"/>
        <v>0</v>
      </c>
      <c r="D332" s="1" t="str">
        <f t="shared" si="13"/>
        <v>0</v>
      </c>
      <c r="N332" s="19"/>
      <c r="O332" s="19"/>
      <c r="P332" s="19"/>
      <c r="Q332" s="21"/>
      <c r="R332" s="19"/>
      <c r="S332" s="19"/>
      <c r="T332" s="19"/>
      <c r="U332" s="19"/>
      <c r="V332" s="21"/>
    </row>
    <row r="333" spans="1:22" x14ac:dyDescent="0.3">
      <c r="A333" s="1">
        <v>46029.863356481481</v>
      </c>
      <c r="B333" s="2">
        <v>3.8</v>
      </c>
      <c r="C333" s="1" t="str">
        <f t="shared" si="12"/>
        <v>0</v>
      </c>
      <c r="D333" s="1" t="str">
        <f t="shared" si="13"/>
        <v>0</v>
      </c>
      <c r="N333" s="19"/>
      <c r="O333" s="19"/>
      <c r="P333" s="19"/>
      <c r="Q333" s="21"/>
      <c r="R333" s="19"/>
      <c r="S333" s="19"/>
      <c r="T333" s="19"/>
      <c r="U333" s="19"/>
      <c r="V333" s="21"/>
    </row>
    <row r="334" spans="1:22" x14ac:dyDescent="0.3">
      <c r="A334" s="1">
        <v>46029.875</v>
      </c>
      <c r="B334" s="2">
        <v>3.6</v>
      </c>
      <c r="C334" s="1" t="str">
        <f t="shared" si="12"/>
        <v>0</v>
      </c>
      <c r="D334" s="1" t="str">
        <f t="shared" si="13"/>
        <v>0</v>
      </c>
      <c r="N334" s="19"/>
      <c r="O334" s="19"/>
      <c r="P334" s="19"/>
      <c r="Q334" s="21"/>
      <c r="R334" s="19"/>
      <c r="S334" s="19"/>
      <c r="T334" s="19"/>
      <c r="U334" s="19"/>
      <c r="V334" s="21"/>
    </row>
    <row r="335" spans="1:22" x14ac:dyDescent="0.3">
      <c r="A335" s="1">
        <v>46029.895833333336</v>
      </c>
      <c r="B335" s="2">
        <v>3.4</v>
      </c>
      <c r="C335" s="1" t="str">
        <f t="shared" si="12"/>
        <v>0</v>
      </c>
      <c r="D335" s="1" t="str">
        <f t="shared" si="13"/>
        <v>0</v>
      </c>
      <c r="N335" s="19"/>
      <c r="O335" s="19"/>
      <c r="P335" s="19"/>
      <c r="Q335" s="21"/>
      <c r="R335" s="19"/>
      <c r="S335" s="19"/>
      <c r="T335" s="19"/>
      <c r="U335" s="19"/>
      <c r="V335" s="21"/>
    </row>
    <row r="336" spans="1:22" x14ac:dyDescent="0.3">
      <c r="A336" s="1">
        <v>46029.916666666664</v>
      </c>
      <c r="B336" s="2">
        <v>3.4</v>
      </c>
      <c r="C336" s="1" t="str">
        <f t="shared" si="12"/>
        <v>0</v>
      </c>
      <c r="D336" s="1" t="str">
        <f t="shared" si="13"/>
        <v>0</v>
      </c>
      <c r="N336" s="19"/>
      <c r="O336" s="19"/>
      <c r="P336" s="19"/>
      <c r="Q336" s="21"/>
      <c r="R336" s="19"/>
      <c r="S336" s="19"/>
      <c r="T336" s="19"/>
      <c r="U336" s="19"/>
      <c r="V336" s="21"/>
    </row>
    <row r="337" spans="1:22" x14ac:dyDescent="0.3">
      <c r="A337" s="1">
        <v>46029.9375</v>
      </c>
      <c r="B337" s="2">
        <v>3.4</v>
      </c>
      <c r="C337" s="1" t="str">
        <f t="shared" si="12"/>
        <v>0</v>
      </c>
      <c r="D337" s="1" t="str">
        <f t="shared" si="13"/>
        <v>0</v>
      </c>
      <c r="N337" s="19"/>
      <c r="O337" s="19"/>
      <c r="P337" s="19"/>
      <c r="Q337" s="21"/>
      <c r="R337" s="19"/>
      <c r="S337" s="19"/>
      <c r="T337" s="19"/>
      <c r="U337" s="19"/>
      <c r="V337" s="21"/>
    </row>
    <row r="338" spans="1:22" x14ac:dyDescent="0.3">
      <c r="A338" s="1">
        <v>46029.958333333336</v>
      </c>
      <c r="B338" s="2">
        <v>3.2</v>
      </c>
      <c r="C338" s="1" t="str">
        <f t="shared" si="12"/>
        <v>0</v>
      </c>
      <c r="D338" s="1" t="str">
        <f t="shared" si="13"/>
        <v>0</v>
      </c>
      <c r="N338" s="19"/>
      <c r="O338" s="19"/>
      <c r="P338" s="19"/>
      <c r="Q338" s="21"/>
      <c r="R338" s="19"/>
      <c r="S338" s="19"/>
      <c r="T338" s="19"/>
      <c r="U338" s="19"/>
      <c r="V338" s="21"/>
    </row>
    <row r="339" spans="1:22" x14ac:dyDescent="0.3">
      <c r="A339" s="1">
        <v>46029.979166666664</v>
      </c>
      <c r="B339" s="2">
        <v>2.9</v>
      </c>
      <c r="C339" s="1" t="str">
        <f t="shared" si="12"/>
        <v>0</v>
      </c>
      <c r="D339" s="1" t="str">
        <f t="shared" si="13"/>
        <v>0</v>
      </c>
      <c r="N339" s="19"/>
      <c r="O339" s="19"/>
      <c r="P339" s="19"/>
      <c r="Q339" s="21"/>
      <c r="R339" s="19"/>
      <c r="S339" s="19"/>
      <c r="T339" s="19"/>
      <c r="U339" s="19"/>
      <c r="V339" s="21"/>
    </row>
    <row r="340" spans="1:22" x14ac:dyDescent="0.3">
      <c r="A340" s="1">
        <v>46030</v>
      </c>
      <c r="B340" s="2">
        <v>2.7</v>
      </c>
      <c r="C340" s="1" t="str">
        <f t="shared" si="12"/>
        <v>0</v>
      </c>
      <c r="D340" s="1" t="str">
        <f t="shared" si="13"/>
        <v>0</v>
      </c>
      <c r="N340" s="19"/>
      <c r="O340" s="19"/>
      <c r="P340" s="19"/>
      <c r="Q340" s="21"/>
      <c r="R340" s="19"/>
      <c r="S340" s="19"/>
      <c r="T340" s="19"/>
      <c r="U340" s="19"/>
      <c r="V340" s="21"/>
    </row>
    <row r="341" spans="1:22" x14ac:dyDescent="0.3">
      <c r="A341" s="1">
        <v>46030.020833333336</v>
      </c>
      <c r="B341" s="2">
        <v>2.4</v>
      </c>
      <c r="C341" s="1" t="str">
        <f t="shared" si="12"/>
        <v>0</v>
      </c>
      <c r="D341" s="1" t="str">
        <f t="shared" si="13"/>
        <v>0</v>
      </c>
      <c r="N341" s="19"/>
      <c r="O341" s="19"/>
      <c r="P341" s="19"/>
      <c r="Q341" s="21"/>
      <c r="R341" s="19"/>
      <c r="S341" s="19"/>
      <c r="T341" s="19"/>
      <c r="U341" s="19"/>
      <c r="V341" s="21"/>
    </row>
    <row r="342" spans="1:22" x14ac:dyDescent="0.3">
      <c r="A342" s="1">
        <v>46030.041666666664</v>
      </c>
      <c r="B342" s="2">
        <v>2.2000000000000002</v>
      </c>
      <c r="C342" s="1" t="str">
        <f t="shared" si="12"/>
        <v>0</v>
      </c>
      <c r="D342" s="1" t="str">
        <f t="shared" si="13"/>
        <v>0</v>
      </c>
      <c r="N342" s="19"/>
      <c r="O342" s="19"/>
      <c r="P342" s="19"/>
      <c r="Q342" s="21"/>
      <c r="R342" s="19"/>
      <c r="S342" s="19"/>
      <c r="T342" s="19"/>
      <c r="U342" s="19"/>
      <c r="V342" s="21"/>
    </row>
    <row r="343" spans="1:22" x14ac:dyDescent="0.3">
      <c r="A343" s="1">
        <v>46030.0625</v>
      </c>
      <c r="B343" s="2">
        <v>2</v>
      </c>
      <c r="C343" s="1" t="str">
        <f t="shared" si="12"/>
        <v>0</v>
      </c>
      <c r="D343" s="1" t="str">
        <f t="shared" si="13"/>
        <v>0</v>
      </c>
      <c r="N343" s="19"/>
      <c r="O343" s="19"/>
      <c r="P343" s="19"/>
      <c r="Q343" s="21"/>
      <c r="R343" s="19"/>
      <c r="S343" s="19"/>
      <c r="T343" s="19"/>
      <c r="U343" s="19"/>
      <c r="V343" s="21"/>
    </row>
    <row r="344" spans="1:22" x14ac:dyDescent="0.3">
      <c r="A344" s="1">
        <v>46030.083333333336</v>
      </c>
      <c r="B344" s="2">
        <v>1.7</v>
      </c>
      <c r="C344" s="1" t="str">
        <f t="shared" si="12"/>
        <v>0</v>
      </c>
      <c r="D344" s="1" t="str">
        <f t="shared" si="13"/>
        <v>0</v>
      </c>
      <c r="N344" s="19"/>
      <c r="O344" s="19"/>
      <c r="P344" s="19"/>
      <c r="Q344" s="21"/>
      <c r="R344" s="19"/>
      <c r="S344" s="19"/>
      <c r="T344" s="19"/>
      <c r="U344" s="19"/>
      <c r="V344" s="21"/>
    </row>
    <row r="345" spans="1:22" x14ac:dyDescent="0.3">
      <c r="A345" s="1">
        <v>46030.104166666664</v>
      </c>
      <c r="B345" s="2">
        <v>1.4</v>
      </c>
      <c r="C345" s="1" t="str">
        <f t="shared" si="12"/>
        <v>0</v>
      </c>
      <c r="D345" s="1" t="str">
        <f t="shared" si="13"/>
        <v>0</v>
      </c>
      <c r="N345" s="19"/>
      <c r="O345" s="19"/>
      <c r="P345" s="19"/>
      <c r="Q345" s="21"/>
      <c r="R345" s="19"/>
      <c r="S345" s="19"/>
      <c r="T345" s="19"/>
      <c r="U345" s="19"/>
      <c r="V345" s="21"/>
    </row>
    <row r="346" spans="1:22" x14ac:dyDescent="0.3">
      <c r="A346" s="1">
        <v>46030.125</v>
      </c>
      <c r="B346" s="2">
        <v>1.1000000000000001</v>
      </c>
      <c r="C346" s="1" t="str">
        <f t="shared" si="12"/>
        <v>0</v>
      </c>
      <c r="D346" s="1" t="str">
        <f t="shared" si="13"/>
        <v>0</v>
      </c>
      <c r="N346" s="19"/>
      <c r="O346" s="19"/>
      <c r="P346" s="19"/>
      <c r="Q346" s="21"/>
      <c r="R346" s="19"/>
      <c r="S346" s="19"/>
      <c r="T346" s="19"/>
      <c r="U346" s="19"/>
      <c r="V346" s="21"/>
    </row>
    <row r="347" spans="1:22" x14ac:dyDescent="0.3">
      <c r="A347" s="1">
        <v>46030.145833333336</v>
      </c>
      <c r="B347" s="2">
        <v>1.1000000000000001</v>
      </c>
      <c r="C347" s="1" t="str">
        <f t="shared" si="12"/>
        <v>0</v>
      </c>
      <c r="D347" s="1" t="str">
        <f t="shared" si="13"/>
        <v>0</v>
      </c>
      <c r="N347" s="19"/>
      <c r="O347" s="19"/>
      <c r="P347" s="19"/>
      <c r="Q347" s="21"/>
      <c r="R347" s="19"/>
      <c r="S347" s="19"/>
      <c r="T347" s="19"/>
      <c r="U347" s="19"/>
      <c r="V347" s="21"/>
    </row>
    <row r="348" spans="1:22" x14ac:dyDescent="0.3">
      <c r="A348" s="1">
        <v>46030.166666666664</v>
      </c>
      <c r="B348" s="2">
        <v>1.1000000000000001</v>
      </c>
      <c r="C348" s="1" t="str">
        <f t="shared" si="12"/>
        <v>0</v>
      </c>
      <c r="D348" s="1" t="str">
        <f t="shared" si="13"/>
        <v>0</v>
      </c>
      <c r="N348" s="19"/>
      <c r="O348" s="19"/>
      <c r="P348" s="19"/>
      <c r="Q348" s="21"/>
      <c r="R348" s="19"/>
      <c r="S348" s="19"/>
      <c r="T348" s="19"/>
      <c r="U348" s="19"/>
      <c r="V348" s="21"/>
    </row>
    <row r="349" spans="1:22" x14ac:dyDescent="0.3">
      <c r="A349" s="1">
        <v>46030.1875</v>
      </c>
      <c r="B349" s="2">
        <v>1.1000000000000001</v>
      </c>
      <c r="C349" s="1" t="str">
        <f t="shared" si="12"/>
        <v>0</v>
      </c>
      <c r="D349" s="1" t="str">
        <f t="shared" si="13"/>
        <v>0</v>
      </c>
      <c r="N349" s="19"/>
      <c r="O349" s="19"/>
      <c r="P349" s="19"/>
      <c r="Q349" s="21"/>
      <c r="R349" s="19"/>
      <c r="S349" s="19"/>
      <c r="T349" s="19"/>
      <c r="U349" s="19"/>
      <c r="V349" s="21"/>
    </row>
    <row r="350" spans="1:22" x14ac:dyDescent="0.3">
      <c r="A350" s="1">
        <v>46030.208333333336</v>
      </c>
      <c r="B350" s="2">
        <v>1.2</v>
      </c>
      <c r="C350" s="1" t="str">
        <f t="shared" si="12"/>
        <v>0</v>
      </c>
      <c r="D350" s="1" t="str">
        <f t="shared" si="13"/>
        <v>0</v>
      </c>
      <c r="N350" s="19"/>
      <c r="O350" s="19"/>
      <c r="P350" s="19"/>
      <c r="Q350" s="21"/>
      <c r="R350" s="19"/>
      <c r="S350" s="19"/>
      <c r="T350" s="19"/>
      <c r="U350" s="19"/>
      <c r="V350" s="21"/>
    </row>
    <row r="351" spans="1:22" x14ac:dyDescent="0.3">
      <c r="A351" s="1">
        <v>46030.229166666664</v>
      </c>
      <c r="B351" s="2">
        <v>0.8</v>
      </c>
      <c r="C351" s="1">
        <f t="shared" si="12"/>
        <v>46030.229166666664</v>
      </c>
      <c r="D351" s="1" t="str">
        <f t="shared" si="13"/>
        <v>0</v>
      </c>
      <c r="N351" s="19"/>
      <c r="O351" s="19"/>
      <c r="P351" s="19"/>
      <c r="Q351" s="21"/>
      <c r="R351" s="19"/>
      <c r="S351" s="19"/>
      <c r="T351" s="19"/>
      <c r="U351" s="19"/>
      <c r="V351" s="21"/>
    </row>
    <row r="352" spans="1:22" x14ac:dyDescent="0.3">
      <c r="A352" s="1">
        <v>46030.25</v>
      </c>
      <c r="B352" s="2">
        <v>1.2</v>
      </c>
      <c r="C352" s="1" t="str">
        <f t="shared" si="12"/>
        <v>0</v>
      </c>
      <c r="D352" s="1" t="str">
        <f t="shared" si="13"/>
        <v>0</v>
      </c>
      <c r="N352" s="19"/>
      <c r="O352" s="19"/>
      <c r="P352" s="19"/>
      <c r="Q352" s="21"/>
      <c r="R352" s="19"/>
      <c r="S352" s="19"/>
      <c r="T352" s="19"/>
      <c r="U352" s="19"/>
      <c r="V352" s="21"/>
    </row>
    <row r="353" spans="1:22" x14ac:dyDescent="0.3">
      <c r="A353" s="1">
        <v>46030.270833333336</v>
      </c>
      <c r="B353" s="2">
        <v>1.3</v>
      </c>
      <c r="C353" s="1" t="str">
        <f t="shared" si="12"/>
        <v>0</v>
      </c>
      <c r="D353" s="1" t="str">
        <f t="shared" si="13"/>
        <v>0</v>
      </c>
      <c r="N353" s="19"/>
      <c r="O353" s="19"/>
      <c r="P353" s="19"/>
      <c r="Q353" s="21"/>
      <c r="R353" s="19"/>
      <c r="S353" s="19"/>
      <c r="T353" s="19"/>
      <c r="U353" s="19"/>
      <c r="V353" s="21"/>
    </row>
    <row r="354" spans="1:22" x14ac:dyDescent="0.3">
      <c r="A354" s="1">
        <v>46030.291666666664</v>
      </c>
      <c r="B354" s="2">
        <v>1.2</v>
      </c>
      <c r="C354" s="1" t="str">
        <f t="shared" si="12"/>
        <v>0</v>
      </c>
      <c r="D354" s="1" t="str">
        <f t="shared" si="13"/>
        <v>0</v>
      </c>
      <c r="N354" s="19"/>
      <c r="O354" s="19"/>
      <c r="P354" s="19"/>
      <c r="Q354" s="21"/>
      <c r="R354" s="19"/>
      <c r="S354" s="19"/>
      <c r="T354" s="19"/>
      <c r="U354" s="19"/>
      <c r="V354" s="21"/>
    </row>
    <row r="355" spans="1:22" x14ac:dyDescent="0.3">
      <c r="A355" s="1">
        <v>46030.3125</v>
      </c>
      <c r="B355" s="2">
        <v>1.1000000000000001</v>
      </c>
      <c r="C355" s="1" t="str">
        <f t="shared" si="12"/>
        <v>0</v>
      </c>
      <c r="D355" s="1" t="str">
        <f t="shared" si="13"/>
        <v>0</v>
      </c>
      <c r="N355" s="19"/>
      <c r="O355" s="19"/>
      <c r="P355" s="19"/>
      <c r="Q355" s="21"/>
      <c r="R355" s="19"/>
      <c r="S355" s="19"/>
      <c r="T355" s="19"/>
      <c r="U355" s="19"/>
      <c r="V355" s="21"/>
    </row>
    <row r="356" spans="1:22" x14ac:dyDescent="0.3">
      <c r="A356" s="1">
        <v>46030.333333333336</v>
      </c>
      <c r="B356" s="2">
        <v>1.4</v>
      </c>
      <c r="C356" s="1" t="str">
        <f t="shared" si="12"/>
        <v>0</v>
      </c>
      <c r="D356" s="1" t="str">
        <f t="shared" si="13"/>
        <v>0</v>
      </c>
      <c r="N356" s="19"/>
      <c r="O356" s="19"/>
      <c r="P356" s="19"/>
      <c r="Q356" s="21"/>
      <c r="R356" s="19"/>
      <c r="S356" s="19"/>
      <c r="T356" s="19"/>
      <c r="U356" s="19"/>
      <c r="V356" s="21"/>
    </row>
    <row r="357" spans="1:22" x14ac:dyDescent="0.3">
      <c r="A357" s="1">
        <v>46030.354166666664</v>
      </c>
      <c r="B357" s="2">
        <v>2.1</v>
      </c>
      <c r="C357" s="1" t="str">
        <f t="shared" si="12"/>
        <v>0</v>
      </c>
      <c r="D357" s="1" t="str">
        <f t="shared" si="13"/>
        <v>0</v>
      </c>
      <c r="N357" s="19"/>
      <c r="O357" s="19"/>
      <c r="P357" s="19"/>
      <c r="Q357" s="21"/>
      <c r="R357" s="19"/>
      <c r="S357" s="19"/>
      <c r="T357" s="19"/>
      <c r="U357" s="19"/>
      <c r="V357" s="21"/>
    </row>
    <row r="358" spans="1:22" x14ac:dyDescent="0.3">
      <c r="A358" s="1">
        <v>46030.375</v>
      </c>
      <c r="B358" s="2">
        <v>2.1</v>
      </c>
      <c r="C358" s="1" t="str">
        <f t="shared" si="12"/>
        <v>0</v>
      </c>
      <c r="D358" s="1" t="str">
        <f t="shared" si="13"/>
        <v>0</v>
      </c>
      <c r="N358" s="19"/>
      <c r="O358" s="19"/>
      <c r="P358" s="19"/>
      <c r="Q358" s="21"/>
      <c r="R358" s="19"/>
      <c r="S358" s="19"/>
      <c r="T358" s="19"/>
      <c r="U358" s="19"/>
      <c r="V358" s="21"/>
    </row>
    <row r="359" spans="1:22" x14ac:dyDescent="0.3">
      <c r="A359" s="1">
        <v>46030.395833333336</v>
      </c>
      <c r="B359" s="2">
        <v>2.6</v>
      </c>
      <c r="C359" s="1" t="str">
        <f t="shared" si="12"/>
        <v>0</v>
      </c>
      <c r="D359" s="1" t="str">
        <f t="shared" si="13"/>
        <v>0</v>
      </c>
      <c r="N359" s="19"/>
      <c r="O359" s="19"/>
      <c r="P359" s="19"/>
      <c r="Q359" s="21"/>
      <c r="R359" s="19"/>
      <c r="S359" s="19"/>
      <c r="T359" s="19"/>
      <c r="U359" s="19"/>
      <c r="V359" s="21"/>
    </row>
    <row r="360" spans="1:22" x14ac:dyDescent="0.3">
      <c r="A360" s="1">
        <v>46030.416666666664</v>
      </c>
      <c r="B360" s="2">
        <v>2.9</v>
      </c>
      <c r="C360" s="1" t="str">
        <f t="shared" si="12"/>
        <v>0</v>
      </c>
      <c r="D360" s="1" t="str">
        <f t="shared" si="13"/>
        <v>0</v>
      </c>
      <c r="N360" s="19"/>
      <c r="O360" s="19"/>
      <c r="P360" s="19"/>
      <c r="Q360" s="21"/>
      <c r="R360" s="19"/>
      <c r="S360" s="19"/>
      <c r="T360" s="19"/>
      <c r="U360" s="19"/>
      <c r="V360" s="21"/>
    </row>
    <row r="361" spans="1:22" x14ac:dyDescent="0.3">
      <c r="A361" s="1">
        <v>46030.4375</v>
      </c>
      <c r="B361" s="2">
        <v>3</v>
      </c>
      <c r="C361" s="1" t="str">
        <f t="shared" si="12"/>
        <v>0</v>
      </c>
      <c r="D361" s="1" t="str">
        <f t="shared" si="13"/>
        <v>0</v>
      </c>
      <c r="N361" s="19"/>
      <c r="O361" s="19"/>
      <c r="P361" s="19"/>
      <c r="Q361" s="21"/>
      <c r="R361" s="19"/>
      <c r="S361" s="19"/>
      <c r="T361" s="19"/>
      <c r="U361" s="19"/>
      <c r="V361" s="21"/>
    </row>
    <row r="362" spans="1:22" x14ac:dyDescent="0.3">
      <c r="A362" s="1">
        <v>46030.458333333336</v>
      </c>
      <c r="B362" s="2">
        <v>3.5</v>
      </c>
      <c r="C362" s="1" t="str">
        <f t="shared" si="12"/>
        <v>0</v>
      </c>
      <c r="D362" s="1" t="str">
        <f t="shared" si="13"/>
        <v>0</v>
      </c>
      <c r="N362" s="19"/>
      <c r="O362" s="19"/>
      <c r="P362" s="19"/>
      <c r="Q362" s="21"/>
      <c r="R362" s="19"/>
      <c r="S362" s="19"/>
      <c r="T362" s="19"/>
      <c r="U362" s="19"/>
      <c r="V362" s="21"/>
    </row>
    <row r="363" spans="1:22" x14ac:dyDescent="0.3">
      <c r="A363" s="1">
        <v>46030.479166666664</v>
      </c>
      <c r="B363" s="2">
        <v>4.2</v>
      </c>
      <c r="C363" s="1" t="str">
        <f t="shared" si="12"/>
        <v>0</v>
      </c>
      <c r="D363" s="1" t="str">
        <f t="shared" si="13"/>
        <v>0</v>
      </c>
      <c r="N363" s="19"/>
      <c r="O363" s="19"/>
      <c r="P363" s="19"/>
      <c r="Q363" s="21"/>
      <c r="R363" s="19"/>
      <c r="S363" s="19"/>
      <c r="T363" s="19"/>
      <c r="U363" s="19"/>
      <c r="V363" s="21"/>
    </row>
    <row r="364" spans="1:22" x14ac:dyDescent="0.3">
      <c r="A364" s="1">
        <v>46030.5</v>
      </c>
      <c r="B364" s="2">
        <v>4.8</v>
      </c>
      <c r="C364" s="1" t="str">
        <f t="shared" si="12"/>
        <v>0</v>
      </c>
      <c r="D364" s="1" t="str">
        <f t="shared" si="13"/>
        <v>0</v>
      </c>
      <c r="N364" s="19"/>
      <c r="O364" s="19"/>
      <c r="P364" s="19"/>
      <c r="Q364" s="21"/>
      <c r="R364" s="19"/>
      <c r="S364" s="19"/>
      <c r="T364" s="19"/>
      <c r="U364" s="19"/>
      <c r="V364" s="21"/>
    </row>
    <row r="365" spans="1:22" x14ac:dyDescent="0.3">
      <c r="A365" s="1">
        <v>46030.520833333336</v>
      </c>
      <c r="B365" s="2">
        <v>5.4</v>
      </c>
      <c r="C365" s="1" t="str">
        <f t="shared" si="12"/>
        <v>0</v>
      </c>
      <c r="D365" s="1" t="str">
        <f t="shared" si="13"/>
        <v>0</v>
      </c>
      <c r="N365" s="19"/>
      <c r="O365" s="19"/>
      <c r="P365" s="19"/>
      <c r="Q365" s="21"/>
      <c r="R365" s="19"/>
      <c r="S365" s="19"/>
      <c r="T365" s="19"/>
      <c r="U365" s="19"/>
      <c r="V365" s="21"/>
    </row>
    <row r="366" spans="1:22" x14ac:dyDescent="0.3">
      <c r="A366" s="1">
        <v>46030.541666666664</v>
      </c>
      <c r="B366" s="2">
        <v>6.1</v>
      </c>
      <c r="C366" s="1" t="str">
        <f t="shared" si="12"/>
        <v>0</v>
      </c>
      <c r="D366" s="1" t="str">
        <f t="shared" si="13"/>
        <v>0</v>
      </c>
      <c r="N366" s="19"/>
      <c r="O366" s="19"/>
      <c r="P366" s="19"/>
      <c r="Q366" s="21"/>
      <c r="R366" s="19"/>
      <c r="S366" s="19"/>
      <c r="T366" s="19"/>
      <c r="U366" s="19"/>
      <c r="V366" s="21"/>
    </row>
    <row r="367" spans="1:22" x14ac:dyDescent="0.3">
      <c r="A367" s="1">
        <v>46030.5625</v>
      </c>
      <c r="B367" s="2">
        <v>6.7</v>
      </c>
      <c r="C367" s="1" t="str">
        <f t="shared" si="12"/>
        <v>0</v>
      </c>
      <c r="D367" s="1" t="str">
        <f t="shared" si="13"/>
        <v>0</v>
      </c>
      <c r="N367" s="19"/>
      <c r="O367" s="19"/>
      <c r="P367" s="19"/>
      <c r="Q367" s="21"/>
      <c r="R367" s="19"/>
      <c r="S367" s="19"/>
      <c r="T367" s="19"/>
      <c r="U367" s="19"/>
      <c r="V367" s="21"/>
    </row>
    <row r="368" spans="1:22" x14ac:dyDescent="0.3">
      <c r="A368" s="1">
        <v>46030.583333333336</v>
      </c>
      <c r="B368" s="2">
        <v>6.9</v>
      </c>
      <c r="C368" s="1" t="str">
        <f t="shared" si="12"/>
        <v>0</v>
      </c>
      <c r="D368" s="1" t="str">
        <f t="shared" si="13"/>
        <v>0</v>
      </c>
      <c r="N368" s="19"/>
      <c r="O368" s="19"/>
      <c r="P368" s="19"/>
      <c r="Q368" s="21"/>
      <c r="R368" s="19"/>
      <c r="S368" s="19"/>
      <c r="T368" s="19"/>
      <c r="U368" s="19"/>
      <c r="V368" s="21"/>
    </row>
    <row r="369" spans="1:22" x14ac:dyDescent="0.3">
      <c r="A369" s="1">
        <v>46030.604166666664</v>
      </c>
      <c r="B369" s="2">
        <v>7.2</v>
      </c>
      <c r="C369" s="1" t="str">
        <f t="shared" si="12"/>
        <v>0</v>
      </c>
      <c r="D369" s="1" t="str">
        <f t="shared" si="13"/>
        <v>0</v>
      </c>
      <c r="N369" s="19"/>
      <c r="O369" s="19"/>
      <c r="P369" s="19"/>
      <c r="Q369" s="21"/>
      <c r="R369" s="19"/>
      <c r="S369" s="19"/>
      <c r="T369" s="19"/>
      <c r="U369" s="19"/>
      <c r="V369" s="21"/>
    </row>
    <row r="370" spans="1:22" x14ac:dyDescent="0.3">
      <c r="A370" s="1">
        <v>46030.625</v>
      </c>
      <c r="B370" s="2">
        <v>7.3</v>
      </c>
      <c r="C370" s="1" t="str">
        <f t="shared" si="12"/>
        <v>0</v>
      </c>
      <c r="D370" s="1" t="str">
        <f t="shared" si="13"/>
        <v>0</v>
      </c>
      <c r="N370" s="19"/>
      <c r="O370" s="19"/>
      <c r="P370" s="19"/>
      <c r="Q370" s="21"/>
      <c r="R370" s="19"/>
      <c r="S370" s="19"/>
      <c r="T370" s="19"/>
      <c r="U370" s="19"/>
      <c r="V370" s="21"/>
    </row>
    <row r="371" spans="1:22" x14ac:dyDescent="0.3">
      <c r="A371" s="1">
        <v>46030.645833333336</v>
      </c>
      <c r="B371" s="2">
        <v>7.1</v>
      </c>
      <c r="C371" s="1" t="str">
        <f t="shared" si="12"/>
        <v>0</v>
      </c>
      <c r="D371" s="1" t="str">
        <f t="shared" si="13"/>
        <v>0</v>
      </c>
      <c r="N371" s="19"/>
      <c r="O371" s="19"/>
      <c r="P371" s="19"/>
      <c r="Q371" s="21"/>
      <c r="R371" s="19"/>
      <c r="S371" s="19"/>
      <c r="T371" s="19"/>
      <c r="U371" s="19"/>
      <c r="V371" s="21"/>
    </row>
    <row r="372" spans="1:22" x14ac:dyDescent="0.3">
      <c r="A372" s="1">
        <v>46030.666666666664</v>
      </c>
      <c r="B372" s="2">
        <v>7.4</v>
      </c>
      <c r="C372" s="1" t="str">
        <f t="shared" si="12"/>
        <v>0</v>
      </c>
      <c r="D372" s="1" t="str">
        <f t="shared" si="13"/>
        <v>0</v>
      </c>
      <c r="N372" s="19"/>
      <c r="O372" s="19"/>
      <c r="P372" s="19"/>
      <c r="Q372" s="21"/>
      <c r="R372" s="19"/>
      <c r="S372" s="19"/>
      <c r="T372" s="19"/>
      <c r="U372" s="19"/>
      <c r="V372" s="21"/>
    </row>
    <row r="373" spans="1:22" x14ac:dyDescent="0.3">
      <c r="A373" s="1">
        <v>46030.6875</v>
      </c>
      <c r="B373" s="2">
        <v>7.3</v>
      </c>
      <c r="C373" s="1" t="str">
        <f t="shared" si="12"/>
        <v>0</v>
      </c>
      <c r="D373" s="1" t="str">
        <f t="shared" si="13"/>
        <v>0</v>
      </c>
      <c r="N373" s="19"/>
      <c r="O373" s="19"/>
      <c r="P373" s="19"/>
      <c r="Q373" s="21"/>
      <c r="R373" s="19"/>
      <c r="S373" s="19"/>
      <c r="T373" s="19"/>
      <c r="U373" s="19"/>
      <c r="V373" s="21"/>
    </row>
    <row r="374" spans="1:22" x14ac:dyDescent="0.3">
      <c r="A374" s="1">
        <v>46030.708333333336</v>
      </c>
      <c r="B374" s="2">
        <v>7.2</v>
      </c>
      <c r="C374" s="1" t="str">
        <f t="shared" si="12"/>
        <v>0</v>
      </c>
      <c r="D374" s="1" t="str">
        <f t="shared" si="13"/>
        <v>0</v>
      </c>
      <c r="N374" s="19"/>
      <c r="O374" s="19"/>
      <c r="P374" s="19"/>
      <c r="Q374" s="21"/>
      <c r="R374" s="19"/>
      <c r="S374" s="19"/>
      <c r="T374" s="19"/>
      <c r="U374" s="19"/>
      <c r="V374" s="21"/>
    </row>
    <row r="375" spans="1:22" x14ac:dyDescent="0.3">
      <c r="A375" s="1">
        <v>46030.729166666664</v>
      </c>
      <c r="B375" s="2">
        <v>7.3</v>
      </c>
      <c r="C375" s="1" t="str">
        <f t="shared" si="12"/>
        <v>0</v>
      </c>
      <c r="D375" s="1" t="str">
        <f t="shared" si="13"/>
        <v>0</v>
      </c>
      <c r="N375" s="19"/>
      <c r="O375" s="19"/>
      <c r="P375" s="19"/>
      <c r="Q375" s="21"/>
      <c r="R375" s="19"/>
      <c r="S375" s="19"/>
      <c r="T375" s="19"/>
      <c r="U375" s="19"/>
      <c r="V375" s="21"/>
    </row>
    <row r="376" spans="1:22" x14ac:dyDescent="0.3">
      <c r="A376" s="1">
        <v>46030.75</v>
      </c>
      <c r="B376" s="2">
        <v>7.4</v>
      </c>
      <c r="C376" s="1" t="str">
        <f t="shared" si="12"/>
        <v>0</v>
      </c>
      <c r="D376" s="1" t="str">
        <f t="shared" si="13"/>
        <v>0</v>
      </c>
      <c r="N376" s="19"/>
      <c r="O376" s="19"/>
      <c r="P376" s="19"/>
      <c r="Q376" s="21"/>
      <c r="R376" s="19"/>
      <c r="S376" s="19"/>
      <c r="T376" s="19"/>
      <c r="U376" s="19"/>
      <c r="V376" s="21"/>
    </row>
    <row r="377" spans="1:22" x14ac:dyDescent="0.3">
      <c r="A377" s="1">
        <v>46030.770833333336</v>
      </c>
      <c r="B377" s="2">
        <v>7.6</v>
      </c>
      <c r="C377" s="1" t="str">
        <f t="shared" si="12"/>
        <v>0</v>
      </c>
      <c r="D377" s="1" t="str">
        <f t="shared" si="13"/>
        <v>0</v>
      </c>
      <c r="N377" s="19"/>
      <c r="O377" s="19"/>
      <c r="P377" s="19"/>
      <c r="Q377" s="21"/>
      <c r="R377" s="19"/>
      <c r="S377" s="19"/>
      <c r="T377" s="19"/>
      <c r="U377" s="19"/>
      <c r="V377" s="21"/>
    </row>
    <row r="378" spans="1:22" x14ac:dyDescent="0.3">
      <c r="A378" s="1">
        <v>46030.791666666664</v>
      </c>
      <c r="B378" s="2">
        <v>7.6</v>
      </c>
      <c r="C378" s="1" t="str">
        <f t="shared" si="12"/>
        <v>0</v>
      </c>
      <c r="D378" s="1" t="str">
        <f t="shared" si="13"/>
        <v>0</v>
      </c>
      <c r="N378" s="19"/>
      <c r="O378" s="19"/>
      <c r="P378" s="19"/>
      <c r="Q378" s="21"/>
      <c r="R378" s="19"/>
      <c r="S378" s="19"/>
      <c r="T378" s="19"/>
      <c r="U378" s="19"/>
      <c r="V378" s="21"/>
    </row>
    <row r="379" spans="1:22" x14ac:dyDescent="0.3">
      <c r="A379" s="1">
        <v>46030.8125</v>
      </c>
      <c r="B379" s="2">
        <v>7.7</v>
      </c>
      <c r="C379" s="1" t="str">
        <f t="shared" si="12"/>
        <v>0</v>
      </c>
      <c r="D379" s="1" t="str">
        <f t="shared" si="13"/>
        <v>0</v>
      </c>
      <c r="N379" s="19"/>
      <c r="O379" s="19"/>
      <c r="P379" s="19"/>
      <c r="Q379" s="21"/>
      <c r="R379" s="19"/>
      <c r="S379" s="19"/>
      <c r="T379" s="19"/>
      <c r="U379" s="19"/>
      <c r="V379" s="21"/>
    </row>
    <row r="380" spans="1:22" x14ac:dyDescent="0.3">
      <c r="A380" s="1">
        <v>46030.833333333336</v>
      </c>
      <c r="B380" s="2">
        <v>7.5</v>
      </c>
      <c r="C380" s="1" t="str">
        <f t="shared" si="12"/>
        <v>0</v>
      </c>
      <c r="D380" s="1" t="str">
        <f t="shared" si="13"/>
        <v>0</v>
      </c>
      <c r="N380" s="19"/>
      <c r="O380" s="19"/>
      <c r="P380" s="19"/>
      <c r="Q380" s="21"/>
      <c r="R380" s="19"/>
      <c r="S380" s="19"/>
      <c r="T380" s="19"/>
      <c r="U380" s="19"/>
      <c r="V380" s="21"/>
    </row>
    <row r="381" spans="1:22" x14ac:dyDescent="0.3">
      <c r="A381" s="1">
        <v>46030.854166666664</v>
      </c>
      <c r="B381" s="2">
        <v>7.5</v>
      </c>
      <c r="C381" s="1" t="str">
        <f t="shared" si="12"/>
        <v>0</v>
      </c>
      <c r="D381" s="1" t="str">
        <f t="shared" si="13"/>
        <v>0</v>
      </c>
      <c r="N381" s="19"/>
      <c r="O381" s="19"/>
      <c r="P381" s="19"/>
      <c r="Q381" s="21"/>
      <c r="R381" s="19"/>
      <c r="S381" s="19"/>
      <c r="T381" s="19"/>
      <c r="U381" s="19"/>
      <c r="V381" s="21"/>
    </row>
    <row r="382" spans="1:22" x14ac:dyDescent="0.3">
      <c r="A382" s="1">
        <v>46030.875</v>
      </c>
      <c r="B382" s="2">
        <v>7.1</v>
      </c>
      <c r="C382" s="1" t="str">
        <f t="shared" si="12"/>
        <v>0</v>
      </c>
      <c r="D382" s="1" t="str">
        <f t="shared" si="13"/>
        <v>0</v>
      </c>
      <c r="N382" s="19"/>
      <c r="O382" s="19"/>
      <c r="P382" s="19"/>
      <c r="Q382" s="21"/>
      <c r="R382" s="19"/>
      <c r="S382" s="19"/>
      <c r="T382" s="19"/>
      <c r="U382" s="19"/>
      <c r="V382" s="21"/>
    </row>
    <row r="383" spans="1:22" x14ac:dyDescent="0.3">
      <c r="A383" s="1">
        <v>46030.895833333336</v>
      </c>
      <c r="B383" s="2">
        <v>7.5</v>
      </c>
      <c r="C383" s="1" t="str">
        <f t="shared" si="12"/>
        <v>0</v>
      </c>
      <c r="D383" s="1" t="str">
        <f t="shared" si="13"/>
        <v>0</v>
      </c>
      <c r="N383" s="19"/>
      <c r="O383" s="19"/>
      <c r="P383" s="19"/>
      <c r="Q383" s="21"/>
      <c r="R383" s="19"/>
      <c r="S383" s="19"/>
      <c r="T383" s="19"/>
      <c r="U383" s="19"/>
      <c r="V383" s="21"/>
    </row>
    <row r="384" spans="1:22" x14ac:dyDescent="0.3">
      <c r="A384" s="1">
        <v>46030.916666666664</v>
      </c>
      <c r="B384" s="2">
        <v>7.6</v>
      </c>
      <c r="C384" s="1" t="str">
        <f t="shared" si="12"/>
        <v>0</v>
      </c>
      <c r="D384" s="1" t="str">
        <f t="shared" si="13"/>
        <v>0</v>
      </c>
      <c r="N384" s="19"/>
      <c r="O384" s="19"/>
      <c r="P384" s="19"/>
      <c r="Q384" s="21"/>
      <c r="R384" s="19"/>
      <c r="S384" s="19"/>
      <c r="T384" s="19"/>
      <c r="U384" s="19"/>
      <c r="V384" s="21"/>
    </row>
    <row r="385" spans="1:22" x14ac:dyDescent="0.3">
      <c r="A385" s="1">
        <v>46030.9375</v>
      </c>
      <c r="B385" s="2">
        <v>7.2</v>
      </c>
      <c r="C385" s="1" t="str">
        <f t="shared" si="12"/>
        <v>0</v>
      </c>
      <c r="D385" s="1" t="str">
        <f t="shared" si="13"/>
        <v>0</v>
      </c>
      <c r="N385" s="19"/>
      <c r="O385" s="19"/>
      <c r="P385" s="19"/>
      <c r="Q385" s="21"/>
      <c r="R385" s="19"/>
      <c r="S385" s="19"/>
      <c r="T385" s="19"/>
      <c r="U385" s="19"/>
      <c r="V385" s="21"/>
    </row>
    <row r="386" spans="1:22" x14ac:dyDescent="0.3">
      <c r="A386" s="1">
        <v>46030.958333333336</v>
      </c>
      <c r="B386" s="2">
        <v>7</v>
      </c>
      <c r="C386" s="1" t="str">
        <f t="shared" si="12"/>
        <v>0</v>
      </c>
      <c r="D386" s="1" t="str">
        <f t="shared" si="13"/>
        <v>0</v>
      </c>
      <c r="N386" s="19"/>
      <c r="O386" s="19"/>
      <c r="P386" s="19"/>
      <c r="Q386" s="21"/>
      <c r="R386" s="19"/>
      <c r="S386" s="19"/>
      <c r="T386" s="19"/>
      <c r="U386" s="19"/>
      <c r="V386" s="21"/>
    </row>
    <row r="387" spans="1:22" x14ac:dyDescent="0.3">
      <c r="A387" s="1">
        <v>46030.979166666664</v>
      </c>
      <c r="B387" s="2">
        <v>7.1</v>
      </c>
      <c r="C387" s="1" t="str">
        <f t="shared" ref="C387:C450" si="14">IF(B387=$P$13,A387,"0")</f>
        <v>0</v>
      </c>
      <c r="D387" s="1" t="str">
        <f t="shared" ref="D387:D450" si="15">IF(B387=$M$13,A387,"0")</f>
        <v>0</v>
      </c>
      <c r="N387" s="19"/>
      <c r="O387" s="19"/>
      <c r="P387" s="19"/>
      <c r="Q387" s="21"/>
      <c r="R387" s="19"/>
      <c r="S387" s="19"/>
      <c r="T387" s="19"/>
      <c r="U387" s="19"/>
      <c r="V387" s="21"/>
    </row>
    <row r="388" spans="1:22" x14ac:dyDescent="0.3">
      <c r="A388" s="1">
        <v>46031</v>
      </c>
      <c r="B388" s="2">
        <v>7.4</v>
      </c>
      <c r="C388" s="1" t="str">
        <f t="shared" si="14"/>
        <v>0</v>
      </c>
      <c r="D388" s="1" t="str">
        <f t="shared" si="15"/>
        <v>0</v>
      </c>
      <c r="N388" s="19"/>
      <c r="O388" s="19"/>
      <c r="P388" s="19"/>
      <c r="Q388" s="21"/>
      <c r="R388" s="19"/>
      <c r="S388" s="19"/>
      <c r="T388" s="19"/>
      <c r="U388" s="19"/>
      <c r="V388" s="21"/>
    </row>
    <row r="389" spans="1:22" x14ac:dyDescent="0.3">
      <c r="A389" s="1">
        <v>46031.020833333336</v>
      </c>
      <c r="B389" s="2">
        <v>7.6</v>
      </c>
      <c r="C389" s="1" t="str">
        <f t="shared" si="14"/>
        <v>0</v>
      </c>
      <c r="D389" s="1" t="str">
        <f t="shared" si="15"/>
        <v>0</v>
      </c>
      <c r="N389" s="19"/>
      <c r="O389" s="19"/>
      <c r="P389" s="19"/>
      <c r="Q389" s="21"/>
      <c r="R389" s="19"/>
      <c r="S389" s="19"/>
      <c r="T389" s="19"/>
      <c r="U389" s="19"/>
      <c r="V389" s="21"/>
    </row>
    <row r="390" spans="1:22" x14ac:dyDescent="0.3">
      <c r="A390" s="1">
        <v>46031.041666666664</v>
      </c>
      <c r="B390" s="2">
        <v>7.7</v>
      </c>
      <c r="C390" s="1" t="str">
        <f t="shared" si="14"/>
        <v>0</v>
      </c>
      <c r="D390" s="1" t="str">
        <f t="shared" si="15"/>
        <v>0</v>
      </c>
      <c r="N390" s="19"/>
      <c r="O390" s="19"/>
      <c r="P390" s="19"/>
      <c r="Q390" s="21"/>
      <c r="R390" s="19"/>
      <c r="S390" s="19"/>
      <c r="T390" s="19"/>
      <c r="U390" s="19"/>
      <c r="V390" s="21"/>
    </row>
    <row r="391" spans="1:22" x14ac:dyDescent="0.3">
      <c r="A391" s="1">
        <v>46031.0625</v>
      </c>
      <c r="B391" s="2">
        <v>7.9</v>
      </c>
      <c r="C391" s="1" t="str">
        <f t="shared" si="14"/>
        <v>0</v>
      </c>
      <c r="D391" s="1" t="str">
        <f t="shared" si="15"/>
        <v>0</v>
      </c>
      <c r="N391" s="19"/>
      <c r="O391" s="19"/>
      <c r="P391" s="19"/>
      <c r="Q391" s="21"/>
      <c r="R391" s="19"/>
      <c r="S391" s="19"/>
      <c r="T391" s="19"/>
      <c r="U391" s="19"/>
      <c r="V391" s="21"/>
    </row>
    <row r="392" spans="1:22" x14ac:dyDescent="0.3">
      <c r="A392" s="1">
        <v>46031.083333333336</v>
      </c>
      <c r="B392" s="2">
        <v>8.1</v>
      </c>
      <c r="C392" s="1" t="str">
        <f t="shared" si="14"/>
        <v>0</v>
      </c>
      <c r="D392" s="1" t="str">
        <f t="shared" si="15"/>
        <v>0</v>
      </c>
      <c r="N392" s="19"/>
      <c r="O392" s="19"/>
      <c r="P392" s="19"/>
      <c r="Q392" s="21"/>
      <c r="R392" s="19"/>
      <c r="S392" s="19"/>
      <c r="T392" s="19"/>
      <c r="U392" s="19"/>
      <c r="V392" s="21"/>
    </row>
    <row r="393" spans="1:22" x14ac:dyDescent="0.3">
      <c r="A393" s="1">
        <v>46031.104166666664</v>
      </c>
      <c r="B393" s="2">
        <v>8.1999999999999993</v>
      </c>
      <c r="C393" s="1" t="str">
        <f t="shared" si="14"/>
        <v>0</v>
      </c>
      <c r="D393" s="1" t="str">
        <f t="shared" si="15"/>
        <v>0</v>
      </c>
      <c r="N393" s="19"/>
      <c r="O393" s="19"/>
      <c r="P393" s="19"/>
      <c r="Q393" s="21"/>
      <c r="R393" s="19"/>
      <c r="S393" s="19"/>
      <c r="T393" s="19"/>
      <c r="U393" s="19"/>
      <c r="V393" s="21"/>
    </row>
    <row r="394" spans="1:22" x14ac:dyDescent="0.3">
      <c r="A394" s="1">
        <v>46031.125</v>
      </c>
      <c r="B394" s="2">
        <v>8.6</v>
      </c>
      <c r="C394" s="1" t="str">
        <f t="shared" si="14"/>
        <v>0</v>
      </c>
      <c r="D394" s="1" t="str">
        <f t="shared" si="15"/>
        <v>0</v>
      </c>
      <c r="N394" s="19"/>
      <c r="O394" s="19"/>
      <c r="P394" s="19"/>
      <c r="Q394" s="21"/>
      <c r="R394" s="19"/>
      <c r="S394" s="19"/>
      <c r="T394" s="19"/>
      <c r="U394" s="19"/>
      <c r="V394" s="21"/>
    </row>
    <row r="395" spans="1:22" x14ac:dyDescent="0.3">
      <c r="A395" s="1">
        <v>46031.145833333336</v>
      </c>
      <c r="B395" s="2">
        <v>8.9</v>
      </c>
      <c r="C395" s="1" t="str">
        <f t="shared" si="14"/>
        <v>0</v>
      </c>
      <c r="D395" s="1" t="str">
        <f t="shared" si="15"/>
        <v>0</v>
      </c>
      <c r="N395" s="19"/>
      <c r="O395" s="19"/>
      <c r="P395" s="19"/>
      <c r="Q395" s="21"/>
      <c r="R395" s="19"/>
      <c r="S395" s="19"/>
      <c r="T395" s="19"/>
      <c r="U395" s="19"/>
      <c r="V395" s="21"/>
    </row>
    <row r="396" spans="1:22" x14ac:dyDescent="0.3">
      <c r="A396" s="1">
        <v>46031.166666666664</v>
      </c>
      <c r="B396" s="2">
        <v>9.1999999999999993</v>
      </c>
      <c r="C396" s="1" t="str">
        <f t="shared" si="14"/>
        <v>0</v>
      </c>
      <c r="D396" s="1" t="str">
        <f t="shared" si="15"/>
        <v>0</v>
      </c>
      <c r="N396" s="19"/>
      <c r="O396" s="19"/>
      <c r="P396" s="19"/>
      <c r="Q396" s="21"/>
      <c r="R396" s="19"/>
      <c r="S396" s="19"/>
      <c r="T396" s="19"/>
      <c r="U396" s="19"/>
      <c r="V396" s="21"/>
    </row>
    <row r="397" spans="1:22" x14ac:dyDescent="0.3">
      <c r="A397" s="1">
        <v>46031.1875</v>
      </c>
      <c r="B397" s="2">
        <v>8.6999999999999993</v>
      </c>
      <c r="C397" s="1" t="str">
        <f t="shared" si="14"/>
        <v>0</v>
      </c>
      <c r="D397" s="1" t="str">
        <f t="shared" si="15"/>
        <v>0</v>
      </c>
      <c r="N397" s="19"/>
      <c r="O397" s="19"/>
      <c r="P397" s="19"/>
      <c r="Q397" s="21"/>
      <c r="R397" s="19"/>
      <c r="S397" s="19"/>
      <c r="T397" s="19"/>
      <c r="U397" s="19"/>
      <c r="V397" s="21"/>
    </row>
    <row r="398" spans="1:22" x14ac:dyDescent="0.3">
      <c r="A398" s="1">
        <v>46031.208333333336</v>
      </c>
      <c r="B398" s="2">
        <v>8.6</v>
      </c>
      <c r="C398" s="1" t="str">
        <f t="shared" si="14"/>
        <v>0</v>
      </c>
      <c r="D398" s="1" t="str">
        <f t="shared" si="15"/>
        <v>0</v>
      </c>
      <c r="N398" s="19"/>
      <c r="O398" s="19"/>
      <c r="P398" s="19"/>
      <c r="Q398" s="21"/>
      <c r="R398" s="19"/>
      <c r="S398" s="19"/>
      <c r="T398" s="19"/>
      <c r="U398" s="19"/>
      <c r="V398" s="21"/>
    </row>
    <row r="399" spans="1:22" x14ac:dyDescent="0.3">
      <c r="A399" s="1">
        <v>46031.229166666664</v>
      </c>
      <c r="B399" s="2">
        <v>9.3000000000000007</v>
      </c>
      <c r="C399" s="1" t="str">
        <f t="shared" si="14"/>
        <v>0</v>
      </c>
      <c r="D399" s="1" t="str">
        <f t="shared" si="15"/>
        <v>0</v>
      </c>
      <c r="N399" s="19"/>
      <c r="O399" s="19"/>
      <c r="P399" s="19"/>
      <c r="Q399" s="21"/>
      <c r="R399" s="19"/>
      <c r="S399" s="19"/>
      <c r="T399" s="19"/>
      <c r="U399" s="19"/>
      <c r="V399" s="21"/>
    </row>
    <row r="400" spans="1:22" x14ac:dyDescent="0.3">
      <c r="A400" s="1">
        <v>46031.25</v>
      </c>
      <c r="B400" s="2">
        <v>10</v>
      </c>
      <c r="C400" s="1" t="str">
        <f t="shared" si="14"/>
        <v>0</v>
      </c>
      <c r="D400" s="1" t="str">
        <f t="shared" si="15"/>
        <v>0</v>
      </c>
      <c r="N400" s="19"/>
      <c r="O400" s="19"/>
      <c r="P400" s="19"/>
      <c r="Q400" s="21"/>
      <c r="R400" s="19"/>
      <c r="S400" s="19"/>
      <c r="T400" s="19"/>
      <c r="U400" s="19"/>
      <c r="V400" s="21"/>
    </row>
    <row r="401" spans="1:22" x14ac:dyDescent="0.3">
      <c r="A401" s="1">
        <v>46031.270833333336</v>
      </c>
      <c r="B401" s="2">
        <v>10.5</v>
      </c>
      <c r="C401" s="1" t="str">
        <f t="shared" si="14"/>
        <v>0</v>
      </c>
      <c r="D401" s="1" t="str">
        <f t="shared" si="15"/>
        <v>0</v>
      </c>
      <c r="N401" s="19"/>
      <c r="O401" s="19"/>
      <c r="P401" s="19"/>
      <c r="Q401" s="21"/>
      <c r="R401" s="19"/>
      <c r="S401" s="19"/>
      <c r="T401" s="19"/>
      <c r="U401" s="19"/>
      <c r="V401" s="21"/>
    </row>
    <row r="402" spans="1:22" x14ac:dyDescent="0.3">
      <c r="A402" s="1">
        <v>46031.291666666664</v>
      </c>
      <c r="B402" s="2">
        <v>10.9</v>
      </c>
      <c r="C402" s="1" t="str">
        <f t="shared" si="14"/>
        <v>0</v>
      </c>
      <c r="D402" s="1" t="str">
        <f t="shared" si="15"/>
        <v>0</v>
      </c>
      <c r="N402" s="19"/>
      <c r="O402" s="19"/>
      <c r="P402" s="19"/>
      <c r="Q402" s="21"/>
      <c r="R402" s="19"/>
      <c r="S402" s="19"/>
      <c r="T402" s="19"/>
      <c r="U402" s="19"/>
      <c r="V402" s="21"/>
    </row>
    <row r="403" spans="1:22" x14ac:dyDescent="0.3">
      <c r="A403" s="1">
        <v>46031.3125</v>
      </c>
      <c r="B403" s="2">
        <v>11.4</v>
      </c>
      <c r="C403" s="1" t="str">
        <f t="shared" si="14"/>
        <v>0</v>
      </c>
      <c r="D403" s="1" t="str">
        <f t="shared" si="15"/>
        <v>0</v>
      </c>
      <c r="N403" s="19"/>
      <c r="O403" s="19"/>
      <c r="P403" s="19"/>
      <c r="Q403" s="21"/>
      <c r="R403" s="19"/>
      <c r="S403" s="19"/>
      <c r="T403" s="19"/>
      <c r="U403" s="19"/>
      <c r="V403" s="21"/>
    </row>
    <row r="404" spans="1:22" x14ac:dyDescent="0.3">
      <c r="A404" s="1">
        <v>46031.333333333336</v>
      </c>
      <c r="B404" s="2">
        <v>12.2</v>
      </c>
      <c r="C404" s="1" t="str">
        <f t="shared" si="14"/>
        <v>0</v>
      </c>
      <c r="D404" s="1" t="str">
        <f t="shared" si="15"/>
        <v>0</v>
      </c>
      <c r="N404" s="19"/>
      <c r="O404" s="19"/>
      <c r="P404" s="19"/>
      <c r="Q404" s="21"/>
      <c r="R404" s="19"/>
      <c r="S404" s="19"/>
      <c r="T404" s="19"/>
      <c r="U404" s="19"/>
      <c r="V404" s="21"/>
    </row>
    <row r="405" spans="1:22" x14ac:dyDescent="0.3">
      <c r="A405" s="1">
        <v>46031.354166666664</v>
      </c>
      <c r="B405" s="2">
        <v>12.2</v>
      </c>
      <c r="C405" s="1" t="str">
        <f t="shared" si="14"/>
        <v>0</v>
      </c>
      <c r="D405" s="1" t="str">
        <f t="shared" si="15"/>
        <v>0</v>
      </c>
      <c r="N405" s="19"/>
      <c r="O405" s="19"/>
      <c r="P405" s="19"/>
      <c r="Q405" s="21"/>
      <c r="R405" s="19"/>
      <c r="S405" s="19"/>
      <c r="T405" s="19"/>
      <c r="U405" s="19"/>
      <c r="V405" s="21"/>
    </row>
    <row r="406" spans="1:22" x14ac:dyDescent="0.3">
      <c r="A406" s="1">
        <v>46031.375</v>
      </c>
      <c r="B406" s="2">
        <v>12.6</v>
      </c>
      <c r="C406" s="1" t="str">
        <f t="shared" si="14"/>
        <v>0</v>
      </c>
      <c r="D406" s="1" t="str">
        <f t="shared" si="15"/>
        <v>0</v>
      </c>
      <c r="N406" s="19"/>
      <c r="O406" s="19"/>
      <c r="P406" s="19"/>
      <c r="Q406" s="21"/>
      <c r="R406" s="19"/>
      <c r="S406" s="19"/>
      <c r="T406" s="19"/>
      <c r="U406" s="19"/>
      <c r="V406" s="21"/>
    </row>
    <row r="407" spans="1:22" x14ac:dyDescent="0.3">
      <c r="A407" s="1">
        <v>46031.395833333336</v>
      </c>
      <c r="B407" s="2">
        <v>13</v>
      </c>
      <c r="C407" s="1" t="str">
        <f t="shared" si="14"/>
        <v>0</v>
      </c>
      <c r="D407" s="1" t="str">
        <f t="shared" si="15"/>
        <v>0</v>
      </c>
      <c r="N407" s="19"/>
      <c r="O407" s="19"/>
      <c r="P407" s="19"/>
      <c r="Q407" s="21"/>
      <c r="R407" s="19"/>
      <c r="S407" s="19"/>
      <c r="T407" s="19"/>
      <c r="U407" s="19"/>
      <c r="V407" s="21"/>
    </row>
    <row r="408" spans="1:22" x14ac:dyDescent="0.3">
      <c r="A408" s="1">
        <v>46031.416666666664</v>
      </c>
      <c r="B408" s="2">
        <v>13.7</v>
      </c>
      <c r="C408" s="1" t="str">
        <f t="shared" si="14"/>
        <v>0</v>
      </c>
      <c r="D408" s="1" t="str">
        <f t="shared" si="15"/>
        <v>0</v>
      </c>
      <c r="N408" s="19"/>
      <c r="O408" s="19"/>
      <c r="P408" s="19"/>
      <c r="Q408" s="21"/>
      <c r="R408" s="19"/>
      <c r="S408" s="19"/>
      <c r="T408" s="19"/>
      <c r="U408" s="19"/>
      <c r="V408" s="21"/>
    </row>
    <row r="409" spans="1:22" x14ac:dyDescent="0.3">
      <c r="A409" s="1">
        <v>46031.4375</v>
      </c>
      <c r="B409" s="2">
        <v>14.2</v>
      </c>
      <c r="C409" s="1" t="str">
        <f t="shared" si="14"/>
        <v>0</v>
      </c>
      <c r="D409" s="1" t="str">
        <f t="shared" si="15"/>
        <v>0</v>
      </c>
      <c r="N409" s="19"/>
      <c r="O409" s="19"/>
      <c r="P409" s="19"/>
      <c r="Q409" s="21"/>
      <c r="R409" s="19"/>
      <c r="S409" s="19"/>
      <c r="T409" s="19"/>
      <c r="U409" s="19"/>
      <c r="V409" s="21"/>
    </row>
    <row r="410" spans="1:22" x14ac:dyDescent="0.3">
      <c r="A410" s="1">
        <v>46031.458333333336</v>
      </c>
      <c r="B410" s="2">
        <v>14.4</v>
      </c>
      <c r="C410" s="1" t="str">
        <f t="shared" si="14"/>
        <v>0</v>
      </c>
      <c r="D410" s="1" t="str">
        <f t="shared" si="15"/>
        <v>0</v>
      </c>
      <c r="N410" s="19"/>
      <c r="O410" s="19"/>
      <c r="P410" s="19"/>
      <c r="Q410" s="21"/>
      <c r="R410" s="19"/>
      <c r="S410" s="19"/>
      <c r="T410" s="19"/>
      <c r="U410" s="19"/>
      <c r="V410" s="21"/>
    </row>
    <row r="411" spans="1:22" x14ac:dyDescent="0.3">
      <c r="A411" s="1">
        <v>46031.479166666664</v>
      </c>
      <c r="B411" s="2">
        <v>14.7</v>
      </c>
      <c r="C411" s="1" t="str">
        <f t="shared" si="14"/>
        <v>0</v>
      </c>
      <c r="D411" s="1" t="str">
        <f t="shared" si="15"/>
        <v>0</v>
      </c>
      <c r="N411" s="19"/>
      <c r="O411" s="19"/>
      <c r="P411" s="19"/>
      <c r="Q411" s="21"/>
      <c r="R411" s="19"/>
      <c r="S411" s="19"/>
      <c r="T411" s="19"/>
      <c r="U411" s="19"/>
      <c r="V411" s="21"/>
    </row>
    <row r="412" spans="1:22" x14ac:dyDescent="0.3">
      <c r="A412" s="1">
        <v>46031.5</v>
      </c>
      <c r="B412" s="2">
        <v>14.7</v>
      </c>
      <c r="C412" s="1" t="str">
        <f t="shared" si="14"/>
        <v>0</v>
      </c>
      <c r="D412" s="1" t="str">
        <f t="shared" si="15"/>
        <v>0</v>
      </c>
      <c r="N412" s="19"/>
      <c r="O412" s="19"/>
      <c r="P412" s="19"/>
      <c r="Q412" s="21"/>
      <c r="R412" s="19"/>
      <c r="S412" s="19"/>
      <c r="T412" s="19"/>
      <c r="U412" s="19"/>
      <c r="V412" s="21"/>
    </row>
    <row r="413" spans="1:22" x14ac:dyDescent="0.3">
      <c r="A413" s="1">
        <v>46031.520833333336</v>
      </c>
      <c r="B413" s="2">
        <v>14.6</v>
      </c>
      <c r="C413" s="1" t="str">
        <f t="shared" si="14"/>
        <v>0</v>
      </c>
      <c r="D413" s="1" t="str">
        <f t="shared" si="15"/>
        <v>0</v>
      </c>
      <c r="N413" s="19"/>
      <c r="O413" s="19"/>
      <c r="P413" s="19"/>
      <c r="Q413" s="21"/>
      <c r="R413" s="19"/>
      <c r="S413" s="19"/>
      <c r="T413" s="19"/>
      <c r="U413" s="19"/>
      <c r="V413" s="21"/>
    </row>
    <row r="414" spans="1:22" x14ac:dyDescent="0.3">
      <c r="A414" s="1">
        <v>46031.541666666664</v>
      </c>
      <c r="B414" s="2">
        <v>14.4</v>
      </c>
      <c r="C414" s="1" t="str">
        <f t="shared" si="14"/>
        <v>0</v>
      </c>
      <c r="D414" s="1" t="str">
        <f t="shared" si="15"/>
        <v>0</v>
      </c>
      <c r="N414" s="19"/>
      <c r="O414" s="19"/>
      <c r="P414" s="19"/>
      <c r="Q414" s="21"/>
      <c r="R414" s="19"/>
      <c r="S414" s="19"/>
      <c r="T414" s="19"/>
      <c r="U414" s="19"/>
      <c r="V414" s="21"/>
    </row>
    <row r="415" spans="1:22" x14ac:dyDescent="0.3">
      <c r="A415" s="1">
        <v>46031.5625</v>
      </c>
      <c r="B415" s="2">
        <v>14.3</v>
      </c>
      <c r="C415" s="1" t="str">
        <f t="shared" si="14"/>
        <v>0</v>
      </c>
      <c r="D415" s="1" t="str">
        <f t="shared" si="15"/>
        <v>0</v>
      </c>
      <c r="N415" s="19"/>
      <c r="O415" s="19"/>
      <c r="P415" s="19"/>
      <c r="Q415" s="21"/>
      <c r="R415" s="19"/>
      <c r="S415" s="19"/>
      <c r="T415" s="19"/>
      <c r="U415" s="19"/>
      <c r="V415" s="21"/>
    </row>
    <row r="416" spans="1:22" x14ac:dyDescent="0.3">
      <c r="A416" s="1">
        <v>46031.583333333336</v>
      </c>
      <c r="B416" s="2">
        <v>14.2</v>
      </c>
      <c r="C416" s="1" t="str">
        <f t="shared" si="14"/>
        <v>0</v>
      </c>
      <c r="D416" s="1" t="str">
        <f t="shared" si="15"/>
        <v>0</v>
      </c>
      <c r="N416" s="19"/>
      <c r="O416" s="19"/>
      <c r="P416" s="19"/>
      <c r="Q416" s="21"/>
      <c r="R416" s="19"/>
      <c r="S416" s="19"/>
      <c r="T416" s="19"/>
      <c r="U416" s="19"/>
      <c r="V416" s="21"/>
    </row>
    <row r="417" spans="1:22" x14ac:dyDescent="0.3">
      <c r="A417" s="1">
        <v>46031.604166666664</v>
      </c>
      <c r="B417" s="2">
        <v>14.3</v>
      </c>
      <c r="C417" s="1" t="str">
        <f t="shared" si="14"/>
        <v>0</v>
      </c>
      <c r="D417" s="1" t="str">
        <f t="shared" si="15"/>
        <v>0</v>
      </c>
      <c r="N417" s="19"/>
      <c r="O417" s="19"/>
      <c r="P417" s="19"/>
      <c r="Q417" s="21"/>
      <c r="R417" s="19"/>
      <c r="S417" s="19"/>
      <c r="T417" s="19"/>
      <c r="U417" s="19"/>
      <c r="V417" s="21"/>
    </row>
    <row r="418" spans="1:22" x14ac:dyDescent="0.3">
      <c r="A418" s="1">
        <v>46031.625</v>
      </c>
      <c r="B418" s="2">
        <v>14.9</v>
      </c>
      <c r="C418" s="1" t="str">
        <f t="shared" si="14"/>
        <v>0</v>
      </c>
      <c r="D418" s="1" t="str">
        <f t="shared" si="15"/>
        <v>0</v>
      </c>
      <c r="N418" s="19"/>
      <c r="O418" s="19"/>
      <c r="P418" s="19"/>
      <c r="Q418" s="21"/>
      <c r="R418" s="19"/>
      <c r="S418" s="19"/>
      <c r="T418" s="19"/>
      <c r="U418" s="19"/>
      <c r="V418" s="21"/>
    </row>
    <row r="419" spans="1:22" x14ac:dyDescent="0.3">
      <c r="A419" s="1">
        <v>46031.645833333336</v>
      </c>
      <c r="B419" s="2">
        <v>14.7</v>
      </c>
      <c r="C419" s="1" t="str">
        <f t="shared" si="14"/>
        <v>0</v>
      </c>
      <c r="D419" s="1" t="str">
        <f t="shared" si="15"/>
        <v>0</v>
      </c>
      <c r="N419" s="19"/>
      <c r="O419" s="19"/>
      <c r="P419" s="19"/>
      <c r="Q419" s="21"/>
      <c r="R419" s="19"/>
      <c r="S419" s="19"/>
      <c r="T419" s="19"/>
      <c r="U419" s="19"/>
      <c r="V419" s="21"/>
    </row>
    <row r="420" spans="1:22" x14ac:dyDescent="0.3">
      <c r="A420" s="1">
        <v>46031.666666666664</v>
      </c>
      <c r="B420" s="2">
        <v>14.4</v>
      </c>
      <c r="C420" s="1" t="str">
        <f t="shared" si="14"/>
        <v>0</v>
      </c>
      <c r="D420" s="1" t="str">
        <f t="shared" si="15"/>
        <v>0</v>
      </c>
      <c r="N420" s="19"/>
      <c r="O420" s="19"/>
      <c r="P420" s="19"/>
      <c r="Q420" s="21"/>
      <c r="R420" s="19"/>
      <c r="S420" s="19"/>
      <c r="T420" s="19"/>
      <c r="U420" s="19"/>
      <c r="V420" s="21"/>
    </row>
    <row r="421" spans="1:22" x14ac:dyDescent="0.3">
      <c r="A421" s="1">
        <v>46031.6875</v>
      </c>
      <c r="B421" s="2">
        <v>14.1</v>
      </c>
      <c r="C421" s="1" t="str">
        <f t="shared" si="14"/>
        <v>0</v>
      </c>
      <c r="D421" s="1" t="str">
        <f t="shared" si="15"/>
        <v>0</v>
      </c>
      <c r="N421" s="19"/>
      <c r="O421" s="19"/>
      <c r="P421" s="19"/>
      <c r="Q421" s="21"/>
      <c r="R421" s="19"/>
      <c r="S421" s="19"/>
      <c r="T421" s="19"/>
      <c r="U421" s="19"/>
      <c r="V421" s="21"/>
    </row>
    <row r="422" spans="1:22" x14ac:dyDescent="0.3">
      <c r="A422" s="1">
        <v>46031.708333333336</v>
      </c>
      <c r="B422" s="2">
        <v>13.7</v>
      </c>
      <c r="C422" s="1" t="str">
        <f t="shared" si="14"/>
        <v>0</v>
      </c>
      <c r="D422" s="1" t="str">
        <f t="shared" si="15"/>
        <v>0</v>
      </c>
      <c r="N422" s="19"/>
      <c r="O422" s="19"/>
      <c r="P422" s="19"/>
      <c r="Q422" s="21"/>
      <c r="R422" s="19"/>
      <c r="S422" s="19"/>
      <c r="T422" s="19"/>
      <c r="U422" s="19"/>
      <c r="V422" s="21"/>
    </row>
    <row r="423" spans="1:22" x14ac:dyDescent="0.3">
      <c r="A423" s="1">
        <v>46031.729166666664</v>
      </c>
      <c r="B423" s="2">
        <v>13.3</v>
      </c>
      <c r="C423" s="1" t="str">
        <f t="shared" si="14"/>
        <v>0</v>
      </c>
      <c r="D423" s="1" t="str">
        <f t="shared" si="15"/>
        <v>0</v>
      </c>
      <c r="N423" s="19"/>
      <c r="O423" s="19"/>
      <c r="P423" s="19"/>
      <c r="Q423" s="21"/>
      <c r="R423" s="19"/>
      <c r="S423" s="19"/>
      <c r="T423" s="19"/>
      <c r="U423" s="19"/>
      <c r="V423" s="21"/>
    </row>
    <row r="424" spans="1:22" x14ac:dyDescent="0.3">
      <c r="A424" s="1">
        <v>46031.75</v>
      </c>
      <c r="B424" s="2">
        <v>13.3</v>
      </c>
      <c r="C424" s="1" t="str">
        <f t="shared" si="14"/>
        <v>0</v>
      </c>
      <c r="D424" s="1" t="str">
        <f t="shared" si="15"/>
        <v>0</v>
      </c>
      <c r="N424" s="19"/>
      <c r="O424" s="19"/>
      <c r="P424" s="19"/>
      <c r="Q424" s="21"/>
      <c r="R424" s="19"/>
      <c r="S424" s="19"/>
      <c r="T424" s="19"/>
      <c r="U424" s="19"/>
      <c r="V424" s="21"/>
    </row>
    <row r="425" spans="1:22" x14ac:dyDescent="0.3">
      <c r="A425" s="1">
        <v>46031.770833333336</v>
      </c>
      <c r="B425" s="2">
        <v>13</v>
      </c>
      <c r="C425" s="1" t="str">
        <f t="shared" si="14"/>
        <v>0</v>
      </c>
      <c r="D425" s="1" t="str">
        <f t="shared" si="15"/>
        <v>0</v>
      </c>
      <c r="N425" s="19"/>
      <c r="O425" s="19"/>
      <c r="P425" s="19"/>
      <c r="Q425" s="21"/>
      <c r="R425" s="19"/>
      <c r="S425" s="19"/>
      <c r="T425" s="19"/>
      <c r="U425" s="19"/>
      <c r="V425" s="21"/>
    </row>
    <row r="426" spans="1:22" x14ac:dyDescent="0.3">
      <c r="A426" s="1">
        <v>46031.791666666664</v>
      </c>
      <c r="B426" s="2">
        <v>13</v>
      </c>
      <c r="C426" s="1" t="str">
        <f t="shared" si="14"/>
        <v>0</v>
      </c>
      <c r="D426" s="1" t="str">
        <f t="shared" si="15"/>
        <v>0</v>
      </c>
      <c r="N426" s="19"/>
      <c r="O426" s="19"/>
      <c r="P426" s="19"/>
      <c r="Q426" s="21"/>
      <c r="R426" s="19"/>
      <c r="S426" s="19"/>
      <c r="T426" s="19"/>
      <c r="U426" s="19"/>
      <c r="V426" s="21"/>
    </row>
    <row r="427" spans="1:22" x14ac:dyDescent="0.3">
      <c r="A427" s="1">
        <v>46031.8125</v>
      </c>
      <c r="B427" s="2">
        <v>13.2</v>
      </c>
      <c r="C427" s="1" t="str">
        <f t="shared" si="14"/>
        <v>0</v>
      </c>
      <c r="D427" s="1" t="str">
        <f t="shared" si="15"/>
        <v>0</v>
      </c>
      <c r="N427" s="19"/>
      <c r="O427" s="19"/>
      <c r="P427" s="19"/>
      <c r="Q427" s="21"/>
      <c r="R427" s="19"/>
      <c r="S427" s="19"/>
      <c r="T427" s="19"/>
      <c r="U427" s="19"/>
      <c r="V427" s="21"/>
    </row>
    <row r="428" spans="1:22" x14ac:dyDescent="0.3">
      <c r="A428" s="1">
        <v>46031.833333333336</v>
      </c>
      <c r="B428" s="2">
        <v>13.2</v>
      </c>
      <c r="C428" s="1" t="str">
        <f t="shared" si="14"/>
        <v>0</v>
      </c>
      <c r="D428" s="1" t="str">
        <f t="shared" si="15"/>
        <v>0</v>
      </c>
      <c r="N428" s="19"/>
      <c r="O428" s="19"/>
      <c r="P428" s="19"/>
      <c r="Q428" s="21"/>
      <c r="R428" s="19"/>
      <c r="S428" s="19"/>
      <c r="T428" s="19"/>
      <c r="U428" s="19"/>
      <c r="V428" s="21"/>
    </row>
    <row r="429" spans="1:22" x14ac:dyDescent="0.3">
      <c r="A429" s="1">
        <v>46031.854166666664</v>
      </c>
      <c r="B429" s="2">
        <v>13</v>
      </c>
      <c r="C429" s="1" t="str">
        <f t="shared" si="14"/>
        <v>0</v>
      </c>
      <c r="D429" s="1" t="str">
        <f t="shared" si="15"/>
        <v>0</v>
      </c>
      <c r="N429" s="19"/>
      <c r="O429" s="19"/>
      <c r="P429" s="19"/>
      <c r="Q429" s="21"/>
      <c r="R429" s="19"/>
      <c r="S429" s="19"/>
      <c r="T429" s="19"/>
      <c r="U429" s="19"/>
      <c r="V429" s="21"/>
    </row>
    <row r="430" spans="1:22" x14ac:dyDescent="0.3">
      <c r="A430" s="1">
        <v>46031.875</v>
      </c>
      <c r="B430" s="2">
        <v>12.8</v>
      </c>
      <c r="C430" s="1" t="str">
        <f t="shared" si="14"/>
        <v>0</v>
      </c>
      <c r="D430" s="1" t="str">
        <f t="shared" si="15"/>
        <v>0</v>
      </c>
      <c r="N430" s="19"/>
      <c r="O430" s="19"/>
      <c r="P430" s="19"/>
      <c r="Q430" s="21"/>
      <c r="R430" s="19"/>
      <c r="S430" s="19"/>
      <c r="T430" s="19"/>
      <c r="U430" s="19"/>
      <c r="V430" s="21"/>
    </row>
    <row r="431" spans="1:22" x14ac:dyDescent="0.3">
      <c r="A431" s="1">
        <v>46031.895833333336</v>
      </c>
      <c r="B431" s="2">
        <v>12.7</v>
      </c>
      <c r="C431" s="1" t="str">
        <f t="shared" si="14"/>
        <v>0</v>
      </c>
      <c r="D431" s="1" t="str">
        <f t="shared" si="15"/>
        <v>0</v>
      </c>
      <c r="N431" s="19"/>
      <c r="O431" s="19"/>
      <c r="P431" s="19"/>
      <c r="Q431" s="21"/>
      <c r="R431" s="19"/>
      <c r="S431" s="19"/>
      <c r="T431" s="19"/>
      <c r="U431" s="19"/>
      <c r="V431" s="21"/>
    </row>
    <row r="432" spans="1:22" x14ac:dyDescent="0.3">
      <c r="A432" s="1">
        <v>46031.916666666664</v>
      </c>
      <c r="B432" s="2">
        <v>12.8</v>
      </c>
      <c r="C432" s="1" t="str">
        <f t="shared" si="14"/>
        <v>0</v>
      </c>
      <c r="D432" s="1" t="str">
        <f t="shared" si="15"/>
        <v>0</v>
      </c>
      <c r="N432" s="19"/>
      <c r="O432" s="19"/>
      <c r="P432" s="19"/>
      <c r="Q432" s="21"/>
      <c r="R432" s="19"/>
      <c r="S432" s="19"/>
      <c r="T432" s="19"/>
      <c r="U432" s="19"/>
      <c r="V432" s="21"/>
    </row>
    <row r="433" spans="1:22" x14ac:dyDescent="0.3">
      <c r="A433" s="1">
        <v>46031.9375</v>
      </c>
      <c r="B433" s="2">
        <v>12.8</v>
      </c>
      <c r="C433" s="1" t="str">
        <f t="shared" si="14"/>
        <v>0</v>
      </c>
      <c r="D433" s="1" t="str">
        <f t="shared" si="15"/>
        <v>0</v>
      </c>
      <c r="N433" s="19"/>
      <c r="O433" s="19"/>
      <c r="P433" s="19"/>
      <c r="Q433" s="21"/>
      <c r="R433" s="19"/>
      <c r="S433" s="19"/>
      <c r="T433" s="19"/>
      <c r="U433" s="19"/>
      <c r="V433" s="21"/>
    </row>
    <row r="434" spans="1:22" x14ac:dyDescent="0.3">
      <c r="A434" s="1">
        <v>46031.958333333336</v>
      </c>
      <c r="B434" s="2">
        <v>12.5</v>
      </c>
      <c r="C434" s="1" t="str">
        <f t="shared" si="14"/>
        <v>0</v>
      </c>
      <c r="D434" s="1" t="str">
        <f t="shared" si="15"/>
        <v>0</v>
      </c>
      <c r="N434" s="19"/>
      <c r="O434" s="19"/>
      <c r="P434" s="19"/>
      <c r="Q434" s="21"/>
      <c r="R434" s="19"/>
      <c r="S434" s="19"/>
      <c r="T434" s="19"/>
      <c r="U434" s="19"/>
      <c r="V434" s="21"/>
    </row>
    <row r="435" spans="1:22" x14ac:dyDescent="0.3">
      <c r="A435" s="1">
        <v>46031.97861111111</v>
      </c>
      <c r="B435" s="2">
        <v>11.3</v>
      </c>
      <c r="C435" s="1" t="str">
        <f t="shared" si="14"/>
        <v>0</v>
      </c>
      <c r="D435" s="1" t="str">
        <f t="shared" si="15"/>
        <v>0</v>
      </c>
      <c r="N435" s="19"/>
      <c r="O435" s="19"/>
      <c r="P435" s="19"/>
      <c r="Q435" s="21"/>
      <c r="R435" s="19"/>
      <c r="S435" s="19"/>
      <c r="T435" s="19"/>
      <c r="U435" s="19"/>
      <c r="V435" s="21"/>
    </row>
    <row r="436" spans="1:22" x14ac:dyDescent="0.3">
      <c r="A436" s="1">
        <v>46031.979166666664</v>
      </c>
      <c r="B436" s="2">
        <v>11.4</v>
      </c>
      <c r="C436" s="1" t="str">
        <f t="shared" si="14"/>
        <v>0</v>
      </c>
      <c r="D436" s="1" t="str">
        <f t="shared" si="15"/>
        <v>0</v>
      </c>
      <c r="N436" s="19"/>
      <c r="O436" s="19"/>
      <c r="P436" s="19"/>
      <c r="Q436" s="21"/>
      <c r="R436" s="19"/>
      <c r="S436" s="19"/>
      <c r="T436" s="19"/>
      <c r="U436" s="19"/>
      <c r="V436" s="21"/>
    </row>
    <row r="437" spans="1:22" x14ac:dyDescent="0.3">
      <c r="A437" s="1">
        <v>46032</v>
      </c>
      <c r="B437" s="2">
        <v>11.4</v>
      </c>
      <c r="C437" s="1" t="str">
        <f t="shared" si="14"/>
        <v>0</v>
      </c>
      <c r="D437" s="1" t="str">
        <f t="shared" si="15"/>
        <v>0</v>
      </c>
      <c r="N437" s="19"/>
      <c r="O437" s="19"/>
      <c r="P437" s="19"/>
      <c r="Q437" s="21"/>
      <c r="R437" s="19"/>
      <c r="S437" s="19"/>
      <c r="T437" s="19"/>
      <c r="U437" s="19"/>
      <c r="V437" s="21"/>
    </row>
    <row r="438" spans="1:22" x14ac:dyDescent="0.3">
      <c r="A438" s="1">
        <v>46032.020833333336</v>
      </c>
      <c r="B438" s="2">
        <v>11.2</v>
      </c>
      <c r="C438" s="1" t="str">
        <f t="shared" si="14"/>
        <v>0</v>
      </c>
      <c r="D438" s="1" t="str">
        <f t="shared" si="15"/>
        <v>0</v>
      </c>
      <c r="N438" s="19"/>
      <c r="O438" s="19"/>
      <c r="P438" s="19"/>
      <c r="Q438" s="21"/>
      <c r="R438" s="19"/>
      <c r="S438" s="19"/>
      <c r="T438" s="19"/>
      <c r="U438" s="19"/>
      <c r="V438" s="21"/>
    </row>
    <row r="439" spans="1:22" x14ac:dyDescent="0.3">
      <c r="A439" s="1">
        <v>46032.041666666664</v>
      </c>
      <c r="B439" s="2">
        <v>11.3</v>
      </c>
      <c r="C439" s="1" t="str">
        <f t="shared" si="14"/>
        <v>0</v>
      </c>
      <c r="D439" s="1" t="str">
        <f t="shared" si="15"/>
        <v>0</v>
      </c>
      <c r="N439" s="19"/>
      <c r="O439" s="19"/>
      <c r="P439" s="19"/>
      <c r="Q439" s="21"/>
      <c r="R439" s="19"/>
      <c r="S439" s="19"/>
      <c r="T439" s="19"/>
      <c r="U439" s="19"/>
      <c r="V439" s="21"/>
    </row>
    <row r="440" spans="1:22" x14ac:dyDescent="0.3">
      <c r="A440" s="1">
        <v>46032.0625</v>
      </c>
      <c r="B440" s="2">
        <v>11.2</v>
      </c>
      <c r="C440" s="1" t="str">
        <f t="shared" si="14"/>
        <v>0</v>
      </c>
      <c r="D440" s="1" t="str">
        <f t="shared" si="15"/>
        <v>0</v>
      </c>
      <c r="N440" s="19"/>
      <c r="O440" s="19"/>
      <c r="P440" s="19"/>
      <c r="Q440" s="21"/>
      <c r="R440" s="19"/>
      <c r="S440" s="19"/>
      <c r="T440" s="19"/>
      <c r="U440" s="19"/>
      <c r="V440" s="21"/>
    </row>
    <row r="441" spans="1:22" x14ac:dyDescent="0.3">
      <c r="A441" s="1">
        <v>46032.083333333336</v>
      </c>
      <c r="B441" s="2">
        <v>11.6</v>
      </c>
      <c r="C441" s="1" t="str">
        <f t="shared" si="14"/>
        <v>0</v>
      </c>
      <c r="D441" s="1" t="str">
        <f t="shared" si="15"/>
        <v>0</v>
      </c>
      <c r="N441" s="19"/>
      <c r="O441" s="19"/>
      <c r="P441" s="19"/>
      <c r="Q441" s="21"/>
      <c r="R441" s="19"/>
      <c r="S441" s="19"/>
      <c r="T441" s="19"/>
      <c r="U441" s="19"/>
      <c r="V441" s="21"/>
    </row>
    <row r="442" spans="1:22" x14ac:dyDescent="0.3">
      <c r="A442" s="1">
        <v>46032.104166666664</v>
      </c>
      <c r="B442" s="2">
        <v>11.6</v>
      </c>
      <c r="C442" s="1" t="str">
        <f t="shared" si="14"/>
        <v>0</v>
      </c>
      <c r="D442" s="1" t="str">
        <f t="shared" si="15"/>
        <v>0</v>
      </c>
      <c r="N442" s="19"/>
      <c r="O442" s="19"/>
      <c r="P442" s="19"/>
      <c r="Q442" s="21"/>
      <c r="R442" s="19"/>
      <c r="S442" s="19"/>
      <c r="T442" s="19"/>
      <c r="U442" s="19"/>
      <c r="V442" s="21"/>
    </row>
    <row r="443" spans="1:22" x14ac:dyDescent="0.3">
      <c r="A443" s="1">
        <v>46032.125</v>
      </c>
      <c r="B443" s="2">
        <v>11.8</v>
      </c>
      <c r="C443" s="1" t="str">
        <f t="shared" si="14"/>
        <v>0</v>
      </c>
      <c r="D443" s="1" t="str">
        <f t="shared" si="15"/>
        <v>0</v>
      </c>
      <c r="N443" s="19"/>
      <c r="O443" s="19"/>
      <c r="P443" s="19"/>
      <c r="Q443" s="21"/>
      <c r="R443" s="19"/>
      <c r="S443" s="19"/>
      <c r="T443" s="19"/>
      <c r="U443" s="19"/>
      <c r="V443" s="21"/>
    </row>
    <row r="444" spans="1:22" x14ac:dyDescent="0.3">
      <c r="A444" s="1">
        <v>46032.145833333336</v>
      </c>
      <c r="B444" s="2">
        <v>10.9</v>
      </c>
      <c r="C444" s="1" t="str">
        <f t="shared" si="14"/>
        <v>0</v>
      </c>
      <c r="D444" s="1" t="str">
        <f t="shared" si="15"/>
        <v>0</v>
      </c>
      <c r="N444" s="19"/>
      <c r="O444" s="19"/>
      <c r="P444" s="19"/>
      <c r="Q444" s="21"/>
      <c r="R444" s="19"/>
      <c r="S444" s="19"/>
      <c r="T444" s="19"/>
      <c r="U444" s="19"/>
      <c r="V444" s="21"/>
    </row>
    <row r="445" spans="1:22" x14ac:dyDescent="0.3">
      <c r="A445" s="1">
        <v>46032.166666666664</v>
      </c>
      <c r="B445" s="2">
        <v>10.6</v>
      </c>
      <c r="C445" s="1" t="str">
        <f t="shared" si="14"/>
        <v>0</v>
      </c>
      <c r="D445" s="1" t="str">
        <f t="shared" si="15"/>
        <v>0</v>
      </c>
      <c r="N445" s="19"/>
      <c r="O445" s="19"/>
      <c r="P445" s="19"/>
      <c r="Q445" s="21"/>
      <c r="R445" s="19"/>
      <c r="S445" s="19"/>
      <c r="T445" s="19"/>
      <c r="U445" s="19"/>
      <c r="V445" s="21"/>
    </row>
    <row r="446" spans="1:22" x14ac:dyDescent="0.3">
      <c r="A446" s="1">
        <v>46032.1875</v>
      </c>
      <c r="B446" s="2">
        <v>11.3</v>
      </c>
      <c r="C446" s="1" t="str">
        <f t="shared" si="14"/>
        <v>0</v>
      </c>
      <c r="D446" s="1" t="str">
        <f t="shared" si="15"/>
        <v>0</v>
      </c>
      <c r="N446" s="19"/>
      <c r="O446" s="19"/>
      <c r="P446" s="19"/>
      <c r="Q446" s="21"/>
      <c r="R446" s="19"/>
      <c r="S446" s="19"/>
      <c r="T446" s="19"/>
      <c r="U446" s="19"/>
      <c r="V446" s="21"/>
    </row>
    <row r="447" spans="1:22" x14ac:dyDescent="0.3">
      <c r="A447" s="1">
        <v>46032.208333333336</v>
      </c>
      <c r="B447" s="2">
        <v>11.1</v>
      </c>
      <c r="C447" s="1" t="str">
        <f t="shared" si="14"/>
        <v>0</v>
      </c>
      <c r="D447" s="1" t="str">
        <f t="shared" si="15"/>
        <v>0</v>
      </c>
      <c r="N447" s="19"/>
      <c r="O447" s="19"/>
      <c r="P447" s="19"/>
      <c r="Q447" s="21"/>
      <c r="R447" s="19"/>
      <c r="S447" s="19"/>
      <c r="T447" s="19"/>
      <c r="U447" s="19"/>
      <c r="V447" s="21"/>
    </row>
    <row r="448" spans="1:22" x14ac:dyDescent="0.3">
      <c r="A448" s="1">
        <v>46032.229166666664</v>
      </c>
      <c r="B448" s="2">
        <v>7.6</v>
      </c>
      <c r="C448" s="1" t="str">
        <f t="shared" si="14"/>
        <v>0</v>
      </c>
      <c r="D448" s="1" t="str">
        <f t="shared" si="15"/>
        <v>0</v>
      </c>
      <c r="N448" s="19"/>
      <c r="O448" s="19"/>
      <c r="P448" s="19"/>
      <c r="Q448" s="21"/>
      <c r="R448" s="19"/>
      <c r="S448" s="19"/>
      <c r="T448" s="19"/>
      <c r="U448" s="19"/>
      <c r="V448" s="21"/>
    </row>
    <row r="449" spans="1:22" x14ac:dyDescent="0.3">
      <c r="A449" s="1">
        <v>46032.25</v>
      </c>
      <c r="B449" s="2">
        <v>7.3</v>
      </c>
      <c r="C449" s="1" t="str">
        <f t="shared" si="14"/>
        <v>0</v>
      </c>
      <c r="D449" s="1" t="str">
        <f t="shared" si="15"/>
        <v>0</v>
      </c>
      <c r="N449" s="19"/>
      <c r="O449" s="19"/>
      <c r="P449" s="19"/>
      <c r="Q449" s="21"/>
      <c r="R449" s="19"/>
      <c r="S449" s="19"/>
      <c r="T449" s="19"/>
      <c r="U449" s="19"/>
      <c r="V449" s="21"/>
    </row>
    <row r="450" spans="1:22" x14ac:dyDescent="0.3">
      <c r="A450" s="1">
        <v>46032.270833333336</v>
      </c>
      <c r="B450" s="2">
        <v>7.4</v>
      </c>
      <c r="C450" s="1" t="str">
        <f t="shared" si="14"/>
        <v>0</v>
      </c>
      <c r="D450" s="1" t="str">
        <f t="shared" si="15"/>
        <v>0</v>
      </c>
      <c r="N450" s="19"/>
      <c r="O450" s="19"/>
      <c r="P450" s="19"/>
      <c r="Q450" s="21"/>
      <c r="R450" s="19"/>
      <c r="S450" s="19"/>
      <c r="T450" s="19"/>
      <c r="U450" s="19"/>
      <c r="V450" s="21"/>
    </row>
    <row r="451" spans="1:22" x14ac:dyDescent="0.3">
      <c r="A451" s="1">
        <v>46032.291666666664</v>
      </c>
      <c r="B451" s="2">
        <v>7.6</v>
      </c>
      <c r="C451" s="1" t="str">
        <f t="shared" ref="C451:C514" si="16">IF(B451=$P$13,A451,"0")</f>
        <v>0</v>
      </c>
      <c r="D451" s="1" t="str">
        <f t="shared" ref="D451:D514" si="17">IF(B451=$M$13,A451,"0")</f>
        <v>0</v>
      </c>
      <c r="N451" s="19"/>
      <c r="O451" s="19"/>
      <c r="P451" s="19"/>
      <c r="Q451" s="21"/>
      <c r="R451" s="19"/>
      <c r="S451" s="19"/>
      <c r="T451" s="19"/>
      <c r="U451" s="19"/>
      <c r="V451" s="21"/>
    </row>
    <row r="452" spans="1:22" x14ac:dyDescent="0.3">
      <c r="A452" s="1">
        <v>46032.3125</v>
      </c>
      <c r="B452" s="2">
        <v>7.4</v>
      </c>
      <c r="C452" s="1" t="str">
        <f t="shared" si="16"/>
        <v>0</v>
      </c>
      <c r="D452" s="1" t="str">
        <f t="shared" si="17"/>
        <v>0</v>
      </c>
      <c r="N452" s="19"/>
      <c r="O452" s="19"/>
      <c r="P452" s="19"/>
      <c r="Q452" s="21"/>
      <c r="R452" s="19"/>
      <c r="S452" s="19"/>
      <c r="T452" s="19"/>
      <c r="U452" s="19"/>
      <c r="V452" s="21"/>
    </row>
    <row r="453" spans="1:22" x14ac:dyDescent="0.3">
      <c r="A453" s="1">
        <v>46032.333333333336</v>
      </c>
      <c r="B453" s="2">
        <v>7.9</v>
      </c>
      <c r="C453" s="1" t="str">
        <f t="shared" si="16"/>
        <v>0</v>
      </c>
      <c r="D453" s="1" t="str">
        <f t="shared" si="17"/>
        <v>0</v>
      </c>
      <c r="N453" s="19"/>
      <c r="O453" s="19"/>
      <c r="P453" s="19"/>
      <c r="Q453" s="21"/>
      <c r="R453" s="19"/>
      <c r="S453" s="19"/>
      <c r="T453" s="19"/>
      <c r="U453" s="19"/>
      <c r="V453" s="21"/>
    </row>
    <row r="454" spans="1:22" x14ac:dyDescent="0.3">
      <c r="A454" s="1">
        <v>46032.354166666664</v>
      </c>
      <c r="B454" s="2">
        <v>8</v>
      </c>
      <c r="C454" s="1" t="str">
        <f t="shared" si="16"/>
        <v>0</v>
      </c>
      <c r="D454" s="1" t="str">
        <f t="shared" si="17"/>
        <v>0</v>
      </c>
      <c r="N454" s="19"/>
      <c r="O454" s="19"/>
      <c r="P454" s="19"/>
      <c r="Q454" s="21"/>
      <c r="R454" s="19"/>
      <c r="S454" s="19"/>
      <c r="T454" s="19"/>
      <c r="U454" s="19"/>
      <c r="V454" s="21"/>
    </row>
    <row r="455" spans="1:22" x14ac:dyDescent="0.3">
      <c r="A455" s="1">
        <v>46032.35837962963</v>
      </c>
      <c r="B455" s="2">
        <v>8.1</v>
      </c>
      <c r="C455" s="1" t="str">
        <f t="shared" si="16"/>
        <v>0</v>
      </c>
      <c r="D455" s="1" t="str">
        <f t="shared" si="17"/>
        <v>0</v>
      </c>
      <c r="N455" s="19"/>
      <c r="O455" s="19"/>
      <c r="P455" s="19"/>
      <c r="Q455" s="21"/>
      <c r="R455" s="19"/>
      <c r="S455" s="19"/>
      <c r="T455" s="19"/>
      <c r="U455" s="19"/>
      <c r="V455" s="21"/>
    </row>
    <row r="456" spans="1:22" x14ac:dyDescent="0.3">
      <c r="A456" s="1">
        <v>46032.375</v>
      </c>
      <c r="B456" s="2">
        <v>7.9</v>
      </c>
      <c r="C456" s="1" t="str">
        <f t="shared" si="16"/>
        <v>0</v>
      </c>
      <c r="D456" s="1" t="str">
        <f t="shared" si="17"/>
        <v>0</v>
      </c>
      <c r="N456" s="19"/>
      <c r="O456" s="19"/>
      <c r="P456" s="19"/>
      <c r="Q456" s="21"/>
      <c r="R456" s="19"/>
      <c r="S456" s="19"/>
      <c r="T456" s="19"/>
      <c r="U456" s="19"/>
      <c r="V456" s="21"/>
    </row>
    <row r="457" spans="1:22" x14ac:dyDescent="0.3">
      <c r="A457" s="1">
        <v>46032.395833333336</v>
      </c>
      <c r="B457" s="2">
        <v>7.8</v>
      </c>
      <c r="C457" s="1" t="str">
        <f t="shared" si="16"/>
        <v>0</v>
      </c>
      <c r="D457" s="1" t="str">
        <f t="shared" si="17"/>
        <v>0</v>
      </c>
      <c r="N457" s="19"/>
      <c r="O457" s="19"/>
      <c r="P457" s="19"/>
      <c r="Q457" s="21"/>
      <c r="R457" s="19"/>
      <c r="S457" s="19"/>
      <c r="T457" s="19"/>
      <c r="U457" s="19"/>
      <c r="V457" s="21"/>
    </row>
    <row r="458" spans="1:22" x14ac:dyDescent="0.3">
      <c r="A458" s="1">
        <v>46032.416666666664</v>
      </c>
      <c r="B458" s="2">
        <v>7.6</v>
      </c>
      <c r="C458" s="1" t="str">
        <f t="shared" si="16"/>
        <v>0</v>
      </c>
      <c r="D458" s="1" t="str">
        <f t="shared" si="17"/>
        <v>0</v>
      </c>
      <c r="N458" s="19"/>
      <c r="O458" s="19"/>
      <c r="P458" s="19"/>
      <c r="Q458" s="21"/>
      <c r="R458" s="19"/>
      <c r="S458" s="19"/>
      <c r="T458" s="19"/>
      <c r="U458" s="19"/>
      <c r="V458" s="21"/>
    </row>
    <row r="459" spans="1:22" x14ac:dyDescent="0.3">
      <c r="A459" s="1">
        <v>46032.4375</v>
      </c>
      <c r="B459" s="2">
        <v>6.9</v>
      </c>
      <c r="C459" s="1" t="str">
        <f t="shared" si="16"/>
        <v>0</v>
      </c>
      <c r="D459" s="1" t="str">
        <f t="shared" si="17"/>
        <v>0</v>
      </c>
      <c r="N459" s="19"/>
      <c r="O459" s="19"/>
      <c r="P459" s="19"/>
      <c r="Q459" s="21"/>
      <c r="R459" s="19"/>
      <c r="S459" s="19"/>
      <c r="T459" s="19"/>
      <c r="U459" s="19"/>
      <c r="V459" s="21"/>
    </row>
    <row r="460" spans="1:22" x14ac:dyDescent="0.3">
      <c r="A460" s="1">
        <v>46032.458333333336</v>
      </c>
      <c r="B460" s="2">
        <v>7</v>
      </c>
      <c r="C460" s="1" t="str">
        <f t="shared" si="16"/>
        <v>0</v>
      </c>
      <c r="D460" s="1" t="str">
        <f t="shared" si="17"/>
        <v>0</v>
      </c>
      <c r="N460" s="19"/>
      <c r="O460" s="19"/>
      <c r="P460" s="19"/>
      <c r="Q460" s="21"/>
      <c r="R460" s="19"/>
      <c r="S460" s="19"/>
      <c r="T460" s="19"/>
      <c r="U460" s="19"/>
      <c r="V460" s="21"/>
    </row>
    <row r="461" spans="1:22" x14ac:dyDescent="0.3">
      <c r="A461" s="1">
        <v>46032.479166666664</v>
      </c>
      <c r="B461" s="2">
        <v>7.4</v>
      </c>
      <c r="C461" s="1" t="str">
        <f t="shared" si="16"/>
        <v>0</v>
      </c>
      <c r="D461" s="1" t="str">
        <f t="shared" si="17"/>
        <v>0</v>
      </c>
      <c r="N461" s="19"/>
      <c r="O461" s="19"/>
      <c r="P461" s="19"/>
      <c r="Q461" s="21"/>
      <c r="R461" s="19"/>
      <c r="S461" s="19"/>
      <c r="T461" s="19"/>
      <c r="U461" s="19"/>
      <c r="V461" s="21"/>
    </row>
    <row r="462" spans="1:22" x14ac:dyDescent="0.3">
      <c r="A462" s="1">
        <v>46032.5</v>
      </c>
      <c r="B462" s="2">
        <v>7.7</v>
      </c>
      <c r="C462" s="1" t="str">
        <f t="shared" si="16"/>
        <v>0</v>
      </c>
      <c r="D462" s="1" t="str">
        <f t="shared" si="17"/>
        <v>0</v>
      </c>
      <c r="N462" s="19"/>
      <c r="O462" s="19"/>
      <c r="P462" s="19"/>
      <c r="Q462" s="21"/>
      <c r="R462" s="19"/>
      <c r="S462" s="19"/>
      <c r="T462" s="19"/>
      <c r="U462" s="19"/>
      <c r="V462" s="21"/>
    </row>
    <row r="463" spans="1:22" x14ac:dyDescent="0.3">
      <c r="A463" s="1">
        <v>46032.520833333336</v>
      </c>
      <c r="B463" s="2">
        <v>7.9</v>
      </c>
      <c r="C463" s="1" t="str">
        <f t="shared" si="16"/>
        <v>0</v>
      </c>
      <c r="D463" s="1" t="str">
        <f t="shared" si="17"/>
        <v>0</v>
      </c>
      <c r="N463" s="19"/>
      <c r="O463" s="19"/>
      <c r="P463" s="19"/>
      <c r="Q463" s="21"/>
      <c r="R463" s="19"/>
      <c r="S463" s="19"/>
      <c r="T463" s="19"/>
      <c r="U463" s="19"/>
      <c r="V463" s="21"/>
    </row>
    <row r="464" spans="1:22" x14ac:dyDescent="0.3">
      <c r="A464" s="1">
        <v>46032.541666666664</v>
      </c>
      <c r="B464" s="2">
        <v>7.9</v>
      </c>
      <c r="C464" s="1" t="str">
        <f t="shared" si="16"/>
        <v>0</v>
      </c>
      <c r="D464" s="1" t="str">
        <f t="shared" si="17"/>
        <v>0</v>
      </c>
      <c r="N464" s="19"/>
      <c r="O464" s="19"/>
      <c r="P464" s="19"/>
      <c r="Q464" s="21"/>
      <c r="R464" s="19"/>
      <c r="S464" s="19"/>
      <c r="T464" s="19"/>
      <c r="U464" s="19"/>
      <c r="V464" s="21"/>
    </row>
    <row r="465" spans="1:22" x14ac:dyDescent="0.3">
      <c r="A465" s="1">
        <v>46032.5625</v>
      </c>
      <c r="B465" s="2">
        <v>8</v>
      </c>
      <c r="C465" s="1" t="str">
        <f t="shared" si="16"/>
        <v>0</v>
      </c>
      <c r="D465" s="1" t="str">
        <f t="shared" si="17"/>
        <v>0</v>
      </c>
      <c r="N465" s="19"/>
      <c r="O465" s="19"/>
      <c r="P465" s="19"/>
      <c r="Q465" s="21"/>
      <c r="R465" s="19"/>
      <c r="S465" s="19"/>
      <c r="T465" s="19"/>
      <c r="U465" s="19"/>
      <c r="V465" s="21"/>
    </row>
    <row r="466" spans="1:22" x14ac:dyDescent="0.3">
      <c r="A466" s="1">
        <v>46032.583333333336</v>
      </c>
      <c r="B466" s="2">
        <v>8.1999999999999993</v>
      </c>
      <c r="C466" s="1" t="str">
        <f t="shared" si="16"/>
        <v>0</v>
      </c>
      <c r="D466" s="1" t="str">
        <f t="shared" si="17"/>
        <v>0</v>
      </c>
      <c r="N466" s="19"/>
      <c r="O466" s="19"/>
      <c r="P466" s="19"/>
      <c r="Q466" s="21"/>
      <c r="R466" s="19"/>
      <c r="S466" s="19"/>
      <c r="T466" s="19"/>
      <c r="U466" s="19"/>
      <c r="V466" s="21"/>
    </row>
    <row r="467" spans="1:22" x14ac:dyDescent="0.3">
      <c r="A467" s="1">
        <v>46032.604166666664</v>
      </c>
      <c r="B467" s="2">
        <v>8.1</v>
      </c>
      <c r="C467" s="1" t="str">
        <f t="shared" si="16"/>
        <v>0</v>
      </c>
      <c r="D467" s="1" t="str">
        <f t="shared" si="17"/>
        <v>0</v>
      </c>
      <c r="N467" s="19"/>
      <c r="O467" s="19"/>
      <c r="P467" s="19"/>
      <c r="Q467" s="21"/>
      <c r="R467" s="19"/>
      <c r="S467" s="19"/>
      <c r="T467" s="19"/>
      <c r="U467" s="19"/>
      <c r="V467" s="21"/>
    </row>
    <row r="468" spans="1:22" x14ac:dyDescent="0.3">
      <c r="A468" s="1">
        <v>46032.625</v>
      </c>
      <c r="B468" s="2">
        <v>8</v>
      </c>
      <c r="C468" s="1" t="str">
        <f t="shared" si="16"/>
        <v>0</v>
      </c>
      <c r="D468" s="1" t="str">
        <f t="shared" si="17"/>
        <v>0</v>
      </c>
      <c r="N468" s="19"/>
      <c r="O468" s="19"/>
      <c r="P468" s="19"/>
      <c r="Q468" s="21"/>
      <c r="R468" s="19"/>
      <c r="S468" s="19"/>
      <c r="T468" s="19"/>
      <c r="U468" s="19"/>
      <c r="V468" s="21"/>
    </row>
    <row r="469" spans="1:22" x14ac:dyDescent="0.3">
      <c r="A469" s="1">
        <v>46032.645833333336</v>
      </c>
      <c r="B469" s="2">
        <v>8.1</v>
      </c>
      <c r="C469" s="1" t="str">
        <f t="shared" si="16"/>
        <v>0</v>
      </c>
      <c r="D469" s="1" t="str">
        <f t="shared" si="17"/>
        <v>0</v>
      </c>
      <c r="N469" s="19"/>
      <c r="O469" s="19"/>
      <c r="P469" s="19"/>
      <c r="Q469" s="21"/>
      <c r="R469" s="19"/>
      <c r="S469" s="19"/>
      <c r="T469" s="19"/>
      <c r="U469" s="19"/>
      <c r="V469" s="21"/>
    </row>
    <row r="470" spans="1:22" x14ac:dyDescent="0.3">
      <c r="A470" s="1">
        <v>46032.666666666664</v>
      </c>
      <c r="B470" s="2">
        <v>8</v>
      </c>
      <c r="C470" s="1" t="str">
        <f t="shared" si="16"/>
        <v>0</v>
      </c>
      <c r="D470" s="1" t="str">
        <f t="shared" si="17"/>
        <v>0</v>
      </c>
      <c r="N470" s="19"/>
      <c r="O470" s="19"/>
      <c r="P470" s="19"/>
      <c r="Q470" s="21"/>
      <c r="R470" s="19"/>
      <c r="S470" s="19"/>
      <c r="T470" s="19"/>
      <c r="U470" s="19"/>
      <c r="V470" s="21"/>
    </row>
    <row r="471" spans="1:22" x14ac:dyDescent="0.3">
      <c r="A471" s="1">
        <v>46032.6875</v>
      </c>
      <c r="B471" s="2">
        <v>8.1</v>
      </c>
      <c r="C471" s="1" t="str">
        <f t="shared" si="16"/>
        <v>0</v>
      </c>
      <c r="D471" s="1" t="str">
        <f t="shared" si="17"/>
        <v>0</v>
      </c>
      <c r="N471" s="19"/>
      <c r="O471" s="19"/>
      <c r="P471" s="19"/>
      <c r="Q471" s="21"/>
      <c r="R471" s="19"/>
      <c r="S471" s="19"/>
      <c r="T471" s="19"/>
      <c r="U471" s="19"/>
      <c r="V471" s="21"/>
    </row>
    <row r="472" spans="1:22" x14ac:dyDescent="0.3">
      <c r="A472" s="1">
        <v>46032.708333333336</v>
      </c>
      <c r="B472" s="2">
        <v>7.8</v>
      </c>
      <c r="C472" s="1" t="str">
        <f t="shared" si="16"/>
        <v>0</v>
      </c>
      <c r="D472" s="1" t="str">
        <f t="shared" si="17"/>
        <v>0</v>
      </c>
      <c r="N472" s="19"/>
      <c r="O472" s="19"/>
      <c r="P472" s="19"/>
      <c r="Q472" s="21"/>
      <c r="R472" s="19"/>
      <c r="S472" s="19"/>
      <c r="T472" s="19"/>
      <c r="U472" s="19"/>
      <c r="V472" s="21"/>
    </row>
    <row r="473" spans="1:22" x14ac:dyDescent="0.3">
      <c r="A473" s="1">
        <v>46032.729166666664</v>
      </c>
      <c r="B473" s="2">
        <v>7.7</v>
      </c>
      <c r="C473" s="1" t="str">
        <f t="shared" si="16"/>
        <v>0</v>
      </c>
      <c r="D473" s="1" t="str">
        <f t="shared" si="17"/>
        <v>0</v>
      </c>
      <c r="N473" s="19"/>
      <c r="O473" s="19"/>
      <c r="P473" s="19"/>
      <c r="Q473" s="21"/>
      <c r="R473" s="19"/>
      <c r="S473" s="19"/>
      <c r="T473" s="19"/>
      <c r="U473" s="19"/>
      <c r="V473" s="21"/>
    </row>
    <row r="474" spans="1:22" x14ac:dyDescent="0.3">
      <c r="A474" s="1">
        <v>46032.75</v>
      </c>
      <c r="B474" s="2">
        <v>7.8</v>
      </c>
      <c r="C474" s="1" t="str">
        <f t="shared" si="16"/>
        <v>0</v>
      </c>
      <c r="D474" s="1" t="str">
        <f t="shared" si="17"/>
        <v>0</v>
      </c>
      <c r="N474" s="19"/>
      <c r="O474" s="19"/>
      <c r="P474" s="19"/>
      <c r="Q474" s="21"/>
      <c r="R474" s="19"/>
      <c r="S474" s="19"/>
      <c r="T474" s="19"/>
      <c r="U474" s="19"/>
      <c r="V474" s="21"/>
    </row>
    <row r="475" spans="1:22" x14ac:dyDescent="0.3">
      <c r="A475" s="1">
        <v>46032.770833333336</v>
      </c>
      <c r="B475" s="2">
        <v>7.7</v>
      </c>
      <c r="C475" s="1" t="str">
        <f t="shared" si="16"/>
        <v>0</v>
      </c>
      <c r="D475" s="1" t="str">
        <f t="shared" si="17"/>
        <v>0</v>
      </c>
      <c r="N475" s="19"/>
      <c r="O475" s="19"/>
      <c r="P475" s="19"/>
      <c r="Q475" s="21"/>
      <c r="R475" s="19"/>
      <c r="S475" s="19"/>
      <c r="T475" s="19"/>
      <c r="U475" s="19"/>
      <c r="V475" s="21"/>
    </row>
    <row r="476" spans="1:22" x14ac:dyDescent="0.3">
      <c r="A476" s="1">
        <v>46032.791666666664</v>
      </c>
      <c r="B476" s="2">
        <v>7.5</v>
      </c>
      <c r="C476" s="1" t="str">
        <f t="shared" si="16"/>
        <v>0</v>
      </c>
      <c r="D476" s="1" t="str">
        <f t="shared" si="17"/>
        <v>0</v>
      </c>
      <c r="N476" s="19"/>
      <c r="O476" s="19"/>
      <c r="P476" s="19"/>
      <c r="Q476" s="21"/>
      <c r="R476" s="19"/>
      <c r="S476" s="19"/>
      <c r="T476" s="19"/>
      <c r="U476" s="19"/>
      <c r="V476" s="21"/>
    </row>
    <row r="477" spans="1:22" x14ac:dyDescent="0.3">
      <c r="A477" s="1">
        <v>46032.8125</v>
      </c>
      <c r="B477" s="2">
        <v>7.4</v>
      </c>
      <c r="C477" s="1" t="str">
        <f t="shared" si="16"/>
        <v>0</v>
      </c>
      <c r="D477" s="1" t="str">
        <f t="shared" si="17"/>
        <v>0</v>
      </c>
      <c r="N477" s="19"/>
      <c r="O477" s="19"/>
      <c r="P477" s="19"/>
      <c r="Q477" s="21"/>
      <c r="R477" s="19"/>
      <c r="S477" s="19"/>
      <c r="T477" s="19"/>
      <c r="U477" s="19"/>
      <c r="V477" s="21"/>
    </row>
    <row r="478" spans="1:22" x14ac:dyDescent="0.3">
      <c r="A478" s="1">
        <v>46032.833333333336</v>
      </c>
      <c r="B478" s="2">
        <v>7.1</v>
      </c>
      <c r="C478" s="1" t="str">
        <f t="shared" si="16"/>
        <v>0</v>
      </c>
      <c r="D478" s="1" t="str">
        <f t="shared" si="17"/>
        <v>0</v>
      </c>
      <c r="N478" s="19"/>
      <c r="O478" s="19"/>
      <c r="P478" s="19"/>
      <c r="Q478" s="21"/>
      <c r="R478" s="19"/>
      <c r="S478" s="19"/>
      <c r="T478" s="19"/>
      <c r="U478" s="19"/>
      <c r="V478" s="21"/>
    </row>
    <row r="479" spans="1:22" x14ac:dyDescent="0.3">
      <c r="A479" s="1">
        <v>46032.854166666664</v>
      </c>
      <c r="B479" s="2">
        <v>6.8</v>
      </c>
      <c r="C479" s="1" t="str">
        <f t="shared" si="16"/>
        <v>0</v>
      </c>
      <c r="D479" s="1" t="str">
        <f t="shared" si="17"/>
        <v>0</v>
      </c>
      <c r="N479" s="19"/>
      <c r="O479" s="19"/>
      <c r="P479" s="19"/>
      <c r="Q479" s="21"/>
      <c r="R479" s="19"/>
      <c r="S479" s="19"/>
      <c r="T479" s="19"/>
      <c r="U479" s="19"/>
      <c r="V479" s="21"/>
    </row>
    <row r="480" spans="1:22" x14ac:dyDescent="0.3">
      <c r="A480" s="1">
        <v>46032.875</v>
      </c>
      <c r="B480" s="2">
        <v>6.4</v>
      </c>
      <c r="C480" s="1" t="str">
        <f t="shared" si="16"/>
        <v>0</v>
      </c>
      <c r="D480" s="1" t="str">
        <f t="shared" si="17"/>
        <v>0</v>
      </c>
      <c r="N480" s="19"/>
      <c r="O480" s="19"/>
      <c r="P480" s="19"/>
      <c r="Q480" s="21"/>
      <c r="R480" s="19"/>
      <c r="S480" s="19"/>
      <c r="T480" s="19"/>
      <c r="U480" s="19"/>
      <c r="V480" s="21"/>
    </row>
    <row r="481" spans="1:22" x14ac:dyDescent="0.3">
      <c r="A481" s="1">
        <v>46032.895833333336</v>
      </c>
      <c r="B481" s="2">
        <v>6.2</v>
      </c>
      <c r="C481" s="1" t="str">
        <f t="shared" si="16"/>
        <v>0</v>
      </c>
      <c r="D481" s="1" t="str">
        <f t="shared" si="17"/>
        <v>0</v>
      </c>
      <c r="N481" s="19"/>
      <c r="O481" s="19"/>
      <c r="P481" s="19"/>
      <c r="Q481" s="21"/>
      <c r="R481" s="19"/>
      <c r="S481" s="19"/>
      <c r="T481" s="19"/>
      <c r="U481" s="19"/>
      <c r="V481" s="21"/>
    </row>
    <row r="482" spans="1:22" x14ac:dyDescent="0.3">
      <c r="A482" s="1">
        <v>46032.916666666664</v>
      </c>
      <c r="B482" s="2">
        <v>6</v>
      </c>
      <c r="C482" s="1" t="str">
        <f t="shared" si="16"/>
        <v>0</v>
      </c>
      <c r="D482" s="1" t="str">
        <f t="shared" si="17"/>
        <v>0</v>
      </c>
      <c r="N482" s="19"/>
      <c r="O482" s="19"/>
      <c r="P482" s="19"/>
      <c r="Q482" s="21"/>
      <c r="R482" s="19"/>
      <c r="S482" s="19"/>
      <c r="T482" s="19"/>
      <c r="U482" s="19"/>
      <c r="V482" s="21"/>
    </row>
    <row r="483" spans="1:22" x14ac:dyDescent="0.3">
      <c r="A483" s="1">
        <v>46032.9375</v>
      </c>
      <c r="B483" s="2">
        <v>5.7</v>
      </c>
      <c r="C483" s="1" t="str">
        <f t="shared" si="16"/>
        <v>0</v>
      </c>
      <c r="D483" s="1" t="str">
        <f t="shared" si="17"/>
        <v>0</v>
      </c>
      <c r="N483" s="19"/>
      <c r="O483" s="19"/>
      <c r="P483" s="19"/>
      <c r="Q483" s="21"/>
      <c r="R483" s="19"/>
      <c r="S483" s="19"/>
      <c r="T483" s="19"/>
      <c r="U483" s="19"/>
      <c r="V483" s="21"/>
    </row>
    <row r="484" spans="1:22" x14ac:dyDescent="0.3">
      <c r="A484" s="1">
        <v>46032.958333333336</v>
      </c>
      <c r="B484" s="2">
        <v>5.2</v>
      </c>
      <c r="C484" s="1" t="str">
        <f t="shared" si="16"/>
        <v>0</v>
      </c>
      <c r="D484" s="1" t="str">
        <f t="shared" si="17"/>
        <v>0</v>
      </c>
      <c r="N484" s="19"/>
      <c r="O484" s="19"/>
      <c r="P484" s="19"/>
      <c r="Q484" s="21"/>
      <c r="R484" s="19"/>
      <c r="S484" s="19"/>
      <c r="T484" s="19"/>
      <c r="U484" s="19"/>
      <c r="V484" s="21"/>
    </row>
    <row r="485" spans="1:22" x14ac:dyDescent="0.3">
      <c r="A485" s="1">
        <v>46032.979166666664</v>
      </c>
      <c r="B485" s="2">
        <v>5.3</v>
      </c>
      <c r="C485" s="1" t="str">
        <f t="shared" si="16"/>
        <v>0</v>
      </c>
      <c r="D485" s="1" t="str">
        <f t="shared" si="17"/>
        <v>0</v>
      </c>
      <c r="N485" s="19"/>
      <c r="O485" s="19"/>
      <c r="P485" s="19"/>
      <c r="Q485" s="21"/>
      <c r="R485" s="19"/>
      <c r="S485" s="19"/>
      <c r="T485" s="19"/>
      <c r="U485" s="19"/>
      <c r="V485" s="21"/>
    </row>
    <row r="486" spans="1:22" x14ac:dyDescent="0.3">
      <c r="A486" s="1">
        <v>46033</v>
      </c>
      <c r="B486" s="2">
        <v>5.3</v>
      </c>
      <c r="C486" s="1" t="str">
        <f t="shared" si="16"/>
        <v>0</v>
      </c>
      <c r="D486" s="1" t="str">
        <f t="shared" si="17"/>
        <v>0</v>
      </c>
      <c r="N486" s="19"/>
      <c r="O486" s="19"/>
      <c r="P486" s="19"/>
      <c r="Q486" s="21"/>
      <c r="R486" s="19"/>
      <c r="S486" s="19"/>
      <c r="T486" s="19"/>
      <c r="U486" s="19"/>
      <c r="V486" s="21"/>
    </row>
    <row r="487" spans="1:22" x14ac:dyDescent="0.3">
      <c r="A487" s="1">
        <v>46033.020833333336</v>
      </c>
      <c r="B487" s="2">
        <v>5.3</v>
      </c>
      <c r="C487" s="1" t="str">
        <f t="shared" si="16"/>
        <v>0</v>
      </c>
      <c r="D487" s="1" t="str">
        <f t="shared" si="17"/>
        <v>0</v>
      </c>
      <c r="N487" s="19"/>
      <c r="O487" s="19"/>
      <c r="P487" s="19"/>
      <c r="Q487" s="21"/>
      <c r="R487" s="19"/>
      <c r="S487" s="19"/>
      <c r="T487" s="19"/>
      <c r="U487" s="19"/>
      <c r="V487" s="21"/>
    </row>
    <row r="488" spans="1:22" x14ac:dyDescent="0.3">
      <c r="A488" s="1">
        <v>46033.041666666664</v>
      </c>
      <c r="B488" s="2">
        <v>5.2</v>
      </c>
      <c r="C488" s="1" t="str">
        <f t="shared" si="16"/>
        <v>0</v>
      </c>
      <c r="D488" s="1" t="str">
        <f t="shared" si="17"/>
        <v>0</v>
      </c>
      <c r="N488" s="19"/>
      <c r="O488" s="19"/>
      <c r="P488" s="19"/>
      <c r="Q488" s="21"/>
      <c r="R488" s="19"/>
      <c r="S488" s="19"/>
      <c r="T488" s="19"/>
      <c r="U488" s="19"/>
      <c r="V488" s="21"/>
    </row>
    <row r="489" spans="1:22" x14ac:dyDescent="0.3">
      <c r="A489" s="1">
        <v>46033.0625</v>
      </c>
      <c r="B489" s="2">
        <v>4.5999999999999996</v>
      </c>
      <c r="C489" s="1" t="str">
        <f t="shared" si="16"/>
        <v>0</v>
      </c>
      <c r="D489" s="1" t="str">
        <f t="shared" si="17"/>
        <v>0</v>
      </c>
      <c r="N489" s="19"/>
      <c r="O489" s="19"/>
      <c r="P489" s="19"/>
      <c r="Q489" s="21"/>
      <c r="R489" s="19"/>
      <c r="S489" s="19"/>
      <c r="T489" s="19"/>
      <c r="U489" s="19"/>
      <c r="V489" s="21"/>
    </row>
    <row r="490" spans="1:22" x14ac:dyDescent="0.3">
      <c r="A490" s="1">
        <v>46033.083333333336</v>
      </c>
      <c r="B490" s="2">
        <v>4.5999999999999996</v>
      </c>
      <c r="C490" s="1" t="str">
        <f t="shared" si="16"/>
        <v>0</v>
      </c>
      <c r="D490" s="1" t="str">
        <f t="shared" si="17"/>
        <v>0</v>
      </c>
      <c r="N490" s="19"/>
      <c r="O490" s="19"/>
      <c r="P490" s="19"/>
      <c r="Q490" s="21"/>
      <c r="R490" s="19"/>
      <c r="S490" s="19"/>
      <c r="T490" s="19"/>
      <c r="U490" s="19"/>
      <c r="V490" s="21"/>
    </row>
    <row r="491" spans="1:22" x14ac:dyDescent="0.3">
      <c r="A491" s="1">
        <v>46033.104166666664</v>
      </c>
      <c r="B491" s="2">
        <v>4.4000000000000004</v>
      </c>
      <c r="C491" s="1" t="str">
        <f t="shared" si="16"/>
        <v>0</v>
      </c>
      <c r="D491" s="1" t="str">
        <f t="shared" si="17"/>
        <v>0</v>
      </c>
      <c r="N491" s="19"/>
      <c r="O491" s="19"/>
      <c r="P491" s="19"/>
      <c r="Q491" s="21"/>
      <c r="R491" s="19"/>
      <c r="S491" s="19"/>
      <c r="T491" s="19"/>
      <c r="U491" s="19"/>
      <c r="V491" s="21"/>
    </row>
    <row r="492" spans="1:22" x14ac:dyDescent="0.3">
      <c r="A492" s="1">
        <v>46033.125</v>
      </c>
      <c r="B492" s="2">
        <v>4.0999999999999996</v>
      </c>
      <c r="C492" s="1" t="str">
        <f t="shared" si="16"/>
        <v>0</v>
      </c>
      <c r="D492" s="1" t="str">
        <f t="shared" si="17"/>
        <v>0</v>
      </c>
      <c r="N492" s="19"/>
      <c r="O492" s="19"/>
      <c r="P492" s="19"/>
      <c r="Q492" s="21"/>
      <c r="R492" s="19"/>
      <c r="S492" s="19"/>
      <c r="T492" s="19"/>
      <c r="U492" s="19"/>
      <c r="V492" s="21"/>
    </row>
    <row r="493" spans="1:22" x14ac:dyDescent="0.3">
      <c r="A493" s="1">
        <v>46033.145833333336</v>
      </c>
      <c r="B493" s="2">
        <v>4.4000000000000004</v>
      </c>
      <c r="C493" s="1" t="str">
        <f t="shared" si="16"/>
        <v>0</v>
      </c>
      <c r="D493" s="1" t="str">
        <f t="shared" si="17"/>
        <v>0</v>
      </c>
      <c r="N493" s="19"/>
      <c r="O493" s="19"/>
      <c r="P493" s="19"/>
      <c r="Q493" s="21"/>
      <c r="R493" s="19"/>
      <c r="S493" s="19"/>
      <c r="T493" s="19"/>
      <c r="U493" s="19"/>
      <c r="V493" s="21"/>
    </row>
    <row r="494" spans="1:22" x14ac:dyDescent="0.3">
      <c r="A494" s="1">
        <v>46033.166666666664</v>
      </c>
      <c r="B494" s="2">
        <v>3.8</v>
      </c>
      <c r="C494" s="1" t="str">
        <f t="shared" si="16"/>
        <v>0</v>
      </c>
      <c r="D494" s="1" t="str">
        <f t="shared" si="17"/>
        <v>0</v>
      </c>
      <c r="N494" s="19"/>
      <c r="O494" s="19"/>
      <c r="P494" s="19"/>
      <c r="Q494" s="21"/>
      <c r="R494" s="19"/>
      <c r="S494" s="19"/>
      <c r="T494" s="19"/>
      <c r="U494" s="19"/>
      <c r="V494" s="21"/>
    </row>
    <row r="495" spans="1:22" x14ac:dyDescent="0.3">
      <c r="A495" s="1">
        <v>46033.1875</v>
      </c>
      <c r="B495" s="2">
        <v>2.7</v>
      </c>
      <c r="C495" s="1" t="str">
        <f t="shared" si="16"/>
        <v>0</v>
      </c>
      <c r="D495" s="1" t="str">
        <f t="shared" si="17"/>
        <v>0</v>
      </c>
      <c r="N495" s="19"/>
      <c r="O495" s="19"/>
      <c r="P495" s="19"/>
      <c r="Q495" s="21"/>
      <c r="R495" s="19"/>
      <c r="S495" s="19"/>
      <c r="T495" s="19"/>
      <c r="U495" s="19"/>
      <c r="V495" s="21"/>
    </row>
    <row r="496" spans="1:22" x14ac:dyDescent="0.3">
      <c r="A496" s="1">
        <v>46033.208333333336</v>
      </c>
      <c r="B496" s="2">
        <v>2.2999999999999998</v>
      </c>
      <c r="C496" s="1" t="str">
        <f t="shared" si="16"/>
        <v>0</v>
      </c>
      <c r="D496" s="1" t="str">
        <f t="shared" si="17"/>
        <v>0</v>
      </c>
      <c r="N496" s="19"/>
      <c r="O496" s="19"/>
      <c r="P496" s="19"/>
      <c r="Q496" s="21"/>
      <c r="R496" s="19"/>
      <c r="S496" s="19"/>
      <c r="T496" s="19"/>
      <c r="U496" s="19"/>
      <c r="V496" s="21"/>
    </row>
    <row r="497" spans="1:22" x14ac:dyDescent="0.3">
      <c r="A497" s="1">
        <v>46033.229166666664</v>
      </c>
      <c r="B497" s="2">
        <v>2.4</v>
      </c>
      <c r="C497" s="1" t="str">
        <f t="shared" si="16"/>
        <v>0</v>
      </c>
      <c r="D497" s="1" t="str">
        <f t="shared" si="17"/>
        <v>0</v>
      </c>
      <c r="N497" s="19"/>
      <c r="O497" s="19"/>
      <c r="P497" s="19"/>
      <c r="Q497" s="21"/>
      <c r="R497" s="19"/>
      <c r="S497" s="19"/>
      <c r="T497" s="19"/>
      <c r="U497" s="19"/>
      <c r="V497" s="21"/>
    </row>
    <row r="498" spans="1:22" x14ac:dyDescent="0.3">
      <c r="A498" s="1">
        <v>46033.25</v>
      </c>
      <c r="B498" s="2">
        <v>3.1</v>
      </c>
      <c r="C498" s="1" t="str">
        <f t="shared" si="16"/>
        <v>0</v>
      </c>
      <c r="D498" s="1" t="str">
        <f t="shared" si="17"/>
        <v>0</v>
      </c>
      <c r="N498" s="19"/>
      <c r="O498" s="19"/>
      <c r="P498" s="19"/>
      <c r="Q498" s="21"/>
      <c r="R498" s="19"/>
      <c r="S498" s="19"/>
      <c r="T498" s="19"/>
      <c r="U498" s="19"/>
      <c r="V498" s="21"/>
    </row>
    <row r="499" spans="1:22" x14ac:dyDescent="0.3">
      <c r="A499" s="1">
        <v>46033.270833333336</v>
      </c>
      <c r="B499" s="2">
        <v>2.5</v>
      </c>
      <c r="C499" s="1" t="str">
        <f t="shared" si="16"/>
        <v>0</v>
      </c>
      <c r="D499" s="1" t="str">
        <f t="shared" si="17"/>
        <v>0</v>
      </c>
      <c r="N499" s="19"/>
      <c r="O499" s="19"/>
      <c r="P499" s="19"/>
      <c r="Q499" s="21"/>
      <c r="R499" s="19"/>
      <c r="S499" s="19"/>
      <c r="T499" s="19"/>
      <c r="U499" s="19"/>
      <c r="V499" s="21"/>
    </row>
    <row r="500" spans="1:22" x14ac:dyDescent="0.3">
      <c r="A500" s="1">
        <v>46033.291666666664</v>
      </c>
      <c r="B500" s="2">
        <v>2.8</v>
      </c>
      <c r="C500" s="1" t="str">
        <f t="shared" si="16"/>
        <v>0</v>
      </c>
      <c r="D500" s="1" t="str">
        <f t="shared" si="17"/>
        <v>0</v>
      </c>
      <c r="N500" s="19"/>
      <c r="O500" s="19"/>
      <c r="P500" s="19"/>
      <c r="Q500" s="21"/>
      <c r="R500" s="19"/>
      <c r="S500" s="19"/>
      <c r="T500" s="19"/>
      <c r="U500" s="19"/>
      <c r="V500" s="21"/>
    </row>
    <row r="501" spans="1:22" x14ac:dyDescent="0.3">
      <c r="A501" s="1">
        <v>46033.3125</v>
      </c>
      <c r="B501" s="2">
        <v>2.5</v>
      </c>
      <c r="C501" s="1" t="str">
        <f t="shared" si="16"/>
        <v>0</v>
      </c>
      <c r="D501" s="1" t="str">
        <f t="shared" si="17"/>
        <v>0</v>
      </c>
      <c r="N501" s="19"/>
      <c r="O501" s="19"/>
      <c r="P501" s="19"/>
      <c r="Q501" s="21"/>
      <c r="R501" s="19"/>
      <c r="S501" s="19"/>
      <c r="T501" s="19"/>
      <c r="U501" s="19"/>
      <c r="V501" s="21"/>
    </row>
    <row r="502" spans="1:22" x14ac:dyDescent="0.3">
      <c r="A502" s="1">
        <v>46033.333333333336</v>
      </c>
      <c r="B502" s="2">
        <v>3.4</v>
      </c>
      <c r="C502" s="1" t="str">
        <f t="shared" si="16"/>
        <v>0</v>
      </c>
      <c r="D502" s="1" t="str">
        <f t="shared" si="17"/>
        <v>0</v>
      </c>
      <c r="N502" s="19"/>
      <c r="O502" s="19"/>
      <c r="P502" s="19"/>
      <c r="Q502" s="21"/>
      <c r="R502" s="19"/>
      <c r="S502" s="19"/>
      <c r="T502" s="19"/>
      <c r="U502" s="19"/>
      <c r="V502" s="21"/>
    </row>
    <row r="503" spans="1:22" x14ac:dyDescent="0.3">
      <c r="A503" s="1">
        <v>46033.354166666664</v>
      </c>
      <c r="B503" s="2">
        <v>3.8</v>
      </c>
      <c r="C503" s="1" t="str">
        <f t="shared" si="16"/>
        <v>0</v>
      </c>
      <c r="D503" s="1" t="str">
        <f t="shared" si="17"/>
        <v>0</v>
      </c>
      <c r="N503" s="19"/>
      <c r="O503" s="19"/>
      <c r="P503" s="19"/>
      <c r="Q503" s="21"/>
      <c r="R503" s="19"/>
      <c r="S503" s="19"/>
      <c r="T503" s="19"/>
      <c r="U503" s="19"/>
      <c r="V503" s="21"/>
    </row>
    <row r="504" spans="1:22" x14ac:dyDescent="0.3">
      <c r="A504" s="1">
        <v>46033.375</v>
      </c>
      <c r="B504" s="2">
        <v>4.4000000000000004</v>
      </c>
      <c r="C504" s="1" t="str">
        <f t="shared" si="16"/>
        <v>0</v>
      </c>
      <c r="D504" s="1" t="str">
        <f t="shared" si="17"/>
        <v>0</v>
      </c>
      <c r="N504" s="19"/>
      <c r="O504" s="19"/>
      <c r="P504" s="19"/>
      <c r="Q504" s="21"/>
      <c r="R504" s="19"/>
      <c r="S504" s="19"/>
      <c r="T504" s="19"/>
      <c r="U504" s="19"/>
      <c r="V504" s="21"/>
    </row>
    <row r="505" spans="1:22" x14ac:dyDescent="0.3">
      <c r="A505" s="1">
        <v>46033.395833333336</v>
      </c>
      <c r="B505" s="2">
        <v>5.2</v>
      </c>
      <c r="C505" s="1" t="str">
        <f t="shared" si="16"/>
        <v>0</v>
      </c>
      <c r="D505" s="1" t="str">
        <f t="shared" si="17"/>
        <v>0</v>
      </c>
      <c r="N505" s="19"/>
      <c r="O505" s="19"/>
      <c r="P505" s="19"/>
      <c r="Q505" s="21"/>
      <c r="R505" s="19"/>
      <c r="S505" s="19"/>
      <c r="T505" s="19"/>
      <c r="U505" s="19"/>
      <c r="V505" s="21"/>
    </row>
    <row r="506" spans="1:22" x14ac:dyDescent="0.3">
      <c r="A506" s="1">
        <v>46033.416666666664</v>
      </c>
      <c r="B506" s="2">
        <v>6</v>
      </c>
      <c r="C506" s="1" t="str">
        <f t="shared" si="16"/>
        <v>0</v>
      </c>
      <c r="D506" s="1" t="str">
        <f t="shared" si="17"/>
        <v>0</v>
      </c>
      <c r="N506" s="19"/>
      <c r="O506" s="19"/>
      <c r="P506" s="19"/>
      <c r="Q506" s="21"/>
      <c r="R506" s="19"/>
      <c r="S506" s="19"/>
      <c r="T506" s="19"/>
      <c r="U506" s="19"/>
      <c r="V506" s="21"/>
    </row>
    <row r="507" spans="1:22" x14ac:dyDescent="0.3">
      <c r="A507" s="1">
        <v>46033.4375</v>
      </c>
      <c r="B507" s="2">
        <v>7</v>
      </c>
      <c r="C507" s="1" t="str">
        <f t="shared" si="16"/>
        <v>0</v>
      </c>
      <c r="D507" s="1" t="str">
        <f t="shared" si="17"/>
        <v>0</v>
      </c>
      <c r="N507" s="19"/>
      <c r="O507" s="19"/>
      <c r="P507" s="19"/>
      <c r="Q507" s="21"/>
      <c r="R507" s="19"/>
      <c r="S507" s="19"/>
      <c r="T507" s="19"/>
      <c r="U507" s="19"/>
      <c r="V507" s="21"/>
    </row>
    <row r="508" spans="1:22" x14ac:dyDescent="0.3">
      <c r="A508" s="1">
        <v>46033.458333333336</v>
      </c>
      <c r="B508" s="2">
        <v>8</v>
      </c>
      <c r="C508" s="1" t="str">
        <f t="shared" si="16"/>
        <v>0</v>
      </c>
      <c r="D508" s="1" t="str">
        <f t="shared" si="17"/>
        <v>0</v>
      </c>
      <c r="N508" s="19"/>
      <c r="O508" s="19"/>
      <c r="P508" s="19"/>
      <c r="Q508" s="21"/>
      <c r="R508" s="19"/>
      <c r="S508" s="19"/>
      <c r="T508" s="19"/>
      <c r="U508" s="19"/>
      <c r="V508" s="21"/>
    </row>
    <row r="509" spans="1:22" x14ac:dyDescent="0.3">
      <c r="A509" s="1">
        <v>46033.479166666664</v>
      </c>
      <c r="B509" s="2">
        <v>8.8000000000000007</v>
      </c>
      <c r="C509" s="1" t="str">
        <f t="shared" si="16"/>
        <v>0</v>
      </c>
      <c r="D509" s="1" t="str">
        <f t="shared" si="17"/>
        <v>0</v>
      </c>
      <c r="N509" s="19"/>
      <c r="O509" s="19"/>
      <c r="P509" s="19"/>
      <c r="Q509" s="21"/>
      <c r="R509" s="19"/>
      <c r="S509" s="19"/>
      <c r="T509" s="19"/>
      <c r="U509" s="19"/>
      <c r="V509" s="21"/>
    </row>
    <row r="510" spans="1:22" x14ac:dyDescent="0.3">
      <c r="A510" s="1">
        <v>46033.5</v>
      </c>
      <c r="B510" s="2">
        <v>9.4</v>
      </c>
      <c r="C510" s="1" t="str">
        <f t="shared" si="16"/>
        <v>0</v>
      </c>
      <c r="D510" s="1" t="str">
        <f t="shared" si="17"/>
        <v>0</v>
      </c>
      <c r="N510" s="19"/>
      <c r="O510" s="19"/>
      <c r="P510" s="19"/>
      <c r="Q510" s="21"/>
      <c r="R510" s="19"/>
      <c r="S510" s="19"/>
      <c r="T510" s="19"/>
      <c r="U510" s="19"/>
      <c r="V510" s="21"/>
    </row>
    <row r="511" spans="1:22" x14ac:dyDescent="0.3">
      <c r="A511" s="1">
        <v>46033.520833333336</v>
      </c>
      <c r="B511" s="2">
        <v>10.1</v>
      </c>
      <c r="C511" s="1" t="str">
        <f t="shared" si="16"/>
        <v>0</v>
      </c>
      <c r="D511" s="1" t="str">
        <f t="shared" si="17"/>
        <v>0</v>
      </c>
      <c r="N511" s="19"/>
      <c r="O511" s="19"/>
      <c r="P511" s="19"/>
      <c r="Q511" s="21"/>
      <c r="R511" s="19"/>
      <c r="S511" s="19"/>
      <c r="T511" s="19"/>
      <c r="U511" s="19"/>
      <c r="V511" s="21"/>
    </row>
    <row r="512" spans="1:22" x14ac:dyDescent="0.3">
      <c r="A512" s="1">
        <v>46033.541666666664</v>
      </c>
      <c r="B512" s="2">
        <v>10.9</v>
      </c>
      <c r="C512" s="1" t="str">
        <f t="shared" si="16"/>
        <v>0</v>
      </c>
      <c r="D512" s="1" t="str">
        <f t="shared" si="17"/>
        <v>0</v>
      </c>
      <c r="N512" s="19"/>
      <c r="O512" s="19"/>
      <c r="P512" s="19"/>
      <c r="Q512" s="21"/>
      <c r="R512" s="19"/>
      <c r="S512" s="19"/>
      <c r="T512" s="19"/>
      <c r="U512" s="19"/>
      <c r="V512" s="21"/>
    </row>
    <row r="513" spans="1:22" x14ac:dyDescent="0.3">
      <c r="A513" s="1">
        <v>46033.5625</v>
      </c>
      <c r="B513" s="2">
        <v>11.3</v>
      </c>
      <c r="C513" s="1" t="str">
        <f t="shared" si="16"/>
        <v>0</v>
      </c>
      <c r="D513" s="1" t="str">
        <f t="shared" si="17"/>
        <v>0</v>
      </c>
      <c r="N513" s="19"/>
      <c r="O513" s="19"/>
      <c r="P513" s="19"/>
      <c r="Q513" s="21"/>
      <c r="R513" s="19"/>
      <c r="S513" s="19"/>
      <c r="T513" s="19"/>
      <c r="U513" s="19"/>
      <c r="V513" s="21"/>
    </row>
    <row r="514" spans="1:22" x14ac:dyDescent="0.3">
      <c r="A514" s="1">
        <v>46033.583333333336</v>
      </c>
      <c r="B514" s="2">
        <v>11.4</v>
      </c>
      <c r="C514" s="1" t="str">
        <f t="shared" si="16"/>
        <v>0</v>
      </c>
      <c r="D514" s="1" t="str">
        <f t="shared" si="17"/>
        <v>0</v>
      </c>
      <c r="N514" s="19"/>
      <c r="O514" s="19"/>
      <c r="P514" s="19"/>
      <c r="Q514" s="21"/>
      <c r="R514" s="19"/>
      <c r="S514" s="19"/>
      <c r="T514" s="19"/>
      <c r="U514" s="19"/>
      <c r="V514" s="21"/>
    </row>
    <row r="515" spans="1:22" x14ac:dyDescent="0.3">
      <c r="A515" s="1">
        <v>46033.604166666664</v>
      </c>
      <c r="B515" s="2">
        <v>11.3</v>
      </c>
      <c r="C515" s="1" t="str">
        <f t="shared" ref="C515:C578" si="18">IF(B515=$P$13,A515,"0")</f>
        <v>0</v>
      </c>
      <c r="D515" s="1" t="str">
        <f t="shared" ref="D515:D578" si="19">IF(B515=$M$13,A515,"0")</f>
        <v>0</v>
      </c>
      <c r="N515" s="19"/>
      <c r="O515" s="19"/>
      <c r="P515" s="19"/>
      <c r="Q515" s="21"/>
      <c r="R515" s="19"/>
      <c r="S515" s="19"/>
      <c r="T515" s="19"/>
      <c r="U515" s="19"/>
      <c r="V515" s="21"/>
    </row>
    <row r="516" spans="1:22" x14ac:dyDescent="0.3">
      <c r="A516" s="1">
        <v>46033.625</v>
      </c>
      <c r="B516" s="2">
        <v>11.3</v>
      </c>
      <c r="C516" s="1" t="str">
        <f t="shared" si="18"/>
        <v>0</v>
      </c>
      <c r="D516" s="1" t="str">
        <f t="shared" si="19"/>
        <v>0</v>
      </c>
      <c r="N516" s="19"/>
      <c r="O516" s="19"/>
      <c r="P516" s="19"/>
      <c r="Q516" s="21"/>
      <c r="R516" s="19"/>
      <c r="S516" s="19"/>
      <c r="T516" s="19"/>
      <c r="U516" s="19"/>
      <c r="V516" s="21"/>
    </row>
    <row r="517" spans="1:22" x14ac:dyDescent="0.3">
      <c r="A517" s="1">
        <v>46033.645833333336</v>
      </c>
      <c r="B517" s="2">
        <v>10.7</v>
      </c>
      <c r="C517" s="1" t="str">
        <f t="shared" si="18"/>
        <v>0</v>
      </c>
      <c r="D517" s="1" t="str">
        <f t="shared" si="19"/>
        <v>0</v>
      </c>
      <c r="N517" s="19"/>
      <c r="O517" s="19"/>
      <c r="P517" s="19"/>
      <c r="Q517" s="21"/>
      <c r="R517" s="19"/>
      <c r="S517" s="19"/>
      <c r="T517" s="19"/>
      <c r="U517" s="19"/>
      <c r="V517" s="21"/>
    </row>
    <row r="518" spans="1:22" x14ac:dyDescent="0.3">
      <c r="A518" s="1">
        <v>46033.666666666664</v>
      </c>
      <c r="B518" s="2">
        <v>10.1</v>
      </c>
      <c r="C518" s="1" t="str">
        <f t="shared" si="18"/>
        <v>0</v>
      </c>
      <c r="D518" s="1" t="str">
        <f t="shared" si="19"/>
        <v>0</v>
      </c>
      <c r="N518" s="19"/>
      <c r="O518" s="19"/>
      <c r="P518" s="19"/>
      <c r="Q518" s="21"/>
      <c r="R518" s="19"/>
      <c r="S518" s="19"/>
      <c r="T518" s="19"/>
      <c r="U518" s="19"/>
      <c r="V518" s="21"/>
    </row>
    <row r="519" spans="1:22" x14ac:dyDescent="0.3">
      <c r="A519" s="1">
        <v>46033.6875</v>
      </c>
      <c r="B519" s="2">
        <v>9.5</v>
      </c>
      <c r="C519" s="1" t="str">
        <f t="shared" si="18"/>
        <v>0</v>
      </c>
      <c r="D519" s="1" t="str">
        <f t="shared" si="19"/>
        <v>0</v>
      </c>
      <c r="N519" s="19"/>
      <c r="O519" s="19"/>
      <c r="P519" s="19"/>
      <c r="Q519" s="21"/>
      <c r="R519" s="19"/>
      <c r="S519" s="19"/>
      <c r="T519" s="19"/>
      <c r="U519" s="19"/>
      <c r="V519" s="21"/>
    </row>
    <row r="520" spans="1:22" x14ac:dyDescent="0.3">
      <c r="A520" s="1">
        <v>46033.708333333336</v>
      </c>
      <c r="B520" s="2">
        <v>8.9</v>
      </c>
      <c r="C520" s="1" t="str">
        <f t="shared" si="18"/>
        <v>0</v>
      </c>
      <c r="D520" s="1" t="str">
        <f t="shared" si="19"/>
        <v>0</v>
      </c>
      <c r="N520" s="19"/>
      <c r="O520" s="19"/>
      <c r="P520" s="19"/>
      <c r="Q520" s="21"/>
      <c r="R520" s="19"/>
      <c r="S520" s="19"/>
      <c r="T520" s="19"/>
      <c r="U520" s="19"/>
      <c r="V520" s="21"/>
    </row>
    <row r="521" spans="1:22" x14ac:dyDescent="0.3">
      <c r="A521" s="1">
        <v>46033.729166666664</v>
      </c>
      <c r="B521" s="2">
        <v>8.5</v>
      </c>
      <c r="C521" s="1" t="str">
        <f t="shared" si="18"/>
        <v>0</v>
      </c>
      <c r="D521" s="1" t="str">
        <f t="shared" si="19"/>
        <v>0</v>
      </c>
      <c r="N521" s="19"/>
      <c r="O521" s="19"/>
      <c r="P521" s="19"/>
      <c r="Q521" s="21"/>
      <c r="R521" s="19"/>
      <c r="S521" s="19"/>
      <c r="T521" s="19"/>
      <c r="U521" s="19"/>
      <c r="V521" s="21"/>
    </row>
    <row r="522" spans="1:22" x14ac:dyDescent="0.3">
      <c r="A522" s="1">
        <v>46033.75</v>
      </c>
      <c r="B522" s="2">
        <v>8</v>
      </c>
      <c r="C522" s="1" t="str">
        <f t="shared" si="18"/>
        <v>0</v>
      </c>
      <c r="D522" s="1" t="str">
        <f t="shared" si="19"/>
        <v>0</v>
      </c>
      <c r="N522" s="19"/>
      <c r="O522" s="19"/>
      <c r="P522" s="19"/>
      <c r="Q522" s="21"/>
      <c r="R522" s="19"/>
      <c r="S522" s="19"/>
      <c r="T522" s="19"/>
      <c r="U522" s="19"/>
      <c r="V522" s="21"/>
    </row>
    <row r="523" spans="1:22" x14ac:dyDescent="0.3">
      <c r="A523" s="1">
        <v>46033.770833333336</v>
      </c>
      <c r="B523" s="2">
        <v>7.6</v>
      </c>
      <c r="C523" s="1" t="str">
        <f t="shared" si="18"/>
        <v>0</v>
      </c>
      <c r="D523" s="1" t="str">
        <f t="shared" si="19"/>
        <v>0</v>
      </c>
      <c r="N523" s="19"/>
      <c r="O523" s="19"/>
      <c r="P523" s="19"/>
      <c r="Q523" s="21"/>
      <c r="R523" s="19"/>
      <c r="S523" s="19"/>
      <c r="T523" s="19"/>
      <c r="U523" s="19"/>
      <c r="V523" s="21"/>
    </row>
    <row r="524" spans="1:22" x14ac:dyDescent="0.3">
      <c r="A524" s="1">
        <v>46033.791666666664</v>
      </c>
      <c r="B524" s="2">
        <v>7.2</v>
      </c>
      <c r="C524" s="1" t="str">
        <f t="shared" si="18"/>
        <v>0</v>
      </c>
      <c r="D524" s="1" t="str">
        <f t="shared" si="19"/>
        <v>0</v>
      </c>
      <c r="N524" s="19"/>
      <c r="O524" s="19"/>
      <c r="P524" s="19"/>
      <c r="Q524" s="21"/>
      <c r="R524" s="19"/>
      <c r="S524" s="19"/>
      <c r="T524" s="19"/>
      <c r="U524" s="19"/>
      <c r="V524" s="21"/>
    </row>
    <row r="525" spans="1:22" x14ac:dyDescent="0.3">
      <c r="A525" s="1">
        <v>46033.8125</v>
      </c>
      <c r="B525" s="2">
        <v>7</v>
      </c>
      <c r="C525" s="1" t="str">
        <f t="shared" si="18"/>
        <v>0</v>
      </c>
      <c r="D525" s="1" t="str">
        <f t="shared" si="19"/>
        <v>0</v>
      </c>
      <c r="N525" s="19"/>
      <c r="O525" s="19"/>
      <c r="P525" s="19"/>
      <c r="Q525" s="21"/>
      <c r="R525" s="19"/>
      <c r="S525" s="19"/>
      <c r="T525" s="19"/>
      <c r="U525" s="19"/>
      <c r="V525" s="21"/>
    </row>
    <row r="526" spans="1:22" x14ac:dyDescent="0.3">
      <c r="A526" s="1">
        <v>46033.833333333336</v>
      </c>
      <c r="B526" s="2">
        <v>6.6</v>
      </c>
      <c r="C526" s="1" t="str">
        <f t="shared" si="18"/>
        <v>0</v>
      </c>
      <c r="D526" s="1" t="str">
        <f t="shared" si="19"/>
        <v>0</v>
      </c>
      <c r="N526" s="19"/>
      <c r="O526" s="19"/>
      <c r="P526" s="19"/>
      <c r="Q526" s="21"/>
      <c r="R526" s="19"/>
      <c r="S526" s="19"/>
      <c r="T526" s="19"/>
      <c r="U526" s="19"/>
      <c r="V526" s="21"/>
    </row>
    <row r="527" spans="1:22" x14ac:dyDescent="0.3">
      <c r="A527" s="1">
        <v>46033.854166666664</v>
      </c>
      <c r="B527" s="2">
        <v>6.2</v>
      </c>
      <c r="C527" s="1" t="str">
        <f t="shared" si="18"/>
        <v>0</v>
      </c>
      <c r="D527" s="1" t="str">
        <f t="shared" si="19"/>
        <v>0</v>
      </c>
      <c r="N527" s="19"/>
      <c r="O527" s="19"/>
      <c r="P527" s="19"/>
      <c r="Q527" s="21"/>
      <c r="R527" s="19"/>
      <c r="S527" s="19"/>
      <c r="T527" s="19"/>
      <c r="U527" s="19"/>
      <c r="V527" s="21"/>
    </row>
    <row r="528" spans="1:22" x14ac:dyDescent="0.3">
      <c r="A528" s="1">
        <v>46033.875</v>
      </c>
      <c r="B528" s="2">
        <v>5.5</v>
      </c>
      <c r="C528" s="1" t="str">
        <f t="shared" si="18"/>
        <v>0</v>
      </c>
      <c r="D528" s="1" t="str">
        <f t="shared" si="19"/>
        <v>0</v>
      </c>
      <c r="N528" s="19"/>
      <c r="O528" s="19"/>
      <c r="P528" s="19"/>
      <c r="Q528" s="21"/>
      <c r="R528" s="19"/>
      <c r="S528" s="19"/>
      <c r="T528" s="19"/>
      <c r="U528" s="19"/>
      <c r="V528" s="21"/>
    </row>
    <row r="529" spans="1:22" x14ac:dyDescent="0.3">
      <c r="A529" s="1">
        <v>46033.895833333336</v>
      </c>
      <c r="B529" s="2">
        <v>5.4</v>
      </c>
      <c r="C529" s="1" t="str">
        <f t="shared" si="18"/>
        <v>0</v>
      </c>
      <c r="D529" s="1" t="str">
        <f t="shared" si="19"/>
        <v>0</v>
      </c>
      <c r="N529" s="19"/>
      <c r="O529" s="19"/>
      <c r="P529" s="19"/>
      <c r="Q529" s="21"/>
      <c r="R529" s="19"/>
      <c r="S529" s="19"/>
      <c r="T529" s="19"/>
      <c r="U529" s="19"/>
      <c r="V529" s="21"/>
    </row>
    <row r="530" spans="1:22" x14ac:dyDescent="0.3">
      <c r="A530" s="1">
        <v>46033.916666666664</v>
      </c>
      <c r="B530" s="2">
        <v>4.9000000000000004</v>
      </c>
      <c r="C530" s="1" t="str">
        <f t="shared" si="18"/>
        <v>0</v>
      </c>
      <c r="D530" s="1" t="str">
        <f t="shared" si="19"/>
        <v>0</v>
      </c>
      <c r="N530" s="19"/>
      <c r="O530" s="19"/>
      <c r="P530" s="19"/>
      <c r="Q530" s="21"/>
      <c r="R530" s="19"/>
      <c r="S530" s="19"/>
      <c r="T530" s="19"/>
      <c r="U530" s="19"/>
      <c r="V530" s="21"/>
    </row>
    <row r="531" spans="1:22" x14ac:dyDescent="0.3">
      <c r="A531" s="1">
        <v>46033.9375</v>
      </c>
      <c r="B531" s="2">
        <v>4.7</v>
      </c>
      <c r="C531" s="1" t="str">
        <f t="shared" si="18"/>
        <v>0</v>
      </c>
      <c r="D531" s="1" t="str">
        <f t="shared" si="19"/>
        <v>0</v>
      </c>
      <c r="N531" s="19"/>
      <c r="O531" s="19"/>
      <c r="P531" s="19"/>
      <c r="Q531" s="21"/>
      <c r="R531" s="19"/>
      <c r="S531" s="19"/>
      <c r="T531" s="19"/>
      <c r="U531" s="19"/>
      <c r="V531" s="21"/>
    </row>
    <row r="532" spans="1:22" x14ac:dyDescent="0.3">
      <c r="A532" s="1">
        <v>46033.958333333336</v>
      </c>
      <c r="B532" s="2">
        <v>4.7</v>
      </c>
      <c r="C532" s="1" t="str">
        <f t="shared" si="18"/>
        <v>0</v>
      </c>
      <c r="D532" s="1" t="str">
        <f t="shared" si="19"/>
        <v>0</v>
      </c>
      <c r="N532" s="19"/>
      <c r="O532" s="19"/>
      <c r="P532" s="19"/>
      <c r="Q532" s="21"/>
      <c r="R532" s="19"/>
      <c r="S532" s="19"/>
      <c r="T532" s="19"/>
      <c r="U532" s="19"/>
      <c r="V532" s="21"/>
    </row>
    <row r="533" spans="1:22" x14ac:dyDescent="0.3">
      <c r="A533" s="1">
        <v>46033.979166666664</v>
      </c>
      <c r="B533" s="2">
        <v>4.8</v>
      </c>
      <c r="C533" s="1" t="str">
        <f t="shared" si="18"/>
        <v>0</v>
      </c>
      <c r="D533" s="1" t="str">
        <f t="shared" si="19"/>
        <v>0</v>
      </c>
      <c r="N533" s="19"/>
      <c r="O533" s="19"/>
      <c r="P533" s="19"/>
      <c r="Q533" s="21"/>
      <c r="R533" s="19"/>
      <c r="S533" s="19"/>
      <c r="T533" s="19"/>
      <c r="U533" s="19"/>
      <c r="V533" s="21"/>
    </row>
    <row r="534" spans="1:22" x14ac:dyDescent="0.3">
      <c r="A534" s="1">
        <v>46034</v>
      </c>
      <c r="B534" s="2">
        <v>4.0999999999999996</v>
      </c>
      <c r="C534" s="1" t="str">
        <f t="shared" si="18"/>
        <v>0</v>
      </c>
      <c r="D534" s="1" t="str">
        <f t="shared" si="19"/>
        <v>0</v>
      </c>
      <c r="N534" s="19"/>
      <c r="O534" s="19"/>
      <c r="P534" s="19"/>
      <c r="Q534" s="21"/>
      <c r="R534" s="19"/>
      <c r="S534" s="19"/>
      <c r="T534" s="19"/>
      <c r="U534" s="19"/>
      <c r="V534" s="21"/>
    </row>
    <row r="535" spans="1:22" x14ac:dyDescent="0.3">
      <c r="A535" s="1">
        <v>46034.020833333336</v>
      </c>
      <c r="B535" s="2">
        <v>3.9</v>
      </c>
      <c r="C535" s="1" t="str">
        <f t="shared" si="18"/>
        <v>0</v>
      </c>
      <c r="D535" s="1" t="str">
        <f t="shared" si="19"/>
        <v>0</v>
      </c>
      <c r="N535" s="19"/>
      <c r="O535" s="19"/>
      <c r="P535" s="19"/>
      <c r="Q535" s="21"/>
      <c r="R535" s="19"/>
      <c r="S535" s="19"/>
      <c r="T535" s="19"/>
      <c r="U535" s="19"/>
      <c r="V535" s="21"/>
    </row>
    <row r="536" spans="1:22" x14ac:dyDescent="0.3">
      <c r="A536" s="1">
        <v>46034.041666666664</v>
      </c>
      <c r="B536" s="2">
        <v>3.8</v>
      </c>
      <c r="C536" s="1" t="str">
        <f t="shared" si="18"/>
        <v>0</v>
      </c>
      <c r="D536" s="1" t="str">
        <f t="shared" si="19"/>
        <v>0</v>
      </c>
      <c r="N536" s="19"/>
      <c r="O536" s="19"/>
      <c r="P536" s="19"/>
      <c r="Q536" s="21"/>
      <c r="R536" s="19"/>
      <c r="S536" s="19"/>
      <c r="T536" s="19"/>
      <c r="U536" s="19"/>
      <c r="V536" s="21"/>
    </row>
    <row r="537" spans="1:22" x14ac:dyDescent="0.3">
      <c r="A537" s="1">
        <v>46034.0625</v>
      </c>
      <c r="B537" s="2">
        <v>3.8</v>
      </c>
      <c r="C537" s="1" t="str">
        <f t="shared" si="18"/>
        <v>0</v>
      </c>
      <c r="D537" s="1" t="str">
        <f t="shared" si="19"/>
        <v>0</v>
      </c>
      <c r="N537" s="19"/>
      <c r="O537" s="19"/>
      <c r="P537" s="19"/>
      <c r="Q537" s="21"/>
      <c r="R537" s="19"/>
      <c r="S537" s="19"/>
      <c r="T537" s="19"/>
      <c r="U537" s="19"/>
      <c r="V537" s="21"/>
    </row>
    <row r="538" spans="1:22" x14ac:dyDescent="0.3">
      <c r="A538" s="1">
        <v>46034.083333333336</v>
      </c>
      <c r="B538" s="2">
        <v>3.7</v>
      </c>
      <c r="C538" s="1" t="str">
        <f t="shared" si="18"/>
        <v>0</v>
      </c>
      <c r="D538" s="1" t="str">
        <f t="shared" si="19"/>
        <v>0</v>
      </c>
      <c r="N538" s="19"/>
      <c r="O538" s="19"/>
      <c r="P538" s="19"/>
      <c r="Q538" s="21"/>
      <c r="R538" s="19"/>
      <c r="S538" s="19"/>
      <c r="T538" s="19"/>
      <c r="U538" s="19"/>
      <c r="V538" s="21"/>
    </row>
    <row r="539" spans="1:22" x14ac:dyDescent="0.3">
      <c r="A539" s="1">
        <v>46034.104166666664</v>
      </c>
      <c r="B539" s="2">
        <v>3.4</v>
      </c>
      <c r="C539" s="1" t="str">
        <f t="shared" si="18"/>
        <v>0</v>
      </c>
      <c r="D539" s="1" t="str">
        <f t="shared" si="19"/>
        <v>0</v>
      </c>
      <c r="N539" s="19"/>
      <c r="O539" s="19"/>
      <c r="P539" s="19"/>
      <c r="Q539" s="21"/>
      <c r="R539" s="19"/>
      <c r="S539" s="19"/>
      <c r="T539" s="19"/>
      <c r="U539" s="19"/>
      <c r="V539" s="21"/>
    </row>
    <row r="540" spans="1:22" x14ac:dyDescent="0.3">
      <c r="A540" s="1">
        <v>46034.125</v>
      </c>
      <c r="B540" s="2">
        <v>2.2999999999999998</v>
      </c>
      <c r="C540" s="1" t="str">
        <f t="shared" si="18"/>
        <v>0</v>
      </c>
      <c r="D540" s="1" t="str">
        <f t="shared" si="19"/>
        <v>0</v>
      </c>
      <c r="N540" s="19"/>
      <c r="O540" s="19"/>
      <c r="P540" s="19"/>
      <c r="Q540" s="21"/>
      <c r="R540" s="19"/>
      <c r="S540" s="19"/>
      <c r="T540" s="19"/>
      <c r="U540" s="19"/>
      <c r="V540" s="21"/>
    </row>
    <row r="541" spans="1:22" x14ac:dyDescent="0.3">
      <c r="A541" s="1">
        <v>46034.145833333336</v>
      </c>
      <c r="B541" s="2">
        <v>2.1</v>
      </c>
      <c r="C541" s="1" t="str">
        <f t="shared" si="18"/>
        <v>0</v>
      </c>
      <c r="D541" s="1" t="str">
        <f t="shared" si="19"/>
        <v>0</v>
      </c>
      <c r="N541" s="19"/>
      <c r="O541" s="19"/>
      <c r="P541" s="19"/>
      <c r="Q541" s="21"/>
      <c r="R541" s="19"/>
      <c r="S541" s="19"/>
      <c r="T541" s="19"/>
      <c r="U541" s="19"/>
      <c r="V541" s="21"/>
    </row>
    <row r="542" spans="1:22" x14ac:dyDescent="0.3">
      <c r="A542" s="1">
        <v>46034.166666666664</v>
      </c>
      <c r="B542" s="2">
        <v>1.8</v>
      </c>
      <c r="C542" s="1" t="str">
        <f t="shared" si="18"/>
        <v>0</v>
      </c>
      <c r="D542" s="1" t="str">
        <f t="shared" si="19"/>
        <v>0</v>
      </c>
      <c r="N542" s="19"/>
      <c r="O542" s="19"/>
      <c r="P542" s="19"/>
      <c r="Q542" s="21"/>
      <c r="R542" s="19"/>
      <c r="S542" s="19"/>
      <c r="T542" s="19"/>
      <c r="U542" s="19"/>
      <c r="V542" s="21"/>
    </row>
    <row r="543" spans="1:22" x14ac:dyDescent="0.3">
      <c r="A543" s="1">
        <v>46034.1875</v>
      </c>
      <c r="B543" s="2">
        <v>1.6</v>
      </c>
      <c r="C543" s="1" t="str">
        <f t="shared" si="18"/>
        <v>0</v>
      </c>
      <c r="D543" s="1" t="str">
        <f t="shared" si="19"/>
        <v>0</v>
      </c>
      <c r="N543" s="19"/>
      <c r="O543" s="19"/>
      <c r="P543" s="19"/>
      <c r="Q543" s="21"/>
      <c r="R543" s="19"/>
      <c r="S543" s="19"/>
      <c r="T543" s="19"/>
      <c r="U543" s="19"/>
      <c r="V543" s="21"/>
    </row>
    <row r="544" spans="1:22" x14ac:dyDescent="0.3">
      <c r="A544" s="1">
        <v>46034.208333333336</v>
      </c>
      <c r="B544" s="2">
        <v>1.3</v>
      </c>
      <c r="C544" s="1" t="str">
        <f t="shared" si="18"/>
        <v>0</v>
      </c>
      <c r="D544" s="1" t="str">
        <f t="shared" si="19"/>
        <v>0</v>
      </c>
      <c r="N544" s="19"/>
      <c r="O544" s="19"/>
      <c r="P544" s="19"/>
      <c r="Q544" s="21"/>
      <c r="R544" s="19"/>
      <c r="S544" s="19"/>
      <c r="T544" s="19"/>
      <c r="U544" s="19"/>
      <c r="V544" s="21"/>
    </row>
    <row r="545" spans="1:22" x14ac:dyDescent="0.3">
      <c r="A545" s="1">
        <v>46034.229166666664</v>
      </c>
      <c r="B545" s="2">
        <v>1.7</v>
      </c>
      <c r="C545" s="1" t="str">
        <f t="shared" si="18"/>
        <v>0</v>
      </c>
      <c r="D545" s="1" t="str">
        <f t="shared" si="19"/>
        <v>0</v>
      </c>
      <c r="N545" s="19"/>
      <c r="O545" s="19"/>
      <c r="P545" s="19"/>
      <c r="Q545" s="21"/>
      <c r="R545" s="19"/>
      <c r="S545" s="19"/>
      <c r="T545" s="19"/>
      <c r="U545" s="19"/>
      <c r="V545" s="21"/>
    </row>
    <row r="546" spans="1:22" x14ac:dyDescent="0.3">
      <c r="A546" s="1">
        <v>46034.25</v>
      </c>
      <c r="B546" s="2">
        <v>2</v>
      </c>
      <c r="C546" s="1" t="str">
        <f t="shared" si="18"/>
        <v>0</v>
      </c>
      <c r="D546" s="1" t="str">
        <f t="shared" si="19"/>
        <v>0</v>
      </c>
      <c r="N546" s="19"/>
      <c r="O546" s="19"/>
      <c r="P546" s="19"/>
      <c r="Q546" s="21"/>
      <c r="R546" s="19"/>
      <c r="S546" s="19"/>
      <c r="T546" s="19"/>
      <c r="U546" s="19"/>
      <c r="V546" s="21"/>
    </row>
    <row r="547" spans="1:22" x14ac:dyDescent="0.3">
      <c r="A547" s="1">
        <v>46034.270833333336</v>
      </c>
      <c r="B547" s="2">
        <v>1.7</v>
      </c>
      <c r="C547" s="1" t="str">
        <f t="shared" si="18"/>
        <v>0</v>
      </c>
      <c r="D547" s="1" t="str">
        <f t="shared" si="19"/>
        <v>0</v>
      </c>
      <c r="N547" s="19"/>
      <c r="O547" s="19"/>
      <c r="P547" s="19"/>
      <c r="Q547" s="21"/>
      <c r="R547" s="19"/>
      <c r="S547" s="19"/>
      <c r="T547" s="19"/>
      <c r="U547" s="19"/>
      <c r="V547" s="21"/>
    </row>
    <row r="548" spans="1:22" x14ac:dyDescent="0.3">
      <c r="A548" s="1">
        <v>46034.291666666664</v>
      </c>
      <c r="B548" s="2">
        <v>1.5</v>
      </c>
      <c r="C548" s="1" t="str">
        <f t="shared" si="18"/>
        <v>0</v>
      </c>
      <c r="D548" s="1" t="str">
        <f t="shared" si="19"/>
        <v>0</v>
      </c>
      <c r="N548" s="19"/>
      <c r="O548" s="19"/>
      <c r="P548" s="19"/>
      <c r="Q548" s="21"/>
      <c r="R548" s="19"/>
      <c r="S548" s="19"/>
      <c r="T548" s="19"/>
      <c r="U548" s="19"/>
      <c r="V548" s="21"/>
    </row>
    <row r="549" spans="1:22" x14ac:dyDescent="0.3">
      <c r="A549" s="1">
        <v>46034.3125</v>
      </c>
      <c r="B549" s="2">
        <v>1.6</v>
      </c>
      <c r="C549" s="1" t="str">
        <f t="shared" si="18"/>
        <v>0</v>
      </c>
      <c r="D549" s="1" t="str">
        <f t="shared" si="19"/>
        <v>0</v>
      </c>
      <c r="N549" s="19"/>
      <c r="O549" s="19"/>
      <c r="P549" s="19"/>
      <c r="Q549" s="21"/>
      <c r="R549" s="19"/>
      <c r="S549" s="19"/>
      <c r="T549" s="19"/>
      <c r="U549" s="19"/>
      <c r="V549" s="21"/>
    </row>
    <row r="550" spans="1:22" x14ac:dyDescent="0.3">
      <c r="A550" s="1">
        <v>46034.333333333336</v>
      </c>
      <c r="B550" s="2">
        <v>1.8</v>
      </c>
      <c r="C550" s="1" t="str">
        <f t="shared" si="18"/>
        <v>0</v>
      </c>
      <c r="D550" s="1" t="str">
        <f t="shared" si="19"/>
        <v>0</v>
      </c>
      <c r="N550" s="19"/>
      <c r="O550" s="19"/>
      <c r="P550" s="19"/>
      <c r="Q550" s="21"/>
      <c r="R550" s="19"/>
      <c r="S550" s="19"/>
      <c r="T550" s="19"/>
      <c r="U550" s="19"/>
      <c r="V550" s="21"/>
    </row>
    <row r="551" spans="1:22" x14ac:dyDescent="0.3">
      <c r="A551" s="1">
        <v>46034.354166666664</v>
      </c>
      <c r="B551" s="2">
        <v>2.4</v>
      </c>
      <c r="C551" s="1" t="str">
        <f t="shared" si="18"/>
        <v>0</v>
      </c>
      <c r="D551" s="1" t="str">
        <f t="shared" si="19"/>
        <v>0</v>
      </c>
      <c r="N551" s="19"/>
      <c r="O551" s="19"/>
      <c r="P551" s="19"/>
      <c r="Q551" s="21"/>
      <c r="R551" s="19"/>
      <c r="S551" s="19"/>
      <c r="T551" s="19"/>
      <c r="U551" s="19"/>
      <c r="V551" s="21"/>
    </row>
    <row r="552" spans="1:22" x14ac:dyDescent="0.3">
      <c r="A552" s="1">
        <v>46034.375</v>
      </c>
      <c r="B552" s="2">
        <v>3.4</v>
      </c>
      <c r="C552" s="1" t="str">
        <f t="shared" si="18"/>
        <v>0</v>
      </c>
      <c r="D552" s="1" t="str">
        <f t="shared" si="19"/>
        <v>0</v>
      </c>
      <c r="N552" s="19"/>
      <c r="O552" s="19"/>
      <c r="P552" s="19"/>
      <c r="Q552" s="21"/>
      <c r="R552" s="19"/>
      <c r="S552" s="19"/>
      <c r="T552" s="19"/>
      <c r="U552" s="19"/>
      <c r="V552" s="21"/>
    </row>
    <row r="553" spans="1:22" x14ac:dyDescent="0.3">
      <c r="A553" s="1">
        <v>46034.395833333336</v>
      </c>
      <c r="B553" s="2">
        <v>4.2</v>
      </c>
      <c r="C553" s="1" t="str">
        <f t="shared" si="18"/>
        <v>0</v>
      </c>
      <c r="D553" s="1" t="str">
        <f t="shared" si="19"/>
        <v>0</v>
      </c>
      <c r="N553" s="19"/>
      <c r="O553" s="19"/>
      <c r="P553" s="19"/>
      <c r="Q553" s="21"/>
      <c r="R553" s="19"/>
      <c r="S553" s="19"/>
      <c r="T553" s="19"/>
      <c r="U553" s="19"/>
      <c r="V553" s="21"/>
    </row>
    <row r="554" spans="1:22" x14ac:dyDescent="0.3">
      <c r="A554" s="1">
        <v>46034.416666666664</v>
      </c>
      <c r="B554" s="2">
        <v>4.9000000000000004</v>
      </c>
      <c r="C554" s="1" t="str">
        <f t="shared" si="18"/>
        <v>0</v>
      </c>
      <c r="D554" s="1" t="str">
        <f t="shared" si="19"/>
        <v>0</v>
      </c>
      <c r="N554" s="19"/>
      <c r="O554" s="19"/>
      <c r="P554" s="19"/>
      <c r="Q554" s="21"/>
      <c r="R554" s="19"/>
      <c r="S554" s="19"/>
      <c r="T554" s="19"/>
      <c r="U554" s="19"/>
      <c r="V554" s="21"/>
    </row>
    <row r="555" spans="1:22" x14ac:dyDescent="0.3">
      <c r="A555" s="1">
        <v>46034.4375</v>
      </c>
      <c r="B555" s="2">
        <v>5.7</v>
      </c>
      <c r="C555" s="1" t="str">
        <f t="shared" si="18"/>
        <v>0</v>
      </c>
      <c r="D555" s="1" t="str">
        <f t="shared" si="19"/>
        <v>0</v>
      </c>
      <c r="N555" s="19"/>
      <c r="O555" s="19"/>
      <c r="P555" s="19"/>
      <c r="Q555" s="21"/>
      <c r="R555" s="19"/>
      <c r="S555" s="19"/>
      <c r="T555" s="19"/>
      <c r="U555" s="19"/>
      <c r="V555" s="21"/>
    </row>
    <row r="556" spans="1:22" x14ac:dyDescent="0.3">
      <c r="A556" s="1">
        <v>46034.458333333336</v>
      </c>
      <c r="B556" s="2">
        <v>6.9</v>
      </c>
      <c r="C556" s="1" t="str">
        <f t="shared" si="18"/>
        <v>0</v>
      </c>
      <c r="D556" s="1" t="str">
        <f t="shared" si="19"/>
        <v>0</v>
      </c>
      <c r="N556" s="19"/>
      <c r="O556" s="19"/>
      <c r="P556" s="19"/>
      <c r="Q556" s="21"/>
      <c r="R556" s="19"/>
      <c r="S556" s="19"/>
      <c r="T556" s="19"/>
      <c r="U556" s="19"/>
      <c r="V556" s="21"/>
    </row>
    <row r="557" spans="1:22" x14ac:dyDescent="0.3">
      <c r="A557" s="1">
        <v>46034.479166666664</v>
      </c>
      <c r="B557" s="2">
        <v>7.3</v>
      </c>
      <c r="C557" s="1" t="str">
        <f t="shared" si="18"/>
        <v>0</v>
      </c>
      <c r="D557" s="1" t="str">
        <f t="shared" si="19"/>
        <v>0</v>
      </c>
      <c r="N557" s="19"/>
      <c r="O557" s="19"/>
      <c r="P557" s="19"/>
      <c r="Q557" s="21"/>
      <c r="R557" s="19"/>
      <c r="S557" s="19"/>
      <c r="T557" s="19"/>
      <c r="U557" s="19"/>
      <c r="V557" s="21"/>
    </row>
    <row r="558" spans="1:22" x14ac:dyDescent="0.3">
      <c r="A558" s="1">
        <v>46034.5</v>
      </c>
      <c r="B558" s="2">
        <v>7.7</v>
      </c>
      <c r="C558" s="1" t="str">
        <f t="shared" si="18"/>
        <v>0</v>
      </c>
      <c r="D558" s="1" t="str">
        <f t="shared" si="19"/>
        <v>0</v>
      </c>
      <c r="N558" s="19"/>
      <c r="O558" s="19"/>
      <c r="P558" s="19"/>
      <c r="Q558" s="21"/>
      <c r="R558" s="19"/>
      <c r="S558" s="19"/>
      <c r="T558" s="19"/>
      <c r="U558" s="19"/>
      <c r="V558" s="21"/>
    </row>
    <row r="559" spans="1:22" x14ac:dyDescent="0.3">
      <c r="A559" s="1">
        <v>46034.520833333336</v>
      </c>
      <c r="B559" s="2">
        <v>8.3000000000000007</v>
      </c>
      <c r="C559" s="1" t="str">
        <f t="shared" si="18"/>
        <v>0</v>
      </c>
      <c r="D559" s="1" t="str">
        <f t="shared" si="19"/>
        <v>0</v>
      </c>
      <c r="N559" s="19"/>
      <c r="O559" s="19"/>
      <c r="P559" s="19"/>
      <c r="Q559" s="21"/>
      <c r="R559" s="19"/>
      <c r="S559" s="19"/>
      <c r="T559" s="19"/>
      <c r="U559" s="19"/>
      <c r="V559" s="21"/>
    </row>
    <row r="560" spans="1:22" x14ac:dyDescent="0.3">
      <c r="A560" s="1">
        <v>46034.541666666664</v>
      </c>
      <c r="B560" s="2">
        <v>9.3000000000000007</v>
      </c>
      <c r="C560" s="1" t="str">
        <f t="shared" si="18"/>
        <v>0</v>
      </c>
      <c r="D560" s="1" t="str">
        <f t="shared" si="19"/>
        <v>0</v>
      </c>
      <c r="N560" s="19"/>
      <c r="O560" s="19"/>
      <c r="P560" s="19"/>
      <c r="Q560" s="21"/>
      <c r="R560" s="19"/>
      <c r="S560" s="19"/>
      <c r="T560" s="19"/>
      <c r="U560" s="19"/>
      <c r="V560" s="21"/>
    </row>
    <row r="561" spans="1:22" x14ac:dyDescent="0.3">
      <c r="A561" s="1">
        <v>46034.5625</v>
      </c>
      <c r="B561" s="2">
        <v>9.6999999999999993</v>
      </c>
      <c r="C561" s="1" t="str">
        <f t="shared" si="18"/>
        <v>0</v>
      </c>
      <c r="D561" s="1" t="str">
        <f t="shared" si="19"/>
        <v>0</v>
      </c>
      <c r="N561" s="19"/>
      <c r="O561" s="19"/>
      <c r="P561" s="19"/>
      <c r="Q561" s="21"/>
      <c r="R561" s="19"/>
      <c r="S561" s="19"/>
      <c r="T561" s="19"/>
      <c r="U561" s="19"/>
      <c r="V561" s="21"/>
    </row>
    <row r="562" spans="1:22" x14ac:dyDescent="0.3">
      <c r="A562" s="1">
        <v>46034.583333333336</v>
      </c>
      <c r="B562" s="2">
        <v>10.1</v>
      </c>
      <c r="C562" s="1" t="str">
        <f t="shared" si="18"/>
        <v>0</v>
      </c>
      <c r="D562" s="1" t="str">
        <f t="shared" si="19"/>
        <v>0</v>
      </c>
      <c r="N562" s="19"/>
      <c r="O562" s="19"/>
      <c r="P562" s="19"/>
      <c r="Q562" s="21"/>
      <c r="R562" s="19"/>
      <c r="S562" s="19"/>
      <c r="T562" s="19"/>
      <c r="U562" s="19"/>
      <c r="V562" s="21"/>
    </row>
    <row r="563" spans="1:22" x14ac:dyDescent="0.3">
      <c r="A563" s="1">
        <v>46034.604166666664</v>
      </c>
      <c r="B563" s="2">
        <v>10.3</v>
      </c>
      <c r="C563" s="1" t="str">
        <f t="shared" si="18"/>
        <v>0</v>
      </c>
      <c r="D563" s="1" t="str">
        <f t="shared" si="19"/>
        <v>0</v>
      </c>
      <c r="N563" s="19"/>
      <c r="O563" s="19"/>
      <c r="P563" s="19"/>
      <c r="Q563" s="21"/>
      <c r="R563" s="19"/>
      <c r="S563" s="19"/>
      <c r="T563" s="19"/>
      <c r="U563" s="19"/>
      <c r="V563" s="21"/>
    </row>
    <row r="564" spans="1:22" x14ac:dyDescent="0.3">
      <c r="A564" s="1">
        <v>46034.625</v>
      </c>
      <c r="B564" s="2">
        <v>10.5</v>
      </c>
      <c r="C564" s="1" t="str">
        <f t="shared" si="18"/>
        <v>0</v>
      </c>
      <c r="D564" s="1" t="str">
        <f t="shared" si="19"/>
        <v>0</v>
      </c>
      <c r="N564" s="19"/>
      <c r="O564" s="19"/>
      <c r="P564" s="19"/>
      <c r="Q564" s="21"/>
      <c r="R564" s="19"/>
      <c r="S564" s="19"/>
      <c r="T564" s="19"/>
      <c r="U564" s="19"/>
      <c r="V564" s="21"/>
    </row>
    <row r="565" spans="1:22" x14ac:dyDescent="0.3">
      <c r="A565" s="1">
        <v>46034.645833333336</v>
      </c>
      <c r="B565" s="2">
        <v>10.199999999999999</v>
      </c>
      <c r="C565" s="1" t="str">
        <f t="shared" si="18"/>
        <v>0</v>
      </c>
      <c r="D565" s="1" t="str">
        <f t="shared" si="19"/>
        <v>0</v>
      </c>
      <c r="N565" s="19"/>
      <c r="O565" s="19"/>
      <c r="P565" s="19"/>
      <c r="Q565" s="21"/>
      <c r="R565" s="19"/>
      <c r="S565" s="19"/>
      <c r="T565" s="19"/>
      <c r="U565" s="19"/>
      <c r="V565" s="21"/>
    </row>
    <row r="566" spans="1:22" x14ac:dyDescent="0.3">
      <c r="A566" s="1">
        <v>46034.666666666664</v>
      </c>
      <c r="B566" s="2">
        <v>9.8000000000000007</v>
      </c>
      <c r="C566" s="1" t="str">
        <f t="shared" si="18"/>
        <v>0</v>
      </c>
      <c r="D566" s="1" t="str">
        <f t="shared" si="19"/>
        <v>0</v>
      </c>
      <c r="N566" s="19"/>
      <c r="O566" s="19"/>
      <c r="P566" s="19"/>
      <c r="Q566" s="21"/>
      <c r="R566" s="19"/>
      <c r="S566" s="19"/>
      <c r="T566" s="19"/>
      <c r="U566" s="19"/>
      <c r="V566" s="21"/>
    </row>
    <row r="567" spans="1:22" x14ac:dyDescent="0.3">
      <c r="A567" s="1">
        <v>46034.6875</v>
      </c>
      <c r="B567" s="2">
        <v>9.3000000000000007</v>
      </c>
      <c r="C567" s="1" t="str">
        <f t="shared" si="18"/>
        <v>0</v>
      </c>
      <c r="D567" s="1" t="str">
        <f t="shared" si="19"/>
        <v>0</v>
      </c>
      <c r="N567" s="19"/>
      <c r="O567" s="19"/>
      <c r="P567" s="19"/>
      <c r="Q567" s="21"/>
      <c r="R567" s="19"/>
      <c r="S567" s="19"/>
      <c r="T567" s="19"/>
      <c r="U567" s="19"/>
      <c r="V567" s="21"/>
    </row>
    <row r="568" spans="1:22" x14ac:dyDescent="0.3">
      <c r="A568" s="1">
        <v>46034.708333333336</v>
      </c>
      <c r="B568" s="2">
        <v>9</v>
      </c>
      <c r="C568" s="1" t="str">
        <f t="shared" si="18"/>
        <v>0</v>
      </c>
      <c r="D568" s="1" t="str">
        <f t="shared" si="19"/>
        <v>0</v>
      </c>
      <c r="N568" s="19"/>
      <c r="O568" s="19"/>
      <c r="P568" s="19"/>
      <c r="Q568" s="21"/>
      <c r="R568" s="19"/>
      <c r="S568" s="19"/>
      <c r="T568" s="19"/>
      <c r="U568" s="19"/>
      <c r="V568" s="21"/>
    </row>
    <row r="569" spans="1:22" x14ac:dyDescent="0.3">
      <c r="A569" s="1">
        <v>46034.729166666664</v>
      </c>
      <c r="B569" s="2">
        <v>8.8000000000000007</v>
      </c>
      <c r="C569" s="1" t="str">
        <f t="shared" si="18"/>
        <v>0</v>
      </c>
      <c r="D569" s="1" t="str">
        <f t="shared" si="19"/>
        <v>0</v>
      </c>
      <c r="N569" s="19"/>
      <c r="O569" s="19"/>
      <c r="P569" s="19"/>
      <c r="Q569" s="21"/>
      <c r="R569" s="19"/>
      <c r="S569" s="19"/>
      <c r="T569" s="19"/>
      <c r="U569" s="19"/>
      <c r="V569" s="21"/>
    </row>
    <row r="570" spans="1:22" x14ac:dyDescent="0.3">
      <c r="A570" s="1">
        <v>46034.75</v>
      </c>
      <c r="B570" s="2">
        <v>8.5</v>
      </c>
      <c r="C570" s="1" t="str">
        <f t="shared" si="18"/>
        <v>0</v>
      </c>
      <c r="D570" s="1" t="str">
        <f t="shared" si="19"/>
        <v>0</v>
      </c>
      <c r="N570" s="19"/>
      <c r="O570" s="19"/>
      <c r="P570" s="19"/>
      <c r="Q570" s="21"/>
      <c r="R570" s="19"/>
      <c r="S570" s="19"/>
      <c r="T570" s="19"/>
      <c r="U570" s="19"/>
      <c r="V570" s="21"/>
    </row>
    <row r="571" spans="1:22" x14ac:dyDescent="0.3">
      <c r="A571" s="1">
        <v>46034.770833333336</v>
      </c>
      <c r="B571" s="2">
        <v>8.3000000000000007</v>
      </c>
      <c r="C571" s="1" t="str">
        <f t="shared" si="18"/>
        <v>0</v>
      </c>
      <c r="D571" s="1" t="str">
        <f t="shared" si="19"/>
        <v>0</v>
      </c>
      <c r="N571" s="19"/>
      <c r="O571" s="19"/>
      <c r="P571" s="19"/>
      <c r="Q571" s="21"/>
      <c r="R571" s="19"/>
      <c r="S571" s="19"/>
      <c r="T571" s="19"/>
      <c r="U571" s="19"/>
      <c r="V571" s="21"/>
    </row>
    <row r="572" spans="1:22" x14ac:dyDescent="0.3">
      <c r="A572" s="1">
        <v>46034.791666666664</v>
      </c>
      <c r="B572" s="2">
        <v>7.9</v>
      </c>
      <c r="C572" s="1" t="str">
        <f t="shared" si="18"/>
        <v>0</v>
      </c>
      <c r="D572" s="1" t="str">
        <f t="shared" si="19"/>
        <v>0</v>
      </c>
      <c r="N572" s="19"/>
      <c r="O572" s="19"/>
      <c r="P572" s="19"/>
      <c r="Q572" s="21"/>
      <c r="R572" s="19"/>
      <c r="S572" s="19"/>
      <c r="T572" s="19"/>
      <c r="U572" s="19"/>
      <c r="V572" s="21"/>
    </row>
    <row r="573" spans="1:22" x14ac:dyDescent="0.3">
      <c r="A573" s="1">
        <v>46034.8125</v>
      </c>
      <c r="B573" s="2">
        <v>7.6</v>
      </c>
      <c r="C573" s="1" t="str">
        <f t="shared" si="18"/>
        <v>0</v>
      </c>
      <c r="D573" s="1" t="str">
        <f t="shared" si="19"/>
        <v>0</v>
      </c>
      <c r="N573" s="19"/>
      <c r="O573" s="19"/>
      <c r="P573" s="19"/>
      <c r="Q573" s="21"/>
      <c r="R573" s="19"/>
      <c r="S573" s="19"/>
      <c r="T573" s="19"/>
      <c r="U573" s="19"/>
      <c r="V573" s="21"/>
    </row>
    <row r="574" spans="1:22" x14ac:dyDescent="0.3">
      <c r="A574" s="1">
        <v>46034.833333333336</v>
      </c>
      <c r="B574" s="2">
        <v>6.8</v>
      </c>
      <c r="C574" s="1" t="str">
        <f t="shared" si="18"/>
        <v>0</v>
      </c>
      <c r="D574" s="1" t="str">
        <f t="shared" si="19"/>
        <v>0</v>
      </c>
      <c r="N574" s="19"/>
      <c r="O574" s="19"/>
      <c r="P574" s="19"/>
      <c r="Q574" s="21"/>
      <c r="R574" s="19"/>
      <c r="S574" s="19"/>
      <c r="T574" s="19"/>
      <c r="U574" s="19"/>
      <c r="V574" s="21"/>
    </row>
    <row r="575" spans="1:22" x14ac:dyDescent="0.3">
      <c r="A575" s="1">
        <v>46034.854166666664</v>
      </c>
      <c r="B575" s="2">
        <v>6.5</v>
      </c>
      <c r="C575" s="1" t="str">
        <f t="shared" si="18"/>
        <v>0</v>
      </c>
      <c r="D575" s="1" t="str">
        <f t="shared" si="19"/>
        <v>0</v>
      </c>
      <c r="N575" s="19"/>
      <c r="O575" s="19"/>
      <c r="P575" s="19"/>
      <c r="Q575" s="21"/>
      <c r="R575" s="19"/>
      <c r="S575" s="19"/>
      <c r="T575" s="19"/>
      <c r="U575" s="19"/>
      <c r="V575" s="21"/>
    </row>
    <row r="576" spans="1:22" x14ac:dyDescent="0.3">
      <c r="A576" s="1">
        <v>46034.875</v>
      </c>
      <c r="B576" s="2">
        <v>6.1</v>
      </c>
      <c r="C576" s="1" t="str">
        <f t="shared" si="18"/>
        <v>0</v>
      </c>
      <c r="D576" s="1" t="str">
        <f t="shared" si="19"/>
        <v>0</v>
      </c>
      <c r="N576" s="19"/>
      <c r="O576" s="19"/>
      <c r="P576" s="19"/>
      <c r="Q576" s="21"/>
      <c r="R576" s="19"/>
      <c r="S576" s="19"/>
      <c r="T576" s="19"/>
      <c r="U576" s="19"/>
      <c r="V576" s="21"/>
    </row>
    <row r="577" spans="1:22" x14ac:dyDescent="0.3">
      <c r="A577" s="1">
        <v>46034.895833333336</v>
      </c>
      <c r="B577" s="2">
        <v>5.5</v>
      </c>
      <c r="C577" s="1" t="str">
        <f t="shared" si="18"/>
        <v>0</v>
      </c>
      <c r="D577" s="1" t="str">
        <f t="shared" si="19"/>
        <v>0</v>
      </c>
      <c r="N577" s="19"/>
      <c r="O577" s="19"/>
      <c r="P577" s="19"/>
      <c r="Q577" s="21"/>
      <c r="R577" s="19"/>
      <c r="S577" s="19"/>
      <c r="T577" s="19"/>
      <c r="U577" s="19"/>
      <c r="V577" s="21"/>
    </row>
    <row r="578" spans="1:22" x14ac:dyDescent="0.3">
      <c r="A578" s="1">
        <v>46034.916666666664</v>
      </c>
      <c r="B578" s="2">
        <v>5.5</v>
      </c>
      <c r="C578" s="1" t="str">
        <f t="shared" si="18"/>
        <v>0</v>
      </c>
      <c r="D578" s="1" t="str">
        <f t="shared" si="19"/>
        <v>0</v>
      </c>
      <c r="N578" s="19"/>
      <c r="O578" s="19"/>
      <c r="P578" s="19"/>
      <c r="Q578" s="21"/>
      <c r="R578" s="19"/>
      <c r="S578" s="19"/>
      <c r="T578" s="19"/>
      <c r="U578" s="19"/>
      <c r="V578" s="21"/>
    </row>
    <row r="579" spans="1:22" x14ac:dyDescent="0.3">
      <c r="A579" s="1">
        <v>46034.9375</v>
      </c>
      <c r="B579" s="2">
        <v>5.7</v>
      </c>
      <c r="C579" s="1" t="str">
        <f t="shared" ref="C579:C642" si="20">IF(B579=$P$13,A579,"0")</f>
        <v>0</v>
      </c>
      <c r="D579" s="1" t="str">
        <f t="shared" ref="D579:D642" si="21">IF(B579=$M$13,A579,"0")</f>
        <v>0</v>
      </c>
      <c r="N579" s="19"/>
      <c r="O579" s="19"/>
      <c r="P579" s="19"/>
      <c r="Q579" s="21"/>
      <c r="R579" s="19"/>
      <c r="S579" s="19"/>
      <c r="T579" s="19"/>
      <c r="U579" s="19"/>
      <c r="V579" s="21"/>
    </row>
    <row r="580" spans="1:22" x14ac:dyDescent="0.3">
      <c r="A580" s="1">
        <v>46034.958333333336</v>
      </c>
      <c r="B580" s="2">
        <v>5.4</v>
      </c>
      <c r="C580" s="1" t="str">
        <f t="shared" si="20"/>
        <v>0</v>
      </c>
      <c r="D580" s="1" t="str">
        <f t="shared" si="21"/>
        <v>0</v>
      </c>
      <c r="N580" s="19"/>
      <c r="O580" s="19"/>
      <c r="P580" s="19"/>
      <c r="Q580" s="21"/>
      <c r="R580" s="19"/>
      <c r="S580" s="19"/>
      <c r="T580" s="19"/>
      <c r="U580" s="19"/>
      <c r="V580" s="21"/>
    </row>
    <row r="581" spans="1:22" x14ac:dyDescent="0.3">
      <c r="A581" s="1">
        <v>46034.979166666664</v>
      </c>
      <c r="B581" s="2">
        <v>5.2</v>
      </c>
      <c r="C581" s="1" t="str">
        <f t="shared" si="20"/>
        <v>0</v>
      </c>
      <c r="D581" s="1" t="str">
        <f t="shared" si="21"/>
        <v>0</v>
      </c>
      <c r="N581" s="19"/>
      <c r="O581" s="19"/>
      <c r="P581" s="19"/>
      <c r="Q581" s="21"/>
      <c r="R581" s="19"/>
      <c r="S581" s="19"/>
      <c r="T581" s="19"/>
      <c r="U581" s="19"/>
      <c r="V581" s="21"/>
    </row>
    <row r="582" spans="1:22" x14ac:dyDescent="0.3">
      <c r="A582" s="1">
        <v>46035</v>
      </c>
      <c r="B582" s="2">
        <v>5.7</v>
      </c>
      <c r="C582" s="1" t="str">
        <f t="shared" si="20"/>
        <v>0</v>
      </c>
      <c r="D582" s="1" t="str">
        <f t="shared" si="21"/>
        <v>0</v>
      </c>
      <c r="N582" s="19"/>
      <c r="O582" s="19"/>
      <c r="P582" s="19"/>
      <c r="Q582" s="21"/>
      <c r="R582" s="19"/>
      <c r="S582" s="19"/>
      <c r="T582" s="19"/>
      <c r="U582" s="19"/>
      <c r="V582" s="21"/>
    </row>
    <row r="583" spans="1:22" x14ac:dyDescent="0.3">
      <c r="A583" s="1">
        <v>46035.020833333336</v>
      </c>
      <c r="B583" s="2">
        <v>6</v>
      </c>
      <c r="C583" s="1" t="str">
        <f t="shared" si="20"/>
        <v>0</v>
      </c>
      <c r="D583" s="1" t="str">
        <f t="shared" si="21"/>
        <v>0</v>
      </c>
      <c r="N583" s="19"/>
      <c r="O583" s="19"/>
      <c r="P583" s="19"/>
      <c r="Q583" s="21"/>
      <c r="R583" s="19"/>
      <c r="S583" s="19"/>
      <c r="T583" s="19"/>
      <c r="U583" s="19"/>
      <c r="V583" s="21"/>
    </row>
    <row r="584" spans="1:22" x14ac:dyDescent="0.3">
      <c r="A584" s="1">
        <v>46035.041666666664</v>
      </c>
      <c r="B584" s="2">
        <v>6.4</v>
      </c>
      <c r="C584" s="1" t="str">
        <f t="shared" si="20"/>
        <v>0</v>
      </c>
      <c r="D584" s="1" t="str">
        <f t="shared" si="21"/>
        <v>0</v>
      </c>
      <c r="N584" s="19"/>
      <c r="O584" s="19"/>
      <c r="P584" s="19"/>
      <c r="Q584" s="21"/>
      <c r="R584" s="19"/>
      <c r="S584" s="19"/>
      <c r="T584" s="19"/>
      <c r="U584" s="19"/>
      <c r="V584" s="21"/>
    </row>
    <row r="585" spans="1:22" x14ac:dyDescent="0.3">
      <c r="A585" s="1">
        <v>46035.0625</v>
      </c>
      <c r="B585" s="2">
        <v>6.5</v>
      </c>
      <c r="C585" s="1" t="str">
        <f t="shared" si="20"/>
        <v>0</v>
      </c>
      <c r="D585" s="1" t="str">
        <f t="shared" si="21"/>
        <v>0</v>
      </c>
      <c r="N585" s="19"/>
      <c r="O585" s="19"/>
      <c r="P585" s="19"/>
      <c r="Q585" s="21"/>
      <c r="R585" s="19"/>
      <c r="S585" s="19"/>
      <c r="T585" s="19"/>
      <c r="U585" s="19"/>
      <c r="V585" s="21"/>
    </row>
    <row r="586" spans="1:22" x14ac:dyDescent="0.3">
      <c r="A586" s="1">
        <v>46035.083333333336</v>
      </c>
      <c r="B586" s="2">
        <v>6.2</v>
      </c>
      <c r="C586" s="1" t="str">
        <f t="shared" si="20"/>
        <v>0</v>
      </c>
      <c r="D586" s="1" t="str">
        <f t="shared" si="21"/>
        <v>0</v>
      </c>
      <c r="N586" s="19"/>
      <c r="O586" s="19"/>
      <c r="P586" s="19"/>
      <c r="Q586" s="21"/>
      <c r="R586" s="19"/>
      <c r="S586" s="19"/>
      <c r="T586" s="19"/>
      <c r="U586" s="19"/>
      <c r="V586" s="21"/>
    </row>
    <row r="587" spans="1:22" x14ac:dyDescent="0.3">
      <c r="A587" s="1">
        <v>46035.104166666664</v>
      </c>
      <c r="B587" s="2">
        <v>6.2</v>
      </c>
      <c r="C587" s="1" t="str">
        <f t="shared" si="20"/>
        <v>0</v>
      </c>
      <c r="D587" s="1" t="str">
        <f t="shared" si="21"/>
        <v>0</v>
      </c>
      <c r="N587" s="19"/>
      <c r="O587" s="19"/>
      <c r="P587" s="19"/>
      <c r="Q587" s="21"/>
      <c r="R587" s="19"/>
      <c r="S587" s="19"/>
      <c r="T587" s="19"/>
      <c r="U587" s="19"/>
      <c r="V587" s="21"/>
    </row>
    <row r="588" spans="1:22" x14ac:dyDescent="0.3">
      <c r="A588" s="1">
        <v>46035.125</v>
      </c>
      <c r="B588" s="2">
        <v>6.3</v>
      </c>
      <c r="C588" s="1" t="str">
        <f t="shared" si="20"/>
        <v>0</v>
      </c>
      <c r="D588" s="1" t="str">
        <f t="shared" si="21"/>
        <v>0</v>
      </c>
      <c r="N588" s="19"/>
      <c r="O588" s="19"/>
      <c r="P588" s="19"/>
      <c r="Q588" s="21"/>
      <c r="R588" s="19"/>
      <c r="S588" s="19"/>
      <c r="T588" s="19"/>
      <c r="U588" s="19"/>
      <c r="V588" s="21"/>
    </row>
    <row r="589" spans="1:22" x14ac:dyDescent="0.3">
      <c r="A589" s="1">
        <v>46035.145833333336</v>
      </c>
      <c r="B589" s="2">
        <v>6.1</v>
      </c>
      <c r="C589" s="1" t="str">
        <f t="shared" si="20"/>
        <v>0</v>
      </c>
      <c r="D589" s="1" t="str">
        <f t="shared" si="21"/>
        <v>0</v>
      </c>
      <c r="N589" s="19"/>
      <c r="O589" s="19"/>
      <c r="P589" s="19"/>
      <c r="Q589" s="21"/>
      <c r="R589" s="19"/>
      <c r="S589" s="19"/>
      <c r="T589" s="19"/>
      <c r="U589" s="19"/>
      <c r="V589" s="21"/>
    </row>
    <row r="590" spans="1:22" x14ac:dyDescent="0.3">
      <c r="A590" s="1">
        <v>46035.166666666664</v>
      </c>
      <c r="B590" s="2">
        <v>6.3</v>
      </c>
      <c r="C590" s="1" t="str">
        <f t="shared" si="20"/>
        <v>0</v>
      </c>
      <c r="D590" s="1" t="str">
        <f t="shared" si="21"/>
        <v>0</v>
      </c>
      <c r="N590" s="19"/>
      <c r="O590" s="19"/>
      <c r="P590" s="19"/>
      <c r="Q590" s="21"/>
      <c r="R590" s="19"/>
      <c r="S590" s="19"/>
      <c r="T590" s="19"/>
      <c r="U590" s="19"/>
      <c r="V590" s="21"/>
    </row>
    <row r="591" spans="1:22" x14ac:dyDescent="0.3">
      <c r="A591" s="1">
        <v>46035.1875</v>
      </c>
      <c r="B591" s="2">
        <v>6.4</v>
      </c>
      <c r="C591" s="1" t="str">
        <f t="shared" si="20"/>
        <v>0</v>
      </c>
      <c r="D591" s="1" t="str">
        <f t="shared" si="21"/>
        <v>0</v>
      </c>
      <c r="N591" s="19"/>
      <c r="O591" s="19"/>
      <c r="P591" s="19"/>
      <c r="Q591" s="21"/>
      <c r="R591" s="19"/>
      <c r="S591" s="19"/>
      <c r="T591" s="19"/>
      <c r="U591" s="19"/>
      <c r="V591" s="21"/>
    </row>
    <row r="592" spans="1:22" x14ac:dyDescent="0.3">
      <c r="A592" s="1">
        <v>46035.208333333336</v>
      </c>
      <c r="B592" s="2">
        <v>6.6</v>
      </c>
      <c r="C592" s="1" t="str">
        <f t="shared" si="20"/>
        <v>0</v>
      </c>
      <c r="D592" s="1" t="str">
        <f t="shared" si="21"/>
        <v>0</v>
      </c>
      <c r="N592" s="19"/>
      <c r="O592" s="19"/>
      <c r="P592" s="19"/>
      <c r="Q592" s="21"/>
      <c r="R592" s="19"/>
      <c r="S592" s="19"/>
      <c r="T592" s="19"/>
      <c r="U592" s="19"/>
      <c r="V592" s="21"/>
    </row>
    <row r="593" spans="1:22" x14ac:dyDescent="0.3">
      <c r="A593" s="1">
        <v>46035.229166666664</v>
      </c>
      <c r="B593" s="2">
        <v>6.7</v>
      </c>
      <c r="C593" s="1" t="str">
        <f t="shared" si="20"/>
        <v>0</v>
      </c>
      <c r="D593" s="1" t="str">
        <f t="shared" si="21"/>
        <v>0</v>
      </c>
      <c r="N593" s="19"/>
      <c r="O593" s="19"/>
      <c r="P593" s="19"/>
      <c r="Q593" s="21"/>
      <c r="R593" s="19"/>
      <c r="S593" s="19"/>
      <c r="T593" s="19"/>
      <c r="U593" s="19"/>
      <c r="V593" s="21"/>
    </row>
    <row r="594" spans="1:22" x14ac:dyDescent="0.3">
      <c r="A594" s="1">
        <v>46035.25</v>
      </c>
      <c r="B594" s="2">
        <v>6.5</v>
      </c>
      <c r="C594" s="1" t="str">
        <f t="shared" si="20"/>
        <v>0</v>
      </c>
      <c r="D594" s="1" t="str">
        <f t="shared" si="21"/>
        <v>0</v>
      </c>
      <c r="N594" s="19"/>
      <c r="O594" s="19"/>
      <c r="P594" s="19"/>
      <c r="Q594" s="21"/>
      <c r="R594" s="19"/>
      <c r="S594" s="19"/>
      <c r="T594" s="19"/>
      <c r="U594" s="19"/>
      <c r="V594" s="21"/>
    </row>
    <row r="595" spans="1:22" x14ac:dyDescent="0.3">
      <c r="A595" s="1">
        <v>46035.270833333336</v>
      </c>
      <c r="B595" s="2">
        <v>6.7</v>
      </c>
      <c r="C595" s="1" t="str">
        <f t="shared" si="20"/>
        <v>0</v>
      </c>
      <c r="D595" s="1" t="str">
        <f t="shared" si="21"/>
        <v>0</v>
      </c>
      <c r="N595" s="19"/>
      <c r="O595" s="19"/>
      <c r="P595" s="19"/>
      <c r="Q595" s="21"/>
      <c r="R595" s="19"/>
      <c r="S595" s="19"/>
      <c r="T595" s="19"/>
      <c r="U595" s="19"/>
      <c r="V595" s="21"/>
    </row>
    <row r="596" spans="1:22" x14ac:dyDescent="0.3">
      <c r="A596" s="1">
        <v>46035.291666666664</v>
      </c>
      <c r="B596" s="2">
        <v>7.2</v>
      </c>
      <c r="C596" s="1" t="str">
        <f t="shared" si="20"/>
        <v>0</v>
      </c>
      <c r="D596" s="1" t="str">
        <f t="shared" si="21"/>
        <v>0</v>
      </c>
      <c r="N596" s="19"/>
      <c r="O596" s="19"/>
      <c r="P596" s="19"/>
      <c r="Q596" s="21"/>
      <c r="R596" s="19"/>
      <c r="S596" s="19"/>
      <c r="T596" s="19"/>
      <c r="U596" s="19"/>
      <c r="V596" s="21"/>
    </row>
    <row r="597" spans="1:22" x14ac:dyDescent="0.3">
      <c r="A597" s="1">
        <v>46035.3125</v>
      </c>
      <c r="B597" s="2">
        <v>7.5</v>
      </c>
      <c r="C597" s="1" t="str">
        <f t="shared" si="20"/>
        <v>0</v>
      </c>
      <c r="D597" s="1" t="str">
        <f t="shared" si="21"/>
        <v>0</v>
      </c>
      <c r="N597" s="19"/>
      <c r="O597" s="19"/>
      <c r="P597" s="19"/>
      <c r="Q597" s="21"/>
      <c r="R597" s="19"/>
      <c r="S597" s="19"/>
      <c r="T597" s="19"/>
      <c r="U597" s="19"/>
      <c r="V597" s="21"/>
    </row>
    <row r="598" spans="1:22" x14ac:dyDescent="0.3">
      <c r="A598" s="1">
        <v>46035.333333333336</v>
      </c>
      <c r="B598" s="2">
        <v>8</v>
      </c>
      <c r="C598" s="1" t="str">
        <f t="shared" si="20"/>
        <v>0</v>
      </c>
      <c r="D598" s="1" t="str">
        <f t="shared" si="21"/>
        <v>0</v>
      </c>
      <c r="N598" s="19"/>
      <c r="O598" s="19"/>
      <c r="P598" s="19"/>
      <c r="Q598" s="21"/>
      <c r="R598" s="19"/>
      <c r="S598" s="19"/>
      <c r="T598" s="19"/>
      <c r="U598" s="19"/>
      <c r="V598" s="21"/>
    </row>
    <row r="599" spans="1:22" x14ac:dyDescent="0.3">
      <c r="A599" s="1">
        <v>46035.354166666664</v>
      </c>
      <c r="B599" s="2">
        <v>8.5</v>
      </c>
      <c r="C599" s="1" t="str">
        <f t="shared" si="20"/>
        <v>0</v>
      </c>
      <c r="D599" s="1" t="str">
        <f t="shared" si="21"/>
        <v>0</v>
      </c>
      <c r="N599" s="19"/>
      <c r="O599" s="19"/>
      <c r="P599" s="19"/>
      <c r="Q599" s="21"/>
      <c r="R599" s="19"/>
      <c r="S599" s="19"/>
      <c r="T599" s="19"/>
      <c r="U599" s="19"/>
      <c r="V599" s="21"/>
    </row>
    <row r="600" spans="1:22" x14ac:dyDescent="0.3">
      <c r="A600" s="1">
        <v>46035.375</v>
      </c>
      <c r="B600" s="2">
        <v>9</v>
      </c>
      <c r="C600" s="1" t="str">
        <f t="shared" si="20"/>
        <v>0</v>
      </c>
      <c r="D600" s="1" t="str">
        <f t="shared" si="21"/>
        <v>0</v>
      </c>
      <c r="N600" s="19"/>
      <c r="O600" s="19"/>
      <c r="P600" s="19"/>
      <c r="Q600" s="21"/>
      <c r="R600" s="19"/>
      <c r="S600" s="19"/>
      <c r="T600" s="19"/>
      <c r="U600" s="19"/>
      <c r="V600" s="21"/>
    </row>
    <row r="601" spans="1:22" x14ac:dyDescent="0.3">
      <c r="A601" s="1">
        <v>46035.395833333336</v>
      </c>
      <c r="B601" s="2">
        <v>9.6</v>
      </c>
      <c r="C601" s="1" t="str">
        <f t="shared" si="20"/>
        <v>0</v>
      </c>
      <c r="D601" s="1" t="str">
        <f t="shared" si="21"/>
        <v>0</v>
      </c>
      <c r="N601" s="19"/>
      <c r="O601" s="19"/>
      <c r="P601" s="19"/>
      <c r="Q601" s="21"/>
      <c r="R601" s="19"/>
      <c r="S601" s="19"/>
      <c r="T601" s="19"/>
      <c r="U601" s="19"/>
      <c r="V601" s="21"/>
    </row>
    <row r="602" spans="1:22" x14ac:dyDescent="0.3">
      <c r="A602" s="1">
        <v>46035.416666666664</v>
      </c>
      <c r="B602" s="2">
        <v>9.9</v>
      </c>
      <c r="C602" s="1" t="str">
        <f t="shared" si="20"/>
        <v>0</v>
      </c>
      <c r="D602" s="1" t="str">
        <f t="shared" si="21"/>
        <v>0</v>
      </c>
      <c r="N602" s="19"/>
      <c r="O602" s="19"/>
      <c r="P602" s="19"/>
      <c r="Q602" s="21"/>
      <c r="R602" s="19"/>
      <c r="S602" s="19"/>
      <c r="T602" s="19"/>
      <c r="U602" s="19"/>
      <c r="V602" s="21"/>
    </row>
    <row r="603" spans="1:22" x14ac:dyDescent="0.3">
      <c r="A603" s="1">
        <v>46035.4375</v>
      </c>
      <c r="B603" s="2">
        <v>10.7</v>
      </c>
      <c r="C603" s="1" t="str">
        <f t="shared" si="20"/>
        <v>0</v>
      </c>
      <c r="D603" s="1" t="str">
        <f t="shared" si="21"/>
        <v>0</v>
      </c>
      <c r="N603" s="19"/>
      <c r="O603" s="19"/>
      <c r="P603" s="19"/>
      <c r="Q603" s="21"/>
      <c r="R603" s="19"/>
      <c r="S603" s="19"/>
      <c r="T603" s="19"/>
      <c r="U603" s="19"/>
      <c r="V603" s="21"/>
    </row>
    <row r="604" spans="1:22" x14ac:dyDescent="0.3">
      <c r="A604" s="1">
        <v>46035.458333333336</v>
      </c>
      <c r="B604" s="2">
        <v>11.6</v>
      </c>
      <c r="C604" s="1" t="str">
        <f t="shared" si="20"/>
        <v>0</v>
      </c>
      <c r="D604" s="1" t="str">
        <f t="shared" si="21"/>
        <v>0</v>
      </c>
      <c r="N604" s="19"/>
      <c r="O604" s="19"/>
      <c r="P604" s="19"/>
      <c r="Q604" s="21"/>
      <c r="R604" s="19"/>
      <c r="S604" s="19"/>
      <c r="T604" s="19"/>
      <c r="U604" s="19"/>
      <c r="V604" s="21"/>
    </row>
    <row r="605" spans="1:22" x14ac:dyDescent="0.3">
      <c r="A605" s="1">
        <v>46035.479166666664</v>
      </c>
      <c r="B605" s="2">
        <v>12.2</v>
      </c>
      <c r="C605" s="1" t="str">
        <f t="shared" si="20"/>
        <v>0</v>
      </c>
      <c r="D605" s="1" t="str">
        <f t="shared" si="21"/>
        <v>0</v>
      </c>
      <c r="N605" s="19"/>
      <c r="O605" s="19"/>
      <c r="P605" s="19"/>
      <c r="Q605" s="21"/>
      <c r="R605" s="19"/>
      <c r="S605" s="19"/>
      <c r="T605" s="19"/>
      <c r="U605" s="19"/>
      <c r="V605" s="21"/>
    </row>
    <row r="606" spans="1:22" x14ac:dyDescent="0.3">
      <c r="A606" s="1">
        <v>46035.5</v>
      </c>
      <c r="B606" s="2">
        <v>13.4</v>
      </c>
      <c r="C606" s="1" t="str">
        <f t="shared" si="20"/>
        <v>0</v>
      </c>
      <c r="D606" s="1" t="str">
        <f t="shared" si="21"/>
        <v>0</v>
      </c>
      <c r="N606" s="19"/>
      <c r="O606" s="19"/>
      <c r="P606" s="19"/>
      <c r="Q606" s="21"/>
      <c r="R606" s="19"/>
      <c r="S606" s="19"/>
      <c r="T606" s="19"/>
      <c r="U606" s="19"/>
      <c r="V606" s="21"/>
    </row>
    <row r="607" spans="1:22" x14ac:dyDescent="0.3">
      <c r="A607" s="1">
        <v>46035.520833333336</v>
      </c>
      <c r="B607" s="2">
        <v>13.6</v>
      </c>
      <c r="C607" s="1" t="str">
        <f t="shared" si="20"/>
        <v>0</v>
      </c>
      <c r="D607" s="1" t="str">
        <f t="shared" si="21"/>
        <v>0</v>
      </c>
      <c r="N607" s="19"/>
      <c r="O607" s="19"/>
      <c r="P607" s="19"/>
      <c r="Q607" s="21"/>
      <c r="R607" s="19"/>
      <c r="S607" s="19"/>
      <c r="T607" s="19"/>
      <c r="U607" s="19"/>
      <c r="V607" s="21"/>
    </row>
    <row r="608" spans="1:22" x14ac:dyDescent="0.3">
      <c r="A608" s="1">
        <v>46035.541666666664</v>
      </c>
      <c r="B608" s="2">
        <v>14.2</v>
      </c>
      <c r="C608" s="1" t="str">
        <f t="shared" si="20"/>
        <v>0</v>
      </c>
      <c r="D608" s="1" t="str">
        <f t="shared" si="21"/>
        <v>0</v>
      </c>
      <c r="N608" s="19"/>
      <c r="O608" s="19"/>
      <c r="P608" s="19"/>
      <c r="Q608" s="21"/>
      <c r="R608" s="19"/>
      <c r="S608" s="19"/>
      <c r="T608" s="19"/>
      <c r="U608" s="19"/>
      <c r="V608" s="21"/>
    </row>
    <row r="609" spans="1:22" x14ac:dyDescent="0.3">
      <c r="A609" s="1">
        <v>46035.5625</v>
      </c>
      <c r="B609" s="2">
        <v>14.2</v>
      </c>
      <c r="C609" s="1" t="str">
        <f t="shared" si="20"/>
        <v>0</v>
      </c>
      <c r="D609" s="1" t="str">
        <f t="shared" si="21"/>
        <v>0</v>
      </c>
      <c r="N609" s="19"/>
      <c r="O609" s="19"/>
      <c r="P609" s="19"/>
      <c r="Q609" s="21"/>
      <c r="R609" s="19"/>
      <c r="S609" s="19"/>
      <c r="T609" s="19"/>
      <c r="U609" s="19"/>
      <c r="V609" s="21"/>
    </row>
    <row r="610" spans="1:22" x14ac:dyDescent="0.3">
      <c r="A610" s="1">
        <v>46035.583333333336</v>
      </c>
      <c r="B610" s="2">
        <v>14.3</v>
      </c>
      <c r="C610" s="1" t="str">
        <f t="shared" si="20"/>
        <v>0</v>
      </c>
      <c r="D610" s="1" t="str">
        <f t="shared" si="21"/>
        <v>0</v>
      </c>
      <c r="N610" s="19"/>
      <c r="O610" s="19"/>
      <c r="P610" s="19"/>
      <c r="Q610" s="21"/>
      <c r="R610" s="19"/>
      <c r="S610" s="19"/>
      <c r="T610" s="19"/>
      <c r="U610" s="19"/>
      <c r="V610" s="21"/>
    </row>
    <row r="611" spans="1:22" x14ac:dyDescent="0.3">
      <c r="A611" s="1">
        <v>46035.604166666664</v>
      </c>
      <c r="B611" s="2">
        <v>14.1</v>
      </c>
      <c r="C611" s="1" t="str">
        <f t="shared" si="20"/>
        <v>0</v>
      </c>
      <c r="D611" s="1" t="str">
        <f t="shared" si="21"/>
        <v>0</v>
      </c>
      <c r="N611" s="19"/>
      <c r="O611" s="19"/>
      <c r="P611" s="19"/>
      <c r="Q611" s="21"/>
      <c r="R611" s="19"/>
      <c r="S611" s="19"/>
      <c r="T611" s="19"/>
      <c r="U611" s="19"/>
      <c r="V611" s="21"/>
    </row>
    <row r="612" spans="1:22" x14ac:dyDescent="0.3">
      <c r="A612" s="1">
        <v>46035.625</v>
      </c>
      <c r="B612" s="2">
        <v>13.9</v>
      </c>
      <c r="C612" s="1" t="str">
        <f t="shared" si="20"/>
        <v>0</v>
      </c>
      <c r="D612" s="1" t="str">
        <f t="shared" si="21"/>
        <v>0</v>
      </c>
      <c r="N612" s="19"/>
      <c r="O612" s="19"/>
      <c r="P612" s="19"/>
      <c r="Q612" s="21"/>
      <c r="R612" s="19"/>
      <c r="S612" s="19"/>
      <c r="T612" s="19"/>
      <c r="U612" s="19"/>
      <c r="V612" s="21"/>
    </row>
    <row r="613" spans="1:22" x14ac:dyDescent="0.3">
      <c r="A613" s="1">
        <v>46035.645833333336</v>
      </c>
      <c r="B613" s="2">
        <v>13.7</v>
      </c>
      <c r="C613" s="1" t="str">
        <f t="shared" si="20"/>
        <v>0</v>
      </c>
      <c r="D613" s="1" t="str">
        <f t="shared" si="21"/>
        <v>0</v>
      </c>
      <c r="N613" s="19"/>
      <c r="O613" s="19"/>
      <c r="P613" s="19"/>
      <c r="Q613" s="21"/>
      <c r="R613" s="19"/>
      <c r="S613" s="19"/>
      <c r="T613" s="19"/>
      <c r="U613" s="19"/>
      <c r="V613" s="21"/>
    </row>
    <row r="614" spans="1:22" x14ac:dyDescent="0.3">
      <c r="A614" s="1">
        <v>46035.666666666664</v>
      </c>
      <c r="B614" s="2">
        <v>13.4</v>
      </c>
      <c r="C614" s="1" t="str">
        <f t="shared" si="20"/>
        <v>0</v>
      </c>
      <c r="D614" s="1" t="str">
        <f t="shared" si="21"/>
        <v>0</v>
      </c>
      <c r="N614" s="19"/>
      <c r="O614" s="19"/>
      <c r="P614" s="19"/>
      <c r="Q614" s="21"/>
      <c r="R614" s="19"/>
      <c r="S614" s="19"/>
      <c r="T614" s="19"/>
      <c r="U614" s="19"/>
      <c r="V614" s="21"/>
    </row>
    <row r="615" spans="1:22" x14ac:dyDescent="0.3">
      <c r="A615" s="1">
        <v>46035.6875</v>
      </c>
      <c r="B615" s="2">
        <v>12.9</v>
      </c>
      <c r="C615" s="1" t="str">
        <f t="shared" si="20"/>
        <v>0</v>
      </c>
      <c r="D615" s="1" t="str">
        <f t="shared" si="21"/>
        <v>0</v>
      </c>
      <c r="N615" s="19"/>
      <c r="O615" s="19"/>
      <c r="P615" s="19"/>
      <c r="Q615" s="21"/>
      <c r="R615" s="19"/>
      <c r="S615" s="19"/>
      <c r="T615" s="19"/>
      <c r="U615" s="19"/>
      <c r="V615" s="21"/>
    </row>
    <row r="616" spans="1:22" x14ac:dyDescent="0.3">
      <c r="A616" s="1">
        <v>46035.708333333336</v>
      </c>
      <c r="B616" s="2">
        <v>12.4</v>
      </c>
      <c r="C616" s="1" t="str">
        <f t="shared" si="20"/>
        <v>0</v>
      </c>
      <c r="D616" s="1" t="str">
        <f t="shared" si="21"/>
        <v>0</v>
      </c>
      <c r="N616" s="19"/>
      <c r="O616" s="19"/>
      <c r="P616" s="19"/>
      <c r="Q616" s="21"/>
      <c r="R616" s="19"/>
      <c r="S616" s="19"/>
      <c r="T616" s="19"/>
      <c r="U616" s="19"/>
      <c r="V616" s="21"/>
    </row>
    <row r="617" spans="1:22" x14ac:dyDescent="0.3">
      <c r="A617" s="1">
        <v>46035.729166666664</v>
      </c>
      <c r="B617" s="2">
        <v>12.1</v>
      </c>
      <c r="C617" s="1" t="str">
        <f t="shared" si="20"/>
        <v>0</v>
      </c>
      <c r="D617" s="1" t="str">
        <f t="shared" si="21"/>
        <v>0</v>
      </c>
      <c r="N617" s="19"/>
      <c r="O617" s="19"/>
      <c r="P617" s="19"/>
      <c r="Q617" s="21"/>
      <c r="R617" s="19"/>
      <c r="S617" s="19"/>
      <c r="T617" s="19"/>
      <c r="U617" s="19"/>
      <c r="V617" s="21"/>
    </row>
    <row r="618" spans="1:22" x14ac:dyDescent="0.3">
      <c r="A618" s="1">
        <v>46035.75</v>
      </c>
      <c r="B618" s="2">
        <v>11.8</v>
      </c>
      <c r="C618" s="1" t="str">
        <f t="shared" si="20"/>
        <v>0</v>
      </c>
      <c r="D618" s="1" t="str">
        <f t="shared" si="21"/>
        <v>0</v>
      </c>
      <c r="N618" s="19"/>
      <c r="O618" s="19"/>
      <c r="P618" s="19"/>
      <c r="Q618" s="21"/>
      <c r="R618" s="19"/>
      <c r="S618" s="19"/>
      <c r="T618" s="19"/>
      <c r="U618" s="19"/>
      <c r="V618" s="21"/>
    </row>
    <row r="619" spans="1:22" x14ac:dyDescent="0.3">
      <c r="A619" s="1">
        <v>46035.770833333336</v>
      </c>
      <c r="B619" s="2">
        <v>11.5</v>
      </c>
      <c r="C619" s="1" t="str">
        <f t="shared" si="20"/>
        <v>0</v>
      </c>
      <c r="D619" s="1" t="str">
        <f t="shared" si="21"/>
        <v>0</v>
      </c>
      <c r="N619" s="19"/>
      <c r="O619" s="19"/>
      <c r="P619" s="19"/>
      <c r="Q619" s="21"/>
      <c r="R619" s="19"/>
      <c r="S619" s="19"/>
      <c r="T619" s="19"/>
      <c r="U619" s="19"/>
      <c r="V619" s="21"/>
    </row>
    <row r="620" spans="1:22" x14ac:dyDescent="0.3">
      <c r="A620" s="1">
        <v>46035.791666666664</v>
      </c>
      <c r="B620" s="2">
        <v>11.1</v>
      </c>
      <c r="C620" s="1" t="str">
        <f t="shared" si="20"/>
        <v>0</v>
      </c>
      <c r="D620" s="1" t="str">
        <f t="shared" si="21"/>
        <v>0</v>
      </c>
      <c r="N620" s="19"/>
      <c r="O620" s="19"/>
      <c r="P620" s="19"/>
      <c r="Q620" s="21"/>
      <c r="R620" s="19"/>
      <c r="S620" s="19"/>
      <c r="T620" s="19"/>
      <c r="U620" s="19"/>
      <c r="V620" s="21"/>
    </row>
    <row r="621" spans="1:22" x14ac:dyDescent="0.3">
      <c r="A621" s="1">
        <v>46035.8125</v>
      </c>
      <c r="B621" s="2">
        <v>10.9</v>
      </c>
      <c r="C621" s="1" t="str">
        <f t="shared" si="20"/>
        <v>0</v>
      </c>
      <c r="D621" s="1" t="str">
        <f t="shared" si="21"/>
        <v>0</v>
      </c>
      <c r="N621" s="19"/>
      <c r="O621" s="19"/>
      <c r="P621" s="19"/>
      <c r="Q621" s="21"/>
      <c r="R621" s="19"/>
      <c r="S621" s="19"/>
      <c r="T621" s="19"/>
      <c r="U621" s="19"/>
      <c r="V621" s="21"/>
    </row>
    <row r="622" spans="1:22" x14ac:dyDescent="0.3">
      <c r="A622" s="1">
        <v>46035.833333333336</v>
      </c>
      <c r="B622" s="2">
        <v>10.3</v>
      </c>
      <c r="C622" s="1" t="str">
        <f t="shared" si="20"/>
        <v>0</v>
      </c>
      <c r="D622" s="1" t="str">
        <f t="shared" si="21"/>
        <v>0</v>
      </c>
      <c r="N622" s="19"/>
      <c r="O622" s="19"/>
      <c r="P622" s="19"/>
      <c r="Q622" s="21"/>
      <c r="R622" s="19"/>
      <c r="S622" s="19"/>
      <c r="T622" s="19"/>
      <c r="U622" s="19"/>
      <c r="V622" s="21"/>
    </row>
    <row r="623" spans="1:22" x14ac:dyDescent="0.3">
      <c r="A623" s="1">
        <v>46035.854166666664</v>
      </c>
      <c r="B623" s="2">
        <v>10.1</v>
      </c>
      <c r="C623" s="1" t="str">
        <f t="shared" si="20"/>
        <v>0</v>
      </c>
      <c r="D623" s="1" t="str">
        <f t="shared" si="21"/>
        <v>0</v>
      </c>
      <c r="N623" s="19"/>
      <c r="O623" s="19"/>
      <c r="P623" s="19"/>
      <c r="Q623" s="21"/>
      <c r="R623" s="19"/>
      <c r="S623" s="19"/>
      <c r="T623" s="19"/>
      <c r="U623" s="19"/>
      <c r="V623" s="21"/>
    </row>
    <row r="624" spans="1:22" x14ac:dyDescent="0.3">
      <c r="A624" s="1">
        <v>46035.875</v>
      </c>
      <c r="B624" s="2">
        <v>9.8000000000000007</v>
      </c>
      <c r="C624" s="1" t="str">
        <f t="shared" si="20"/>
        <v>0</v>
      </c>
      <c r="D624" s="1" t="str">
        <f t="shared" si="21"/>
        <v>0</v>
      </c>
      <c r="N624" s="19"/>
      <c r="O624" s="19"/>
      <c r="P624" s="19"/>
      <c r="Q624" s="21"/>
      <c r="R624" s="19"/>
      <c r="S624" s="19"/>
      <c r="T624" s="19"/>
      <c r="U624" s="19"/>
      <c r="V624" s="21"/>
    </row>
    <row r="625" spans="1:22" x14ac:dyDescent="0.3">
      <c r="A625" s="1">
        <v>46035.895833333336</v>
      </c>
      <c r="B625" s="2">
        <v>9.9</v>
      </c>
      <c r="C625" s="1" t="str">
        <f t="shared" si="20"/>
        <v>0</v>
      </c>
      <c r="D625" s="1" t="str">
        <f t="shared" si="21"/>
        <v>0</v>
      </c>
      <c r="N625" s="19"/>
      <c r="O625" s="19"/>
      <c r="P625" s="19"/>
      <c r="Q625" s="21"/>
      <c r="R625" s="19"/>
      <c r="S625" s="19"/>
      <c r="T625" s="19"/>
      <c r="U625" s="19"/>
      <c r="V625" s="21"/>
    </row>
    <row r="626" spans="1:22" x14ac:dyDescent="0.3">
      <c r="A626" s="1">
        <v>46035.916666666664</v>
      </c>
      <c r="B626" s="2">
        <v>9.8000000000000007</v>
      </c>
      <c r="C626" s="1" t="str">
        <f t="shared" si="20"/>
        <v>0</v>
      </c>
      <c r="D626" s="1" t="str">
        <f t="shared" si="21"/>
        <v>0</v>
      </c>
      <c r="N626" s="19"/>
      <c r="O626" s="19"/>
      <c r="P626" s="19"/>
      <c r="Q626" s="21"/>
      <c r="R626" s="19"/>
      <c r="S626" s="19"/>
      <c r="T626" s="19"/>
      <c r="U626" s="19"/>
      <c r="V626" s="21"/>
    </row>
    <row r="627" spans="1:22" x14ac:dyDescent="0.3">
      <c r="A627" s="1">
        <v>46035.9375</v>
      </c>
      <c r="B627" s="2">
        <v>9.9</v>
      </c>
      <c r="C627" s="1" t="str">
        <f t="shared" si="20"/>
        <v>0</v>
      </c>
      <c r="D627" s="1" t="str">
        <f t="shared" si="21"/>
        <v>0</v>
      </c>
      <c r="N627" s="19"/>
      <c r="O627" s="19"/>
      <c r="P627" s="19"/>
      <c r="Q627" s="21"/>
      <c r="R627" s="19"/>
      <c r="S627" s="19"/>
      <c r="T627" s="19"/>
      <c r="U627" s="19"/>
      <c r="V627" s="21"/>
    </row>
    <row r="628" spans="1:22" x14ac:dyDescent="0.3">
      <c r="A628" s="1">
        <v>46035.958333333336</v>
      </c>
      <c r="B628" s="2">
        <v>9.9</v>
      </c>
      <c r="C628" s="1" t="str">
        <f t="shared" si="20"/>
        <v>0</v>
      </c>
      <c r="D628" s="1" t="str">
        <f t="shared" si="21"/>
        <v>0</v>
      </c>
      <c r="N628" s="19"/>
      <c r="O628" s="19"/>
      <c r="P628" s="19"/>
      <c r="Q628" s="21"/>
      <c r="R628" s="19"/>
      <c r="S628" s="19"/>
      <c r="T628" s="19"/>
      <c r="U628" s="19"/>
      <c r="V628" s="21"/>
    </row>
    <row r="629" spans="1:22" x14ac:dyDescent="0.3">
      <c r="A629" s="1">
        <v>46035.979166666664</v>
      </c>
      <c r="B629" s="2">
        <v>9.6999999999999993</v>
      </c>
      <c r="C629" s="1" t="str">
        <f t="shared" si="20"/>
        <v>0</v>
      </c>
      <c r="D629" s="1" t="str">
        <f t="shared" si="21"/>
        <v>0</v>
      </c>
      <c r="N629" s="19"/>
      <c r="O629" s="19"/>
      <c r="P629" s="19"/>
      <c r="Q629" s="21"/>
      <c r="R629" s="19"/>
      <c r="S629" s="19"/>
      <c r="T629" s="19"/>
      <c r="U629" s="19"/>
      <c r="V629" s="21"/>
    </row>
    <row r="630" spans="1:22" x14ac:dyDescent="0.3">
      <c r="A630" s="1">
        <v>46036</v>
      </c>
      <c r="B630" s="2">
        <v>9.6999999999999993</v>
      </c>
      <c r="C630" s="1" t="str">
        <f t="shared" si="20"/>
        <v>0</v>
      </c>
      <c r="D630" s="1" t="str">
        <f t="shared" si="21"/>
        <v>0</v>
      </c>
      <c r="N630" s="19"/>
      <c r="O630" s="19"/>
      <c r="P630" s="19"/>
      <c r="Q630" s="21"/>
      <c r="R630" s="19"/>
      <c r="S630" s="19"/>
      <c r="T630" s="19"/>
      <c r="U630" s="19"/>
      <c r="V630" s="21"/>
    </row>
    <row r="631" spans="1:22" x14ac:dyDescent="0.3">
      <c r="A631" s="1">
        <v>46036.020833333336</v>
      </c>
      <c r="B631" s="2">
        <v>9.4</v>
      </c>
      <c r="C631" s="1" t="str">
        <f t="shared" si="20"/>
        <v>0</v>
      </c>
      <c r="D631" s="1" t="str">
        <f t="shared" si="21"/>
        <v>0</v>
      </c>
      <c r="N631" s="19"/>
      <c r="O631" s="19"/>
      <c r="P631" s="19"/>
      <c r="Q631" s="21"/>
      <c r="R631" s="19"/>
      <c r="S631" s="19"/>
      <c r="T631" s="19"/>
      <c r="U631" s="19"/>
      <c r="V631" s="21"/>
    </row>
    <row r="632" spans="1:22" x14ac:dyDescent="0.3">
      <c r="A632" s="1">
        <v>46036.041666666664</v>
      </c>
      <c r="B632" s="2">
        <v>9.4</v>
      </c>
      <c r="C632" s="1" t="str">
        <f t="shared" si="20"/>
        <v>0</v>
      </c>
      <c r="D632" s="1" t="str">
        <f t="shared" si="21"/>
        <v>0</v>
      </c>
      <c r="N632" s="19"/>
      <c r="O632" s="19"/>
      <c r="P632" s="19"/>
      <c r="Q632" s="21"/>
      <c r="R632" s="19"/>
      <c r="S632" s="19"/>
      <c r="T632" s="19"/>
      <c r="U632" s="19"/>
      <c r="V632" s="21"/>
    </row>
    <row r="633" spans="1:22" x14ac:dyDescent="0.3">
      <c r="A633" s="1">
        <v>46036.0625</v>
      </c>
      <c r="B633" s="2">
        <v>9.4</v>
      </c>
      <c r="C633" s="1" t="str">
        <f t="shared" si="20"/>
        <v>0</v>
      </c>
      <c r="D633" s="1" t="str">
        <f t="shared" si="21"/>
        <v>0</v>
      </c>
      <c r="N633" s="19"/>
      <c r="O633" s="19"/>
      <c r="P633" s="19"/>
      <c r="Q633" s="21"/>
      <c r="R633" s="19"/>
      <c r="S633" s="19"/>
      <c r="T633" s="19"/>
      <c r="U633" s="19"/>
      <c r="V633" s="21"/>
    </row>
    <row r="634" spans="1:22" x14ac:dyDescent="0.3">
      <c r="A634" s="1">
        <v>46036.083333333336</v>
      </c>
      <c r="B634" s="2">
        <v>9.4</v>
      </c>
      <c r="C634" s="1" t="str">
        <f t="shared" si="20"/>
        <v>0</v>
      </c>
      <c r="D634" s="1" t="str">
        <f t="shared" si="21"/>
        <v>0</v>
      </c>
      <c r="N634" s="19"/>
      <c r="O634" s="19"/>
      <c r="P634" s="19"/>
      <c r="Q634" s="21"/>
      <c r="R634" s="19"/>
      <c r="S634" s="19"/>
      <c r="T634" s="19"/>
      <c r="U634" s="19"/>
      <c r="V634" s="21"/>
    </row>
    <row r="635" spans="1:22" x14ac:dyDescent="0.3">
      <c r="A635" s="1">
        <v>46036.104166666664</v>
      </c>
      <c r="B635" s="2">
        <v>9.6</v>
      </c>
      <c r="C635" s="1" t="str">
        <f t="shared" si="20"/>
        <v>0</v>
      </c>
      <c r="D635" s="1" t="str">
        <f t="shared" si="21"/>
        <v>0</v>
      </c>
      <c r="N635" s="19"/>
      <c r="O635" s="19"/>
      <c r="P635" s="19"/>
      <c r="Q635" s="21"/>
      <c r="R635" s="19"/>
      <c r="S635" s="19"/>
      <c r="T635" s="19"/>
      <c r="U635" s="19"/>
      <c r="V635" s="21"/>
    </row>
    <row r="636" spans="1:22" x14ac:dyDescent="0.3">
      <c r="A636" s="1">
        <v>46036.125</v>
      </c>
      <c r="B636" s="2">
        <v>9.5</v>
      </c>
      <c r="C636" s="1" t="str">
        <f t="shared" si="20"/>
        <v>0</v>
      </c>
      <c r="D636" s="1" t="str">
        <f t="shared" si="21"/>
        <v>0</v>
      </c>
      <c r="N636" s="19"/>
      <c r="O636" s="19"/>
      <c r="P636" s="19"/>
      <c r="Q636" s="21"/>
      <c r="R636" s="19"/>
      <c r="S636" s="19"/>
      <c r="T636" s="19"/>
      <c r="U636" s="19"/>
      <c r="V636" s="21"/>
    </row>
    <row r="637" spans="1:22" x14ac:dyDescent="0.3">
      <c r="A637" s="1">
        <v>46036.145833333336</v>
      </c>
      <c r="B637" s="2">
        <v>9.3000000000000007</v>
      </c>
      <c r="C637" s="1" t="str">
        <f t="shared" si="20"/>
        <v>0</v>
      </c>
      <c r="D637" s="1" t="str">
        <f t="shared" si="21"/>
        <v>0</v>
      </c>
      <c r="N637" s="19"/>
      <c r="O637" s="19"/>
      <c r="P637" s="19"/>
      <c r="Q637" s="21"/>
      <c r="R637" s="19"/>
      <c r="S637" s="19"/>
      <c r="T637" s="19"/>
      <c r="U637" s="19"/>
      <c r="V637" s="21"/>
    </row>
    <row r="638" spans="1:22" x14ac:dyDescent="0.3">
      <c r="A638" s="1">
        <v>46036.166666666664</v>
      </c>
      <c r="B638" s="2">
        <v>8.8000000000000007</v>
      </c>
      <c r="C638" s="1" t="str">
        <f t="shared" si="20"/>
        <v>0</v>
      </c>
      <c r="D638" s="1" t="str">
        <f t="shared" si="21"/>
        <v>0</v>
      </c>
      <c r="N638" s="19"/>
      <c r="O638" s="19"/>
      <c r="P638" s="19"/>
      <c r="Q638" s="21"/>
      <c r="R638" s="19"/>
      <c r="S638" s="19"/>
      <c r="T638" s="19"/>
      <c r="U638" s="19"/>
      <c r="V638" s="21"/>
    </row>
    <row r="639" spans="1:22" x14ac:dyDescent="0.3">
      <c r="A639" s="1">
        <v>46036.1875</v>
      </c>
      <c r="B639" s="2">
        <v>8.6999999999999993</v>
      </c>
      <c r="C639" s="1" t="str">
        <f t="shared" si="20"/>
        <v>0</v>
      </c>
      <c r="D639" s="1" t="str">
        <f t="shared" si="21"/>
        <v>0</v>
      </c>
      <c r="N639" s="19"/>
      <c r="O639" s="19"/>
      <c r="P639" s="19"/>
      <c r="Q639" s="21"/>
      <c r="R639" s="19"/>
      <c r="S639" s="19"/>
      <c r="T639" s="19"/>
      <c r="U639" s="19"/>
      <c r="V639" s="21"/>
    </row>
    <row r="640" spans="1:22" x14ac:dyDescent="0.3">
      <c r="A640" s="1">
        <v>46036.208333333336</v>
      </c>
      <c r="B640" s="2">
        <v>8.6999999999999993</v>
      </c>
      <c r="C640" s="1" t="str">
        <f t="shared" si="20"/>
        <v>0</v>
      </c>
      <c r="D640" s="1" t="str">
        <f t="shared" si="21"/>
        <v>0</v>
      </c>
      <c r="N640" s="19"/>
      <c r="O640" s="19"/>
      <c r="P640" s="19"/>
      <c r="Q640" s="21"/>
      <c r="R640" s="19"/>
      <c r="S640" s="19"/>
      <c r="T640" s="19"/>
      <c r="U640" s="19"/>
      <c r="V640" s="21"/>
    </row>
    <row r="641" spans="1:22" x14ac:dyDescent="0.3">
      <c r="A641" s="1">
        <v>46036.229166666664</v>
      </c>
      <c r="B641" s="2">
        <v>8.5</v>
      </c>
      <c r="C641" s="1" t="str">
        <f t="shared" si="20"/>
        <v>0</v>
      </c>
      <c r="D641" s="1" t="str">
        <f t="shared" si="21"/>
        <v>0</v>
      </c>
      <c r="N641" s="19"/>
      <c r="O641" s="19"/>
      <c r="P641" s="19"/>
      <c r="Q641" s="21"/>
      <c r="R641" s="19"/>
      <c r="S641" s="19"/>
      <c r="T641" s="19"/>
      <c r="U641" s="19"/>
      <c r="V641" s="21"/>
    </row>
    <row r="642" spans="1:22" x14ac:dyDescent="0.3">
      <c r="A642" s="1">
        <v>46036.25</v>
      </c>
      <c r="B642" s="2">
        <v>8.6</v>
      </c>
      <c r="C642" s="1" t="str">
        <f t="shared" si="20"/>
        <v>0</v>
      </c>
      <c r="D642" s="1" t="str">
        <f t="shared" si="21"/>
        <v>0</v>
      </c>
      <c r="N642" s="19"/>
      <c r="O642" s="19"/>
      <c r="P642" s="19"/>
      <c r="Q642" s="21"/>
      <c r="R642" s="19"/>
      <c r="S642" s="19"/>
      <c r="T642" s="19"/>
      <c r="U642" s="19"/>
      <c r="V642" s="21"/>
    </row>
    <row r="643" spans="1:22" x14ac:dyDescent="0.3">
      <c r="A643" s="1">
        <v>46036.270833333336</v>
      </c>
      <c r="B643" s="2">
        <v>9</v>
      </c>
      <c r="C643" s="1" t="str">
        <f t="shared" ref="C643:C706" si="22">IF(B643=$P$13,A643,"0")</f>
        <v>0</v>
      </c>
      <c r="D643" s="1" t="str">
        <f t="shared" ref="D643:D706" si="23">IF(B643=$M$13,A643,"0")</f>
        <v>0</v>
      </c>
      <c r="N643" s="19"/>
      <c r="O643" s="19"/>
      <c r="P643" s="19"/>
      <c r="Q643" s="21"/>
      <c r="R643" s="19"/>
      <c r="S643" s="19"/>
      <c r="T643" s="19"/>
      <c r="U643" s="19"/>
      <c r="V643" s="21"/>
    </row>
    <row r="644" spans="1:22" x14ac:dyDescent="0.3">
      <c r="A644" s="1">
        <v>46036.291666666664</v>
      </c>
      <c r="B644" s="2">
        <v>8.5</v>
      </c>
      <c r="C644" s="1" t="str">
        <f t="shared" si="22"/>
        <v>0</v>
      </c>
      <c r="D644" s="1" t="str">
        <f t="shared" si="23"/>
        <v>0</v>
      </c>
      <c r="N644" s="19"/>
      <c r="O644" s="19"/>
      <c r="P644" s="19"/>
      <c r="Q644" s="21"/>
      <c r="R644" s="19"/>
      <c r="S644" s="19"/>
      <c r="T644" s="19"/>
      <c r="U644" s="19"/>
      <c r="V644" s="21"/>
    </row>
    <row r="645" spans="1:22" x14ac:dyDescent="0.3">
      <c r="A645" s="1">
        <v>46036.3125</v>
      </c>
      <c r="B645" s="2">
        <v>8.6</v>
      </c>
      <c r="C645" s="1" t="str">
        <f t="shared" si="22"/>
        <v>0</v>
      </c>
      <c r="D645" s="1" t="str">
        <f t="shared" si="23"/>
        <v>0</v>
      </c>
      <c r="N645" s="19"/>
      <c r="O645" s="19"/>
      <c r="P645" s="19"/>
      <c r="Q645" s="21"/>
      <c r="R645" s="19"/>
      <c r="S645" s="19"/>
      <c r="T645" s="19"/>
      <c r="U645" s="19"/>
      <c r="V645" s="21"/>
    </row>
    <row r="646" spans="1:22" x14ac:dyDescent="0.3">
      <c r="A646" s="1">
        <v>46036.333333333336</v>
      </c>
      <c r="B646" s="2">
        <v>9.3000000000000007</v>
      </c>
      <c r="C646" s="1" t="str">
        <f t="shared" si="22"/>
        <v>0</v>
      </c>
      <c r="D646" s="1" t="str">
        <f t="shared" si="23"/>
        <v>0</v>
      </c>
      <c r="N646" s="19"/>
      <c r="O646" s="19"/>
      <c r="P646" s="19"/>
      <c r="Q646" s="21"/>
      <c r="R646" s="19"/>
      <c r="S646" s="19"/>
      <c r="T646" s="19"/>
      <c r="U646" s="19"/>
      <c r="V646" s="21"/>
    </row>
    <row r="647" spans="1:22" x14ac:dyDescent="0.3">
      <c r="A647" s="1">
        <v>46036.354166666664</v>
      </c>
      <c r="B647" s="2">
        <v>9.5</v>
      </c>
      <c r="C647" s="1" t="str">
        <f t="shared" si="22"/>
        <v>0</v>
      </c>
      <c r="D647" s="1" t="str">
        <f t="shared" si="23"/>
        <v>0</v>
      </c>
      <c r="N647" s="19"/>
      <c r="O647" s="19"/>
      <c r="P647" s="19"/>
      <c r="Q647" s="21"/>
      <c r="R647" s="19"/>
      <c r="S647" s="19"/>
      <c r="T647" s="19"/>
      <c r="U647" s="19"/>
      <c r="V647" s="21"/>
    </row>
    <row r="648" spans="1:22" x14ac:dyDescent="0.3">
      <c r="A648" s="1">
        <v>46036.375</v>
      </c>
      <c r="B648" s="2">
        <v>9.6999999999999993</v>
      </c>
      <c r="C648" s="1" t="str">
        <f t="shared" si="22"/>
        <v>0</v>
      </c>
      <c r="D648" s="1" t="str">
        <f t="shared" si="23"/>
        <v>0</v>
      </c>
      <c r="N648" s="19"/>
      <c r="O648" s="19"/>
      <c r="P648" s="19"/>
      <c r="Q648" s="21"/>
      <c r="R648" s="19"/>
      <c r="S648" s="19"/>
      <c r="T648" s="19"/>
      <c r="U648" s="19"/>
      <c r="V648" s="21"/>
    </row>
    <row r="649" spans="1:22" x14ac:dyDescent="0.3">
      <c r="A649" s="1">
        <v>46036.395833333336</v>
      </c>
      <c r="B649" s="2">
        <v>10.4</v>
      </c>
      <c r="C649" s="1" t="str">
        <f t="shared" si="22"/>
        <v>0</v>
      </c>
      <c r="D649" s="1" t="str">
        <f t="shared" si="23"/>
        <v>0</v>
      </c>
      <c r="N649" s="19"/>
      <c r="O649" s="19"/>
      <c r="P649" s="19"/>
      <c r="Q649" s="21"/>
      <c r="R649" s="19"/>
      <c r="S649" s="19"/>
      <c r="T649" s="19"/>
      <c r="U649" s="19"/>
      <c r="V649" s="21"/>
    </row>
    <row r="650" spans="1:22" x14ac:dyDescent="0.3">
      <c r="A650" s="1">
        <v>46036.416666666664</v>
      </c>
      <c r="B650" s="2">
        <v>11.2</v>
      </c>
      <c r="C650" s="1" t="str">
        <f t="shared" si="22"/>
        <v>0</v>
      </c>
      <c r="D650" s="1" t="str">
        <f t="shared" si="23"/>
        <v>0</v>
      </c>
      <c r="N650" s="19"/>
      <c r="O650" s="19"/>
      <c r="P650" s="19"/>
      <c r="Q650" s="21"/>
      <c r="R650" s="19"/>
      <c r="S650" s="19"/>
      <c r="T650" s="19"/>
      <c r="U650" s="19"/>
      <c r="V650" s="21"/>
    </row>
    <row r="651" spans="1:22" x14ac:dyDescent="0.3">
      <c r="A651" s="1">
        <v>46036.4375</v>
      </c>
      <c r="B651" s="2">
        <v>12.1</v>
      </c>
      <c r="C651" s="1" t="str">
        <f t="shared" si="22"/>
        <v>0</v>
      </c>
      <c r="D651" s="1" t="str">
        <f t="shared" si="23"/>
        <v>0</v>
      </c>
      <c r="N651" s="19"/>
      <c r="O651" s="19"/>
      <c r="P651" s="19"/>
      <c r="Q651" s="21"/>
      <c r="R651" s="19"/>
      <c r="S651" s="19"/>
      <c r="T651" s="19"/>
      <c r="U651" s="19"/>
      <c r="V651" s="21"/>
    </row>
    <row r="652" spans="1:22" x14ac:dyDescent="0.3">
      <c r="A652" s="1">
        <v>46036.458333333336</v>
      </c>
      <c r="B652" s="2">
        <v>12.6</v>
      </c>
      <c r="C652" s="1" t="str">
        <f t="shared" si="22"/>
        <v>0</v>
      </c>
      <c r="D652" s="1" t="str">
        <f t="shared" si="23"/>
        <v>0</v>
      </c>
      <c r="N652" s="19"/>
      <c r="O652" s="19"/>
      <c r="P652" s="19"/>
      <c r="Q652" s="21"/>
      <c r="R652" s="19"/>
      <c r="S652" s="19"/>
      <c r="T652" s="19"/>
      <c r="U652" s="19"/>
      <c r="V652" s="21"/>
    </row>
    <row r="653" spans="1:22" x14ac:dyDescent="0.3">
      <c r="A653" s="1">
        <v>46036.479166666664</v>
      </c>
      <c r="B653" s="2">
        <v>13.3</v>
      </c>
      <c r="C653" s="1" t="str">
        <f t="shared" si="22"/>
        <v>0</v>
      </c>
      <c r="D653" s="1" t="str">
        <f t="shared" si="23"/>
        <v>0</v>
      </c>
      <c r="N653" s="19"/>
      <c r="O653" s="19"/>
      <c r="P653" s="19"/>
      <c r="Q653" s="21"/>
      <c r="R653" s="19"/>
      <c r="S653" s="19"/>
      <c r="T653" s="19"/>
      <c r="U653" s="19"/>
      <c r="V653" s="21"/>
    </row>
    <row r="654" spans="1:22" x14ac:dyDescent="0.3">
      <c r="A654" s="1">
        <v>46036.5</v>
      </c>
      <c r="B654" s="2">
        <v>14.8</v>
      </c>
      <c r="C654" s="1" t="str">
        <f t="shared" si="22"/>
        <v>0</v>
      </c>
      <c r="D654" s="1" t="str">
        <f t="shared" si="23"/>
        <v>0</v>
      </c>
      <c r="N654" s="19"/>
      <c r="O654" s="19"/>
      <c r="P654" s="19"/>
      <c r="Q654" s="21"/>
      <c r="R654" s="19"/>
      <c r="S654" s="19"/>
      <c r="T654" s="19"/>
      <c r="U654" s="19"/>
      <c r="V654" s="21"/>
    </row>
    <row r="655" spans="1:22" x14ac:dyDescent="0.3">
      <c r="A655" s="1">
        <v>46036.520833333336</v>
      </c>
      <c r="B655" s="2">
        <v>15.1</v>
      </c>
      <c r="C655" s="1" t="str">
        <f t="shared" si="22"/>
        <v>0</v>
      </c>
      <c r="D655" s="1" t="str">
        <f t="shared" si="23"/>
        <v>0</v>
      </c>
      <c r="N655" s="19"/>
      <c r="O655" s="19"/>
      <c r="P655" s="19"/>
      <c r="Q655" s="21"/>
      <c r="R655" s="19"/>
      <c r="S655" s="19"/>
      <c r="T655" s="19"/>
      <c r="U655" s="19"/>
      <c r="V655" s="21"/>
    </row>
    <row r="656" spans="1:22" x14ac:dyDescent="0.3">
      <c r="A656" s="1">
        <v>46036.541666666664</v>
      </c>
      <c r="B656" s="2">
        <v>15.1</v>
      </c>
      <c r="C656" s="1" t="str">
        <f t="shared" si="22"/>
        <v>0</v>
      </c>
      <c r="D656" s="1" t="str">
        <f t="shared" si="23"/>
        <v>0</v>
      </c>
      <c r="N656" s="19"/>
      <c r="O656" s="19"/>
      <c r="P656" s="19"/>
      <c r="Q656" s="21"/>
      <c r="R656" s="19"/>
      <c r="S656" s="19"/>
      <c r="T656" s="19"/>
      <c r="U656" s="19"/>
      <c r="V656" s="21"/>
    </row>
    <row r="657" spans="1:22" x14ac:dyDescent="0.3">
      <c r="A657" s="1">
        <v>46036.5625</v>
      </c>
      <c r="B657" s="2">
        <v>15.3</v>
      </c>
      <c r="C657" s="1" t="str">
        <f t="shared" si="22"/>
        <v>0</v>
      </c>
      <c r="D657" s="1" t="str">
        <f t="shared" si="23"/>
        <v>0</v>
      </c>
      <c r="N657" s="19"/>
      <c r="O657" s="19"/>
      <c r="P657" s="19"/>
      <c r="Q657" s="21"/>
      <c r="R657" s="19"/>
      <c r="S657" s="19"/>
      <c r="T657" s="19"/>
      <c r="U657" s="19"/>
      <c r="V657" s="21"/>
    </row>
    <row r="658" spans="1:22" x14ac:dyDescent="0.3">
      <c r="A658" s="1">
        <v>46036.583333333336</v>
      </c>
      <c r="B658" s="2">
        <v>15.2</v>
      </c>
      <c r="C658" s="1" t="str">
        <f t="shared" si="22"/>
        <v>0</v>
      </c>
      <c r="D658" s="1" t="str">
        <f t="shared" si="23"/>
        <v>0</v>
      </c>
      <c r="N658" s="19"/>
      <c r="O658" s="19"/>
      <c r="P658" s="19"/>
      <c r="Q658" s="21"/>
      <c r="R658" s="19"/>
      <c r="S658" s="19"/>
      <c r="T658" s="19"/>
      <c r="U658" s="19"/>
      <c r="V658" s="21"/>
    </row>
    <row r="659" spans="1:22" x14ac:dyDescent="0.3">
      <c r="A659" s="1">
        <v>46036.604166666664</v>
      </c>
      <c r="B659" s="2">
        <v>15</v>
      </c>
      <c r="C659" s="1" t="str">
        <f t="shared" si="22"/>
        <v>0</v>
      </c>
      <c r="D659" s="1" t="str">
        <f t="shared" si="23"/>
        <v>0</v>
      </c>
      <c r="N659" s="19"/>
      <c r="O659" s="19"/>
      <c r="P659" s="19"/>
      <c r="Q659" s="21"/>
      <c r="R659" s="19"/>
      <c r="S659" s="19"/>
      <c r="T659" s="19"/>
      <c r="U659" s="19"/>
      <c r="V659" s="21"/>
    </row>
    <row r="660" spans="1:22" x14ac:dyDescent="0.3">
      <c r="A660" s="1">
        <v>46036.625</v>
      </c>
      <c r="B660" s="2">
        <v>14.9</v>
      </c>
      <c r="C660" s="1" t="str">
        <f t="shared" si="22"/>
        <v>0</v>
      </c>
      <c r="D660" s="1" t="str">
        <f t="shared" si="23"/>
        <v>0</v>
      </c>
      <c r="N660" s="19"/>
      <c r="O660" s="19"/>
      <c r="P660" s="19"/>
      <c r="Q660" s="21"/>
      <c r="R660" s="19"/>
      <c r="S660" s="19"/>
      <c r="T660" s="19"/>
      <c r="U660" s="19"/>
      <c r="V660" s="21"/>
    </row>
    <row r="661" spans="1:22" x14ac:dyDescent="0.3">
      <c r="A661" s="1">
        <v>46036.645833333336</v>
      </c>
      <c r="B661" s="2">
        <v>14.9</v>
      </c>
      <c r="C661" s="1" t="str">
        <f t="shared" si="22"/>
        <v>0</v>
      </c>
      <c r="D661" s="1" t="str">
        <f t="shared" si="23"/>
        <v>0</v>
      </c>
      <c r="N661" s="19"/>
      <c r="O661" s="19"/>
      <c r="P661" s="19"/>
      <c r="Q661" s="21"/>
      <c r="R661" s="19"/>
      <c r="S661" s="19"/>
      <c r="T661" s="19"/>
      <c r="U661" s="19"/>
      <c r="V661" s="21"/>
    </row>
    <row r="662" spans="1:22" x14ac:dyDescent="0.3">
      <c r="A662" s="1">
        <v>46036.666666666664</v>
      </c>
      <c r="B662" s="2">
        <v>14.5</v>
      </c>
      <c r="C662" s="1" t="str">
        <f t="shared" si="22"/>
        <v>0</v>
      </c>
      <c r="D662" s="1" t="str">
        <f t="shared" si="23"/>
        <v>0</v>
      </c>
      <c r="N662" s="19"/>
      <c r="O662" s="19"/>
      <c r="P662" s="19"/>
      <c r="Q662" s="21"/>
      <c r="R662" s="19"/>
      <c r="S662" s="19"/>
      <c r="T662" s="19"/>
      <c r="U662" s="19"/>
      <c r="V662" s="21"/>
    </row>
    <row r="663" spans="1:22" x14ac:dyDescent="0.3">
      <c r="A663" s="1">
        <v>46036.6875</v>
      </c>
      <c r="B663" s="2">
        <v>14.3</v>
      </c>
      <c r="C663" s="1" t="str">
        <f t="shared" si="22"/>
        <v>0</v>
      </c>
      <c r="D663" s="1" t="str">
        <f t="shared" si="23"/>
        <v>0</v>
      </c>
      <c r="N663" s="19"/>
      <c r="O663" s="19"/>
      <c r="P663" s="19"/>
      <c r="Q663" s="21"/>
      <c r="R663" s="19"/>
      <c r="S663" s="19"/>
      <c r="T663" s="19"/>
      <c r="U663" s="19"/>
      <c r="V663" s="21"/>
    </row>
    <row r="664" spans="1:22" x14ac:dyDescent="0.3">
      <c r="A664" s="1">
        <v>46036.708333333336</v>
      </c>
      <c r="B664" s="2">
        <v>14.1</v>
      </c>
      <c r="C664" s="1" t="str">
        <f t="shared" si="22"/>
        <v>0</v>
      </c>
      <c r="D664" s="1" t="str">
        <f t="shared" si="23"/>
        <v>0</v>
      </c>
      <c r="N664" s="19"/>
      <c r="O664" s="19"/>
      <c r="P664" s="19"/>
      <c r="Q664" s="21"/>
      <c r="R664" s="19"/>
      <c r="S664" s="19"/>
      <c r="T664" s="19"/>
      <c r="U664" s="19"/>
      <c r="V664" s="21"/>
    </row>
    <row r="665" spans="1:22" x14ac:dyDescent="0.3">
      <c r="A665" s="1">
        <v>46036.729166666664</v>
      </c>
      <c r="B665" s="2">
        <v>14</v>
      </c>
      <c r="C665" s="1" t="str">
        <f t="shared" si="22"/>
        <v>0</v>
      </c>
      <c r="D665" s="1" t="str">
        <f t="shared" si="23"/>
        <v>0</v>
      </c>
      <c r="N665" s="19"/>
      <c r="O665" s="19"/>
      <c r="P665" s="19"/>
      <c r="Q665" s="21"/>
      <c r="R665" s="19"/>
      <c r="S665" s="19"/>
      <c r="T665" s="19"/>
      <c r="U665" s="19"/>
      <c r="V665" s="21"/>
    </row>
    <row r="666" spans="1:22" x14ac:dyDescent="0.3">
      <c r="A666" s="1">
        <v>46036.75</v>
      </c>
      <c r="B666" s="2">
        <v>13.9</v>
      </c>
      <c r="C666" s="1" t="str">
        <f t="shared" si="22"/>
        <v>0</v>
      </c>
      <c r="D666" s="1" t="str">
        <f t="shared" si="23"/>
        <v>0</v>
      </c>
      <c r="N666" s="19"/>
      <c r="O666" s="19"/>
      <c r="P666" s="19"/>
      <c r="Q666" s="21"/>
      <c r="R666" s="19"/>
      <c r="S666" s="19"/>
      <c r="T666" s="19"/>
      <c r="U666" s="19"/>
      <c r="V666" s="21"/>
    </row>
    <row r="667" spans="1:22" x14ac:dyDescent="0.3">
      <c r="A667" s="1">
        <v>46036.770833333336</v>
      </c>
      <c r="B667" s="2">
        <v>13.7</v>
      </c>
      <c r="C667" s="1" t="str">
        <f t="shared" si="22"/>
        <v>0</v>
      </c>
      <c r="D667" s="1" t="str">
        <f t="shared" si="23"/>
        <v>0</v>
      </c>
      <c r="N667" s="19"/>
      <c r="O667" s="19"/>
      <c r="P667" s="19"/>
      <c r="Q667" s="21"/>
      <c r="R667" s="19"/>
      <c r="S667" s="19"/>
      <c r="T667" s="19"/>
      <c r="U667" s="19"/>
      <c r="V667" s="21"/>
    </row>
    <row r="668" spans="1:22" x14ac:dyDescent="0.3">
      <c r="A668" s="1">
        <v>46036.791666666664</v>
      </c>
      <c r="B668" s="2">
        <v>13.8</v>
      </c>
      <c r="C668" s="1" t="str">
        <f t="shared" si="22"/>
        <v>0</v>
      </c>
      <c r="D668" s="1" t="str">
        <f t="shared" si="23"/>
        <v>0</v>
      </c>
      <c r="N668" s="19"/>
      <c r="O668" s="19"/>
      <c r="P668" s="19"/>
      <c r="Q668" s="21"/>
      <c r="R668" s="19"/>
      <c r="S668" s="19"/>
      <c r="T668" s="19"/>
      <c r="U668" s="19"/>
      <c r="V668" s="21"/>
    </row>
    <row r="669" spans="1:22" x14ac:dyDescent="0.3">
      <c r="A669" s="1">
        <v>46036.8125</v>
      </c>
      <c r="B669" s="2">
        <v>13.7</v>
      </c>
      <c r="C669" s="1" t="str">
        <f t="shared" si="22"/>
        <v>0</v>
      </c>
      <c r="D669" s="1" t="str">
        <f t="shared" si="23"/>
        <v>0</v>
      </c>
      <c r="N669" s="19"/>
      <c r="O669" s="19"/>
      <c r="P669" s="19"/>
      <c r="Q669" s="21"/>
      <c r="R669" s="19"/>
      <c r="S669" s="19"/>
      <c r="T669" s="19"/>
      <c r="U669" s="19"/>
      <c r="V669" s="21"/>
    </row>
    <row r="670" spans="1:22" x14ac:dyDescent="0.3">
      <c r="A670" s="1">
        <v>46036.833333333336</v>
      </c>
      <c r="B670" s="2">
        <v>13.2</v>
      </c>
      <c r="C670" s="1" t="str">
        <f t="shared" si="22"/>
        <v>0</v>
      </c>
      <c r="D670" s="1" t="str">
        <f t="shared" si="23"/>
        <v>0</v>
      </c>
      <c r="N670" s="19"/>
      <c r="O670" s="19"/>
      <c r="P670" s="19"/>
      <c r="Q670" s="21"/>
      <c r="R670" s="19"/>
      <c r="S670" s="19"/>
      <c r="T670" s="19"/>
      <c r="U670" s="19"/>
      <c r="V670" s="21"/>
    </row>
    <row r="671" spans="1:22" x14ac:dyDescent="0.3">
      <c r="A671" s="1">
        <v>46036.854166666664</v>
      </c>
      <c r="B671" s="2">
        <v>13.2</v>
      </c>
      <c r="C671" s="1" t="str">
        <f t="shared" si="22"/>
        <v>0</v>
      </c>
      <c r="D671" s="1" t="str">
        <f t="shared" si="23"/>
        <v>0</v>
      </c>
      <c r="N671" s="19"/>
      <c r="O671" s="19"/>
      <c r="P671" s="19"/>
      <c r="Q671" s="21"/>
      <c r="R671" s="19"/>
      <c r="S671" s="19"/>
      <c r="T671" s="19"/>
      <c r="U671" s="19"/>
      <c r="V671" s="21"/>
    </row>
    <row r="672" spans="1:22" x14ac:dyDescent="0.3">
      <c r="A672" s="1">
        <v>46036.875</v>
      </c>
      <c r="B672" s="2">
        <v>13.1</v>
      </c>
      <c r="C672" s="1" t="str">
        <f t="shared" si="22"/>
        <v>0</v>
      </c>
      <c r="D672" s="1" t="str">
        <f t="shared" si="23"/>
        <v>0</v>
      </c>
      <c r="N672" s="19"/>
      <c r="O672" s="19"/>
      <c r="P672" s="19"/>
      <c r="Q672" s="21"/>
      <c r="R672" s="19"/>
      <c r="S672" s="19"/>
      <c r="T672" s="19"/>
      <c r="U672" s="19"/>
      <c r="V672" s="21"/>
    </row>
    <row r="673" spans="1:22" x14ac:dyDescent="0.3">
      <c r="A673" s="1">
        <v>46036.895833333336</v>
      </c>
      <c r="B673" s="2">
        <v>12.9</v>
      </c>
      <c r="C673" s="1" t="str">
        <f t="shared" si="22"/>
        <v>0</v>
      </c>
      <c r="D673" s="1" t="str">
        <f t="shared" si="23"/>
        <v>0</v>
      </c>
      <c r="N673" s="19"/>
      <c r="O673" s="19"/>
      <c r="P673" s="19"/>
      <c r="Q673" s="21"/>
      <c r="R673" s="19"/>
      <c r="S673" s="19"/>
      <c r="T673" s="19"/>
      <c r="U673" s="19"/>
      <c r="V673" s="21"/>
    </row>
    <row r="674" spans="1:22" x14ac:dyDescent="0.3">
      <c r="A674" s="1">
        <v>46036.916666666664</v>
      </c>
      <c r="B674" s="2">
        <v>12.8</v>
      </c>
      <c r="C674" s="1" t="str">
        <f t="shared" si="22"/>
        <v>0</v>
      </c>
      <c r="D674" s="1" t="str">
        <f t="shared" si="23"/>
        <v>0</v>
      </c>
      <c r="N674" s="19"/>
      <c r="O674" s="19"/>
      <c r="P674" s="19"/>
      <c r="Q674" s="21"/>
      <c r="R674" s="19"/>
      <c r="S674" s="19"/>
      <c r="T674" s="19"/>
      <c r="U674" s="19"/>
      <c r="V674" s="21"/>
    </row>
    <row r="675" spans="1:22" x14ac:dyDescent="0.3">
      <c r="A675" s="1">
        <v>46036.9375</v>
      </c>
      <c r="B675" s="2">
        <v>12.5</v>
      </c>
      <c r="C675" s="1" t="str">
        <f t="shared" si="22"/>
        <v>0</v>
      </c>
      <c r="D675" s="1" t="str">
        <f t="shared" si="23"/>
        <v>0</v>
      </c>
      <c r="N675" s="19"/>
      <c r="O675" s="19"/>
      <c r="P675" s="19"/>
      <c r="Q675" s="21"/>
      <c r="R675" s="19"/>
      <c r="S675" s="19"/>
      <c r="T675" s="19"/>
      <c r="U675" s="19"/>
      <c r="V675" s="21"/>
    </row>
    <row r="676" spans="1:22" x14ac:dyDescent="0.3">
      <c r="A676" s="1">
        <v>46036.958333333336</v>
      </c>
      <c r="B676" s="2">
        <v>12.2</v>
      </c>
      <c r="C676" s="1" t="str">
        <f t="shared" si="22"/>
        <v>0</v>
      </c>
      <c r="D676" s="1" t="str">
        <f t="shared" si="23"/>
        <v>0</v>
      </c>
      <c r="N676" s="19"/>
      <c r="O676" s="19"/>
      <c r="P676" s="19"/>
      <c r="Q676" s="21"/>
      <c r="R676" s="19"/>
      <c r="S676" s="19"/>
      <c r="T676" s="19"/>
      <c r="U676" s="19"/>
      <c r="V676" s="21"/>
    </row>
    <row r="677" spans="1:22" x14ac:dyDescent="0.3">
      <c r="A677" s="1">
        <v>46036.979166666664</v>
      </c>
      <c r="B677" s="2">
        <v>12.2</v>
      </c>
      <c r="C677" s="1" t="str">
        <f t="shared" si="22"/>
        <v>0</v>
      </c>
      <c r="D677" s="1" t="str">
        <f t="shared" si="23"/>
        <v>0</v>
      </c>
      <c r="N677" s="19"/>
      <c r="O677" s="19"/>
      <c r="P677" s="19"/>
      <c r="Q677" s="21"/>
      <c r="R677" s="19"/>
      <c r="S677" s="19"/>
      <c r="T677" s="19"/>
      <c r="U677" s="19"/>
      <c r="V677" s="21"/>
    </row>
    <row r="678" spans="1:22" x14ac:dyDescent="0.3">
      <c r="A678" s="1">
        <v>46037</v>
      </c>
      <c r="B678" s="2">
        <v>12.3</v>
      </c>
      <c r="C678" s="1" t="str">
        <f t="shared" si="22"/>
        <v>0</v>
      </c>
      <c r="D678" s="1" t="str">
        <f t="shared" si="23"/>
        <v>0</v>
      </c>
      <c r="N678" s="19"/>
      <c r="O678" s="19"/>
      <c r="P678" s="19"/>
      <c r="Q678" s="21"/>
      <c r="R678" s="19"/>
      <c r="S678" s="19"/>
      <c r="T678" s="19"/>
      <c r="U678" s="19"/>
      <c r="V678" s="21"/>
    </row>
    <row r="679" spans="1:22" x14ac:dyDescent="0.3">
      <c r="A679" s="1">
        <v>46037.020833333336</v>
      </c>
      <c r="B679" s="2">
        <v>12.3</v>
      </c>
      <c r="C679" s="1" t="str">
        <f t="shared" si="22"/>
        <v>0</v>
      </c>
      <c r="D679" s="1" t="str">
        <f t="shared" si="23"/>
        <v>0</v>
      </c>
      <c r="N679" s="19"/>
      <c r="O679" s="19"/>
      <c r="P679" s="19"/>
      <c r="Q679" s="21"/>
      <c r="R679" s="19"/>
      <c r="S679" s="19"/>
      <c r="T679" s="19"/>
      <c r="U679" s="19"/>
      <c r="V679" s="21"/>
    </row>
    <row r="680" spans="1:22" x14ac:dyDescent="0.3">
      <c r="A680" s="1">
        <v>46037.041666666664</v>
      </c>
      <c r="B680" s="2">
        <v>12.2</v>
      </c>
      <c r="C680" s="1" t="str">
        <f t="shared" si="22"/>
        <v>0</v>
      </c>
      <c r="D680" s="1" t="str">
        <f t="shared" si="23"/>
        <v>0</v>
      </c>
      <c r="N680" s="19"/>
      <c r="O680" s="19"/>
      <c r="P680" s="19"/>
      <c r="Q680" s="21"/>
      <c r="R680" s="19"/>
      <c r="S680" s="19"/>
      <c r="T680" s="19"/>
      <c r="U680" s="19"/>
      <c r="V680" s="21"/>
    </row>
    <row r="681" spans="1:22" x14ac:dyDescent="0.3">
      <c r="A681" s="1">
        <v>46037.0625</v>
      </c>
      <c r="B681" s="2">
        <v>12.3</v>
      </c>
      <c r="C681" s="1" t="str">
        <f t="shared" si="22"/>
        <v>0</v>
      </c>
      <c r="D681" s="1" t="str">
        <f t="shared" si="23"/>
        <v>0</v>
      </c>
      <c r="N681" s="19"/>
      <c r="O681" s="19"/>
      <c r="P681" s="19"/>
      <c r="Q681" s="21"/>
      <c r="R681" s="19"/>
      <c r="S681" s="19"/>
      <c r="T681" s="19"/>
      <c r="U681" s="19"/>
      <c r="V681" s="21"/>
    </row>
    <row r="682" spans="1:22" x14ac:dyDescent="0.3">
      <c r="A682" s="1">
        <v>46037.083333333336</v>
      </c>
      <c r="B682" s="2">
        <v>12.4</v>
      </c>
      <c r="C682" s="1" t="str">
        <f t="shared" si="22"/>
        <v>0</v>
      </c>
      <c r="D682" s="1" t="str">
        <f t="shared" si="23"/>
        <v>0</v>
      </c>
      <c r="N682" s="19"/>
      <c r="O682" s="19"/>
      <c r="P682" s="19"/>
      <c r="Q682" s="21"/>
      <c r="R682" s="19"/>
      <c r="S682" s="19"/>
      <c r="T682" s="19"/>
      <c r="U682" s="19"/>
      <c r="V682" s="21"/>
    </row>
    <row r="683" spans="1:22" x14ac:dyDescent="0.3">
      <c r="A683" s="1">
        <v>46037.104166666664</v>
      </c>
      <c r="B683" s="2">
        <v>12.4</v>
      </c>
      <c r="C683" s="1" t="str">
        <f t="shared" si="22"/>
        <v>0</v>
      </c>
      <c r="D683" s="1" t="str">
        <f t="shared" si="23"/>
        <v>0</v>
      </c>
      <c r="N683" s="19"/>
      <c r="O683" s="19"/>
      <c r="P683" s="19"/>
      <c r="Q683" s="21"/>
      <c r="R683" s="19"/>
      <c r="S683" s="19"/>
      <c r="T683" s="19"/>
      <c r="U683" s="19"/>
      <c r="V683" s="21"/>
    </row>
    <row r="684" spans="1:22" x14ac:dyDescent="0.3">
      <c r="A684" s="1">
        <v>46037.125</v>
      </c>
      <c r="B684" s="2">
        <v>12.4</v>
      </c>
      <c r="C684" s="1" t="str">
        <f t="shared" si="22"/>
        <v>0</v>
      </c>
      <c r="D684" s="1" t="str">
        <f t="shared" si="23"/>
        <v>0</v>
      </c>
      <c r="N684" s="19"/>
      <c r="O684" s="19"/>
      <c r="P684" s="19"/>
      <c r="Q684" s="21"/>
      <c r="R684" s="19"/>
      <c r="S684" s="19"/>
      <c r="T684" s="19"/>
      <c r="U684" s="19"/>
      <c r="V684" s="21"/>
    </row>
    <row r="685" spans="1:22" x14ac:dyDescent="0.3">
      <c r="A685" s="1">
        <v>46037.145833333336</v>
      </c>
      <c r="B685" s="2">
        <v>12.4</v>
      </c>
      <c r="C685" s="1" t="str">
        <f t="shared" si="22"/>
        <v>0</v>
      </c>
      <c r="D685" s="1" t="str">
        <f t="shared" si="23"/>
        <v>0</v>
      </c>
      <c r="N685" s="19"/>
      <c r="O685" s="19"/>
      <c r="P685" s="19"/>
      <c r="Q685" s="21"/>
      <c r="R685" s="19"/>
      <c r="S685" s="19"/>
      <c r="T685" s="19"/>
      <c r="U685" s="19"/>
      <c r="V685" s="21"/>
    </row>
    <row r="686" spans="1:22" x14ac:dyDescent="0.3">
      <c r="A686" s="1">
        <v>46037.166666666664</v>
      </c>
      <c r="B686" s="2">
        <v>12.2</v>
      </c>
      <c r="C686" s="1" t="str">
        <f t="shared" si="22"/>
        <v>0</v>
      </c>
      <c r="D686" s="1" t="str">
        <f t="shared" si="23"/>
        <v>0</v>
      </c>
      <c r="N686" s="19"/>
      <c r="O686" s="19"/>
      <c r="P686" s="19"/>
      <c r="Q686" s="21"/>
      <c r="R686" s="19"/>
      <c r="S686" s="19"/>
      <c r="T686" s="19"/>
      <c r="U686" s="19"/>
      <c r="V686" s="21"/>
    </row>
    <row r="687" spans="1:22" x14ac:dyDescent="0.3">
      <c r="A687" s="1">
        <v>46037.1875</v>
      </c>
      <c r="B687" s="2">
        <v>12.2</v>
      </c>
      <c r="C687" s="1" t="str">
        <f t="shared" si="22"/>
        <v>0</v>
      </c>
      <c r="D687" s="1" t="str">
        <f t="shared" si="23"/>
        <v>0</v>
      </c>
      <c r="N687" s="19"/>
      <c r="O687" s="19"/>
      <c r="P687" s="19"/>
      <c r="Q687" s="21"/>
      <c r="R687" s="19"/>
      <c r="S687" s="19"/>
      <c r="T687" s="19"/>
      <c r="U687" s="19"/>
      <c r="V687" s="21"/>
    </row>
    <row r="688" spans="1:22" x14ac:dyDescent="0.3">
      <c r="A688" s="1">
        <v>46037.208333333336</v>
      </c>
      <c r="B688" s="2">
        <v>12.1</v>
      </c>
      <c r="C688" s="1" t="str">
        <f t="shared" si="22"/>
        <v>0</v>
      </c>
      <c r="D688" s="1" t="str">
        <f t="shared" si="23"/>
        <v>0</v>
      </c>
      <c r="N688" s="19"/>
      <c r="O688" s="19"/>
      <c r="P688" s="19"/>
      <c r="Q688" s="21"/>
      <c r="R688" s="19"/>
      <c r="S688" s="19"/>
      <c r="T688" s="19"/>
      <c r="U688" s="19"/>
      <c r="V688" s="21"/>
    </row>
    <row r="689" spans="1:22" x14ac:dyDescent="0.3">
      <c r="A689" s="1">
        <v>46037.229166666664</v>
      </c>
      <c r="B689" s="2">
        <v>12.1</v>
      </c>
      <c r="C689" s="1" t="str">
        <f t="shared" si="22"/>
        <v>0</v>
      </c>
      <c r="D689" s="1" t="str">
        <f t="shared" si="23"/>
        <v>0</v>
      </c>
      <c r="N689" s="19"/>
      <c r="O689" s="19"/>
      <c r="P689" s="19"/>
      <c r="Q689" s="21"/>
      <c r="R689" s="19"/>
      <c r="S689" s="19"/>
      <c r="T689" s="19"/>
      <c r="U689" s="19"/>
      <c r="V689" s="21"/>
    </row>
    <row r="690" spans="1:22" x14ac:dyDescent="0.3">
      <c r="A690" s="1">
        <v>46037.25</v>
      </c>
      <c r="B690" s="2">
        <v>12</v>
      </c>
      <c r="C690" s="1" t="str">
        <f t="shared" si="22"/>
        <v>0</v>
      </c>
      <c r="D690" s="1" t="str">
        <f t="shared" si="23"/>
        <v>0</v>
      </c>
      <c r="N690" s="19"/>
      <c r="O690" s="19"/>
      <c r="P690" s="19"/>
      <c r="Q690" s="21"/>
      <c r="R690" s="19"/>
      <c r="S690" s="19"/>
      <c r="T690" s="19"/>
      <c r="U690" s="19"/>
      <c r="V690" s="21"/>
    </row>
    <row r="691" spans="1:22" x14ac:dyDescent="0.3">
      <c r="A691" s="1">
        <v>46037.270833333336</v>
      </c>
      <c r="B691" s="2">
        <v>12</v>
      </c>
      <c r="C691" s="1" t="str">
        <f t="shared" si="22"/>
        <v>0</v>
      </c>
      <c r="D691" s="1" t="str">
        <f t="shared" si="23"/>
        <v>0</v>
      </c>
      <c r="N691" s="19"/>
      <c r="O691" s="19"/>
      <c r="P691" s="19"/>
      <c r="Q691" s="21"/>
      <c r="R691" s="19"/>
      <c r="S691" s="19"/>
      <c r="T691" s="19"/>
      <c r="U691" s="19"/>
      <c r="V691" s="21"/>
    </row>
    <row r="692" spans="1:22" x14ac:dyDescent="0.3">
      <c r="A692" s="1">
        <v>46037.291666666664</v>
      </c>
      <c r="B692" s="2">
        <v>12</v>
      </c>
      <c r="C692" s="1" t="str">
        <f t="shared" si="22"/>
        <v>0</v>
      </c>
      <c r="D692" s="1" t="str">
        <f t="shared" si="23"/>
        <v>0</v>
      </c>
      <c r="N692" s="19"/>
      <c r="O692" s="19"/>
      <c r="P692" s="19"/>
      <c r="Q692" s="21"/>
      <c r="R692" s="19"/>
      <c r="S692" s="19"/>
      <c r="T692" s="19"/>
      <c r="U692" s="19"/>
      <c r="V692" s="21"/>
    </row>
    <row r="693" spans="1:22" x14ac:dyDescent="0.3">
      <c r="A693" s="1">
        <v>46037.3125</v>
      </c>
      <c r="B693" s="2">
        <v>12</v>
      </c>
      <c r="C693" s="1" t="str">
        <f t="shared" si="22"/>
        <v>0</v>
      </c>
      <c r="D693" s="1" t="str">
        <f t="shared" si="23"/>
        <v>0</v>
      </c>
      <c r="N693" s="19"/>
      <c r="O693" s="19"/>
      <c r="P693" s="19"/>
      <c r="Q693" s="21"/>
      <c r="R693" s="19"/>
      <c r="S693" s="19"/>
      <c r="T693" s="19"/>
      <c r="U693" s="19"/>
      <c r="V693" s="21"/>
    </row>
    <row r="694" spans="1:22" x14ac:dyDescent="0.3">
      <c r="A694" s="1">
        <v>46037.333333333336</v>
      </c>
      <c r="B694" s="2">
        <v>12</v>
      </c>
      <c r="C694" s="1" t="str">
        <f t="shared" si="22"/>
        <v>0</v>
      </c>
      <c r="D694" s="1" t="str">
        <f t="shared" si="23"/>
        <v>0</v>
      </c>
      <c r="N694" s="19"/>
      <c r="O694" s="19"/>
      <c r="P694" s="19"/>
      <c r="Q694" s="19"/>
      <c r="R694" s="19"/>
      <c r="S694" s="19"/>
      <c r="T694" s="19"/>
      <c r="U694" s="19"/>
      <c r="V694" s="21"/>
    </row>
    <row r="695" spans="1:22" x14ac:dyDescent="0.3">
      <c r="A695" s="1">
        <v>46037.354166666664</v>
      </c>
      <c r="B695" s="2">
        <v>12.2</v>
      </c>
      <c r="C695" s="1" t="str">
        <f t="shared" si="22"/>
        <v>0</v>
      </c>
      <c r="D695" s="1" t="str">
        <f t="shared" si="23"/>
        <v>0</v>
      </c>
      <c r="N695" s="19"/>
      <c r="O695" s="19"/>
      <c r="P695" s="19"/>
      <c r="Q695" s="19"/>
      <c r="R695" s="19"/>
      <c r="S695" s="19"/>
      <c r="T695" s="19"/>
      <c r="U695" s="19"/>
      <c r="V695" s="21"/>
    </row>
    <row r="696" spans="1:22" x14ac:dyDescent="0.3">
      <c r="A696" s="1">
        <v>46037.375</v>
      </c>
      <c r="B696" s="2">
        <v>12.6</v>
      </c>
      <c r="C696" s="1" t="str">
        <f t="shared" si="22"/>
        <v>0</v>
      </c>
      <c r="D696" s="1" t="str">
        <f t="shared" si="23"/>
        <v>0</v>
      </c>
      <c r="N696" s="19"/>
      <c r="O696" s="19"/>
      <c r="P696" s="19"/>
      <c r="Q696" s="19"/>
      <c r="R696" s="19"/>
      <c r="S696" s="19"/>
      <c r="T696" s="19"/>
      <c r="U696" s="19"/>
      <c r="V696" s="21"/>
    </row>
    <row r="697" spans="1:22" x14ac:dyDescent="0.3">
      <c r="A697" s="1">
        <v>46037.395833333336</v>
      </c>
      <c r="B697" s="2">
        <v>12.8</v>
      </c>
      <c r="C697" s="1" t="str">
        <f t="shared" si="22"/>
        <v>0</v>
      </c>
      <c r="D697" s="1" t="str">
        <f t="shared" si="23"/>
        <v>0</v>
      </c>
      <c r="N697" s="19"/>
      <c r="O697" s="19"/>
      <c r="P697" s="19"/>
      <c r="Q697" s="19"/>
      <c r="R697" s="19"/>
      <c r="S697" s="19"/>
      <c r="T697" s="19"/>
      <c r="U697" s="19"/>
      <c r="V697" s="21"/>
    </row>
    <row r="698" spans="1:22" x14ac:dyDescent="0.3">
      <c r="A698" s="1">
        <v>46037.416666666664</v>
      </c>
      <c r="B698" s="2">
        <v>13.2</v>
      </c>
      <c r="C698" s="1" t="str">
        <f t="shared" si="22"/>
        <v>0</v>
      </c>
      <c r="D698" s="1" t="str">
        <f t="shared" si="23"/>
        <v>0</v>
      </c>
      <c r="N698" s="19"/>
      <c r="O698" s="19"/>
      <c r="P698" s="19"/>
      <c r="Q698" s="19"/>
      <c r="R698" s="19"/>
      <c r="S698" s="19"/>
      <c r="T698" s="19"/>
      <c r="U698" s="19"/>
      <c r="V698" s="21"/>
    </row>
    <row r="699" spans="1:22" x14ac:dyDescent="0.3">
      <c r="A699" s="1">
        <v>46037.4375</v>
      </c>
      <c r="B699" s="2">
        <v>13.8</v>
      </c>
      <c r="C699" s="1" t="str">
        <f t="shared" si="22"/>
        <v>0</v>
      </c>
      <c r="D699" s="1" t="str">
        <f t="shared" si="23"/>
        <v>0</v>
      </c>
      <c r="N699" s="19"/>
      <c r="O699" s="19"/>
      <c r="P699" s="19"/>
      <c r="Q699" s="19"/>
      <c r="R699" s="19"/>
      <c r="S699" s="19"/>
      <c r="T699" s="19"/>
      <c r="U699" s="19"/>
      <c r="V699" s="21"/>
    </row>
    <row r="700" spans="1:22" x14ac:dyDescent="0.3">
      <c r="A700" s="1">
        <v>46037.458333333336</v>
      </c>
      <c r="B700" s="2">
        <v>14.3</v>
      </c>
      <c r="C700" s="1" t="str">
        <f t="shared" si="22"/>
        <v>0</v>
      </c>
      <c r="D700" s="1" t="str">
        <f t="shared" si="23"/>
        <v>0</v>
      </c>
      <c r="N700" s="19"/>
      <c r="O700" s="19"/>
      <c r="P700" s="19"/>
      <c r="Q700" s="19"/>
      <c r="R700" s="19"/>
      <c r="S700" s="19"/>
      <c r="T700" s="19"/>
      <c r="U700" s="19"/>
      <c r="V700" s="21"/>
    </row>
    <row r="701" spans="1:22" x14ac:dyDescent="0.3">
      <c r="A701" s="1">
        <v>46037.479166666664</v>
      </c>
      <c r="B701" s="2">
        <v>14.9</v>
      </c>
      <c r="C701" s="1" t="str">
        <f t="shared" si="22"/>
        <v>0</v>
      </c>
      <c r="D701" s="1" t="str">
        <f t="shared" si="23"/>
        <v>0</v>
      </c>
      <c r="N701" s="19"/>
      <c r="O701" s="19"/>
      <c r="P701" s="19"/>
      <c r="Q701" s="19"/>
      <c r="R701" s="19"/>
      <c r="S701" s="19"/>
      <c r="T701" s="19"/>
      <c r="U701" s="19"/>
      <c r="V701" s="21"/>
    </row>
    <row r="702" spans="1:22" x14ac:dyDescent="0.3">
      <c r="A702" s="1">
        <v>46037.5</v>
      </c>
      <c r="B702" s="2">
        <v>15.2</v>
      </c>
      <c r="C702" s="1" t="str">
        <f t="shared" si="22"/>
        <v>0</v>
      </c>
      <c r="D702" s="1" t="str">
        <f t="shared" si="23"/>
        <v>0</v>
      </c>
      <c r="N702" s="19"/>
      <c r="O702" s="19"/>
      <c r="P702" s="19"/>
      <c r="Q702" s="19"/>
      <c r="R702" s="19"/>
      <c r="S702" s="19"/>
      <c r="T702" s="19"/>
      <c r="U702" s="19"/>
      <c r="V702" s="21"/>
    </row>
    <row r="703" spans="1:22" x14ac:dyDescent="0.3">
      <c r="A703" s="1">
        <v>46037.520833333336</v>
      </c>
      <c r="B703" s="2">
        <v>15.4</v>
      </c>
      <c r="C703" s="1" t="str">
        <f t="shared" si="22"/>
        <v>0</v>
      </c>
      <c r="D703" s="1" t="str">
        <f t="shared" si="23"/>
        <v>0</v>
      </c>
      <c r="N703" s="19"/>
      <c r="O703" s="19"/>
      <c r="P703" s="19"/>
      <c r="Q703" s="19"/>
      <c r="R703" s="19"/>
      <c r="S703" s="19"/>
      <c r="T703" s="19"/>
      <c r="U703" s="19"/>
      <c r="V703" s="21"/>
    </row>
    <row r="704" spans="1:22" x14ac:dyDescent="0.3">
      <c r="A704" s="1">
        <v>46037.541666666664</v>
      </c>
      <c r="B704" s="2">
        <v>15.4</v>
      </c>
      <c r="C704" s="1" t="str">
        <f t="shared" si="22"/>
        <v>0</v>
      </c>
      <c r="D704" s="1" t="str">
        <f t="shared" si="23"/>
        <v>0</v>
      </c>
      <c r="N704" s="19"/>
      <c r="O704" s="19"/>
      <c r="P704" s="19"/>
      <c r="Q704" s="19"/>
      <c r="R704" s="19"/>
      <c r="S704" s="19"/>
      <c r="T704" s="19"/>
      <c r="U704" s="19"/>
      <c r="V704" s="21"/>
    </row>
    <row r="705" spans="1:22" x14ac:dyDescent="0.3">
      <c r="A705" s="1">
        <v>46037.5625</v>
      </c>
      <c r="B705" s="2">
        <v>15.5</v>
      </c>
      <c r="C705" s="1" t="str">
        <f t="shared" si="22"/>
        <v>0</v>
      </c>
      <c r="D705" s="1" t="str">
        <f t="shared" si="23"/>
        <v>0</v>
      </c>
      <c r="N705" s="19"/>
      <c r="O705" s="19"/>
      <c r="P705" s="19"/>
      <c r="Q705" s="19"/>
      <c r="R705" s="19"/>
      <c r="S705" s="19"/>
      <c r="T705" s="19"/>
      <c r="U705" s="19"/>
      <c r="V705" s="21"/>
    </row>
    <row r="706" spans="1:22" x14ac:dyDescent="0.3">
      <c r="A706" s="1">
        <v>46037.583333333336</v>
      </c>
      <c r="B706" s="2">
        <v>15.9</v>
      </c>
      <c r="C706" s="1" t="str">
        <f t="shared" si="22"/>
        <v>0</v>
      </c>
      <c r="D706" s="1">
        <f t="shared" si="23"/>
        <v>46037.583333333336</v>
      </c>
      <c r="N706" s="19"/>
      <c r="O706" s="19"/>
      <c r="P706" s="19"/>
      <c r="Q706" s="19"/>
      <c r="R706" s="19"/>
      <c r="S706" s="19"/>
      <c r="T706" s="19"/>
      <c r="U706" s="19"/>
      <c r="V706" s="21"/>
    </row>
    <row r="707" spans="1:22" x14ac:dyDescent="0.3">
      <c r="A707" s="1">
        <v>46037.604166666664</v>
      </c>
      <c r="B707" s="2">
        <v>15.4</v>
      </c>
      <c r="C707" s="1" t="str">
        <f t="shared" ref="C707:C770" si="24">IF(B707=$P$13,A707,"0")</f>
        <v>0</v>
      </c>
      <c r="D707" s="1" t="str">
        <f t="shared" ref="D707:D770" si="25">IF(B707=$M$13,A707,"0")</f>
        <v>0</v>
      </c>
      <c r="N707" s="19"/>
      <c r="O707" s="19"/>
      <c r="P707" s="19"/>
      <c r="Q707" s="19"/>
      <c r="R707" s="19"/>
      <c r="S707" s="19"/>
      <c r="T707" s="19"/>
      <c r="U707" s="19"/>
      <c r="V707" s="21"/>
    </row>
    <row r="708" spans="1:22" x14ac:dyDescent="0.3">
      <c r="A708" s="1">
        <v>46037.625</v>
      </c>
      <c r="B708" s="2">
        <v>15.3</v>
      </c>
      <c r="C708" s="1" t="str">
        <f t="shared" si="24"/>
        <v>0</v>
      </c>
      <c r="D708" s="1" t="str">
        <f t="shared" si="25"/>
        <v>0</v>
      </c>
      <c r="N708" s="19"/>
      <c r="O708" s="19"/>
      <c r="P708" s="19"/>
      <c r="Q708" s="19"/>
      <c r="R708" s="19"/>
      <c r="S708" s="19"/>
      <c r="T708" s="19"/>
      <c r="U708" s="19"/>
      <c r="V708" s="21"/>
    </row>
    <row r="709" spans="1:22" x14ac:dyDescent="0.3">
      <c r="A709" s="1">
        <v>46037.645833333336</v>
      </c>
      <c r="B709" s="2">
        <v>14.9</v>
      </c>
      <c r="C709" s="1" t="str">
        <f t="shared" si="24"/>
        <v>0</v>
      </c>
      <c r="D709" s="1" t="str">
        <f t="shared" si="25"/>
        <v>0</v>
      </c>
      <c r="N709" s="19"/>
      <c r="O709" s="19"/>
      <c r="P709" s="19"/>
      <c r="Q709" s="19"/>
      <c r="R709" s="19"/>
      <c r="S709" s="19"/>
      <c r="T709" s="19"/>
      <c r="U709" s="19"/>
      <c r="V709" s="21"/>
    </row>
    <row r="710" spans="1:22" x14ac:dyDescent="0.3">
      <c r="A710" s="1">
        <v>46037.666666666664</v>
      </c>
      <c r="B710" s="2">
        <v>14.8</v>
      </c>
      <c r="C710" s="1" t="str">
        <f t="shared" si="24"/>
        <v>0</v>
      </c>
      <c r="D710" s="1" t="str">
        <f t="shared" si="25"/>
        <v>0</v>
      </c>
      <c r="N710" s="19"/>
      <c r="O710" s="19"/>
      <c r="P710" s="19"/>
      <c r="Q710" s="19"/>
      <c r="R710" s="19"/>
      <c r="S710" s="19"/>
      <c r="T710" s="19"/>
      <c r="U710" s="19"/>
      <c r="V710" s="21"/>
    </row>
    <row r="711" spans="1:22" x14ac:dyDescent="0.3">
      <c r="A711" s="1">
        <v>46037.6875</v>
      </c>
      <c r="B711" s="2">
        <v>14.4</v>
      </c>
      <c r="C711" s="1" t="str">
        <f t="shared" si="24"/>
        <v>0</v>
      </c>
      <c r="D711" s="1" t="str">
        <f t="shared" si="25"/>
        <v>0</v>
      </c>
      <c r="N711" s="19"/>
      <c r="O711" s="19"/>
      <c r="P711" s="19"/>
      <c r="Q711" s="19"/>
      <c r="R711" s="19"/>
      <c r="S711" s="19"/>
      <c r="T711" s="19"/>
      <c r="U711" s="19"/>
      <c r="V711" s="21"/>
    </row>
    <row r="712" spans="1:22" x14ac:dyDescent="0.3">
      <c r="A712" s="1">
        <v>46037.708333333336</v>
      </c>
      <c r="B712" s="2">
        <v>14.3</v>
      </c>
      <c r="C712" s="1" t="str">
        <f t="shared" si="24"/>
        <v>0</v>
      </c>
      <c r="D712" s="1" t="str">
        <f t="shared" si="25"/>
        <v>0</v>
      </c>
      <c r="N712" s="19"/>
      <c r="O712" s="19"/>
      <c r="P712" s="19"/>
      <c r="Q712" s="19"/>
      <c r="R712" s="19"/>
      <c r="S712" s="19"/>
      <c r="T712" s="19"/>
      <c r="U712" s="19"/>
      <c r="V712" s="21"/>
    </row>
    <row r="713" spans="1:22" x14ac:dyDescent="0.3">
      <c r="A713" s="1">
        <v>46037.729166666664</v>
      </c>
      <c r="B713" s="2">
        <v>13.9</v>
      </c>
      <c r="C713" s="1" t="str">
        <f t="shared" si="24"/>
        <v>0</v>
      </c>
      <c r="D713" s="1" t="str">
        <f t="shared" si="25"/>
        <v>0</v>
      </c>
      <c r="N713" s="19"/>
      <c r="O713" s="19"/>
      <c r="P713" s="19"/>
      <c r="Q713" s="19"/>
      <c r="R713" s="19"/>
      <c r="S713" s="19"/>
      <c r="T713" s="19"/>
      <c r="U713" s="19"/>
      <c r="V713" s="21"/>
    </row>
    <row r="714" spans="1:22" x14ac:dyDescent="0.3">
      <c r="A714" s="1">
        <v>46037.75</v>
      </c>
      <c r="B714" s="2">
        <v>13.5</v>
      </c>
      <c r="C714" s="1" t="str">
        <f t="shared" si="24"/>
        <v>0</v>
      </c>
      <c r="D714" s="1" t="str">
        <f t="shared" si="25"/>
        <v>0</v>
      </c>
      <c r="N714" s="19"/>
      <c r="O714" s="19"/>
      <c r="P714" s="19"/>
      <c r="Q714" s="19"/>
      <c r="R714" s="19"/>
      <c r="S714" s="19"/>
      <c r="T714" s="19"/>
      <c r="U714" s="19"/>
      <c r="V714" s="21"/>
    </row>
    <row r="715" spans="1:22" x14ac:dyDescent="0.3">
      <c r="A715" s="1">
        <v>46037.770833333336</v>
      </c>
      <c r="B715" s="2">
        <v>13.3</v>
      </c>
      <c r="C715" s="1" t="str">
        <f t="shared" si="24"/>
        <v>0</v>
      </c>
      <c r="D715" s="1" t="str">
        <f t="shared" si="25"/>
        <v>0</v>
      </c>
      <c r="N715" s="19"/>
      <c r="O715" s="19"/>
      <c r="P715" s="19"/>
      <c r="Q715" s="19"/>
      <c r="R715" s="19"/>
      <c r="S715" s="19"/>
      <c r="T715" s="19"/>
      <c r="U715" s="19"/>
      <c r="V715" s="21"/>
    </row>
    <row r="716" spans="1:22" x14ac:dyDescent="0.3">
      <c r="A716" s="1">
        <v>46037.791666666664</v>
      </c>
      <c r="B716" s="2">
        <v>13</v>
      </c>
      <c r="C716" s="1" t="str">
        <f t="shared" si="24"/>
        <v>0</v>
      </c>
      <c r="D716" s="1" t="str">
        <f t="shared" si="25"/>
        <v>0</v>
      </c>
      <c r="N716" s="19"/>
      <c r="O716" s="19"/>
      <c r="P716" s="19"/>
      <c r="Q716" s="19"/>
      <c r="R716" s="19"/>
      <c r="S716" s="19"/>
      <c r="T716" s="19"/>
      <c r="U716" s="19"/>
      <c r="V716" s="21"/>
    </row>
    <row r="717" spans="1:22" x14ac:dyDescent="0.3">
      <c r="A717" s="1">
        <v>46037.8125</v>
      </c>
      <c r="B717" s="2">
        <v>12.7</v>
      </c>
      <c r="C717" s="1" t="str">
        <f t="shared" si="24"/>
        <v>0</v>
      </c>
      <c r="D717" s="1" t="str">
        <f t="shared" si="25"/>
        <v>0</v>
      </c>
      <c r="N717" s="19"/>
      <c r="O717" s="19"/>
      <c r="P717" s="19"/>
      <c r="Q717" s="19"/>
      <c r="R717" s="19"/>
      <c r="S717" s="19"/>
      <c r="T717" s="19"/>
      <c r="U717" s="19"/>
      <c r="V717" s="21"/>
    </row>
    <row r="718" spans="1:22" x14ac:dyDescent="0.3">
      <c r="A718" s="1">
        <v>46037.833333333336</v>
      </c>
      <c r="B718" s="2">
        <v>12.6</v>
      </c>
      <c r="C718" s="1" t="str">
        <f t="shared" si="24"/>
        <v>0</v>
      </c>
      <c r="D718" s="1" t="str">
        <f t="shared" si="25"/>
        <v>0</v>
      </c>
      <c r="N718" s="19"/>
      <c r="O718" s="19"/>
      <c r="P718" s="19"/>
      <c r="Q718" s="19"/>
      <c r="R718" s="19"/>
      <c r="S718" s="19"/>
      <c r="T718" s="19"/>
      <c r="U718" s="19"/>
      <c r="V718" s="21"/>
    </row>
    <row r="719" spans="1:22" x14ac:dyDescent="0.3">
      <c r="A719" s="1">
        <v>46037.854166666664</v>
      </c>
      <c r="B719" s="2">
        <v>12.4</v>
      </c>
      <c r="C719" s="1" t="str">
        <f t="shared" si="24"/>
        <v>0</v>
      </c>
      <c r="D719" s="1" t="str">
        <f t="shared" si="25"/>
        <v>0</v>
      </c>
      <c r="N719" s="19"/>
      <c r="O719" s="19"/>
      <c r="P719" s="19"/>
      <c r="Q719" s="19"/>
      <c r="R719" s="19"/>
      <c r="S719" s="19"/>
      <c r="T719" s="19"/>
      <c r="U719" s="19"/>
      <c r="V719" s="21"/>
    </row>
    <row r="720" spans="1:22" x14ac:dyDescent="0.3">
      <c r="A720" s="1">
        <v>46037.875</v>
      </c>
      <c r="B720" s="2">
        <v>11.9</v>
      </c>
      <c r="C720" s="1" t="str">
        <f t="shared" si="24"/>
        <v>0</v>
      </c>
      <c r="D720" s="1" t="str">
        <f t="shared" si="25"/>
        <v>0</v>
      </c>
      <c r="N720" s="19"/>
      <c r="O720" s="19"/>
      <c r="P720" s="19"/>
      <c r="Q720" s="19"/>
      <c r="R720" s="19"/>
      <c r="S720" s="19"/>
      <c r="T720" s="19"/>
      <c r="U720" s="19"/>
      <c r="V720" s="21"/>
    </row>
    <row r="721" spans="1:22" x14ac:dyDescent="0.3">
      <c r="A721" s="1">
        <v>46037.895833333336</v>
      </c>
      <c r="B721" s="2">
        <v>11.8</v>
      </c>
      <c r="C721" s="1" t="str">
        <f t="shared" si="24"/>
        <v>0</v>
      </c>
      <c r="D721" s="1" t="str">
        <f t="shared" si="25"/>
        <v>0</v>
      </c>
      <c r="N721" s="19"/>
      <c r="O721" s="19"/>
      <c r="P721" s="19"/>
      <c r="Q721" s="19"/>
      <c r="R721" s="19"/>
      <c r="S721" s="19"/>
      <c r="T721" s="19"/>
      <c r="U721" s="19"/>
      <c r="V721" s="21"/>
    </row>
    <row r="722" spans="1:22" x14ac:dyDescent="0.3">
      <c r="A722" s="1">
        <v>46037.916666666664</v>
      </c>
      <c r="B722" s="2">
        <v>11.4</v>
      </c>
      <c r="C722" s="1" t="str">
        <f t="shared" si="24"/>
        <v>0</v>
      </c>
      <c r="D722" s="1" t="str">
        <f t="shared" si="25"/>
        <v>0</v>
      </c>
      <c r="N722" s="19"/>
      <c r="O722" s="19"/>
      <c r="P722" s="19"/>
      <c r="Q722" s="19"/>
      <c r="R722" s="19"/>
      <c r="S722" s="19"/>
      <c r="T722" s="19"/>
      <c r="U722" s="19"/>
      <c r="V722" s="21"/>
    </row>
    <row r="723" spans="1:22" x14ac:dyDescent="0.3">
      <c r="A723" s="1">
        <v>46037.9375</v>
      </c>
      <c r="B723" s="2">
        <v>11.1</v>
      </c>
      <c r="C723" s="1" t="str">
        <f t="shared" si="24"/>
        <v>0</v>
      </c>
      <c r="D723" s="1" t="str">
        <f t="shared" si="25"/>
        <v>0</v>
      </c>
      <c r="N723" s="19"/>
      <c r="O723" s="19"/>
      <c r="P723" s="19"/>
      <c r="Q723" s="19"/>
      <c r="R723" s="19"/>
      <c r="S723" s="19"/>
      <c r="T723" s="19"/>
      <c r="U723" s="19"/>
      <c r="V723" s="21"/>
    </row>
    <row r="724" spans="1:22" x14ac:dyDescent="0.3">
      <c r="A724" s="1">
        <v>46037.958333333336</v>
      </c>
      <c r="B724" s="2">
        <v>10.6</v>
      </c>
      <c r="C724" s="1" t="str">
        <f t="shared" si="24"/>
        <v>0</v>
      </c>
      <c r="D724" s="1" t="str">
        <f t="shared" si="25"/>
        <v>0</v>
      </c>
      <c r="N724" s="19"/>
      <c r="O724" s="19"/>
      <c r="P724" s="19"/>
      <c r="Q724" s="19"/>
      <c r="R724" s="19"/>
      <c r="S724" s="19"/>
      <c r="T724" s="19"/>
      <c r="U724" s="19"/>
      <c r="V724" s="21"/>
    </row>
    <row r="725" spans="1:22" x14ac:dyDescent="0.3">
      <c r="A725" s="1">
        <v>46037.979166666664</v>
      </c>
      <c r="B725" s="2">
        <v>10</v>
      </c>
      <c r="C725" s="1" t="str">
        <f t="shared" si="24"/>
        <v>0</v>
      </c>
      <c r="D725" s="1" t="str">
        <f t="shared" si="25"/>
        <v>0</v>
      </c>
      <c r="N725" s="19"/>
      <c r="O725" s="19"/>
      <c r="P725" s="19"/>
      <c r="Q725" s="19"/>
      <c r="R725" s="19"/>
      <c r="S725" s="19"/>
      <c r="T725" s="19"/>
      <c r="U725" s="19"/>
      <c r="V725" s="21"/>
    </row>
    <row r="726" spans="1:22" x14ac:dyDescent="0.3">
      <c r="A726" s="1">
        <v>46038</v>
      </c>
      <c r="B726" s="2">
        <v>9.5</v>
      </c>
      <c r="C726" s="1" t="str">
        <f t="shared" si="24"/>
        <v>0</v>
      </c>
      <c r="D726" s="1" t="str">
        <f t="shared" si="25"/>
        <v>0</v>
      </c>
      <c r="N726" s="19"/>
      <c r="O726" s="19"/>
      <c r="P726" s="19"/>
      <c r="Q726" s="19"/>
      <c r="R726" s="19"/>
      <c r="S726" s="19"/>
      <c r="T726" s="19"/>
      <c r="U726" s="19"/>
      <c r="V726" s="21"/>
    </row>
    <row r="727" spans="1:22" x14ac:dyDescent="0.3">
      <c r="A727" s="1">
        <v>46038.020833333336</v>
      </c>
      <c r="B727" s="2">
        <v>9</v>
      </c>
      <c r="C727" s="1" t="str">
        <f t="shared" si="24"/>
        <v>0</v>
      </c>
      <c r="D727" s="1" t="str">
        <f t="shared" si="25"/>
        <v>0</v>
      </c>
      <c r="N727" s="19"/>
      <c r="O727" s="19"/>
      <c r="P727" s="19"/>
      <c r="Q727" s="19"/>
      <c r="R727" s="19"/>
      <c r="S727" s="19"/>
      <c r="T727" s="19"/>
      <c r="U727" s="19"/>
      <c r="V727" s="21"/>
    </row>
    <row r="728" spans="1:22" x14ac:dyDescent="0.3">
      <c r="A728" s="1">
        <v>46038.041666666664</v>
      </c>
      <c r="B728" s="2">
        <v>8.4</v>
      </c>
      <c r="C728" s="1" t="str">
        <f t="shared" si="24"/>
        <v>0</v>
      </c>
      <c r="D728" s="1" t="str">
        <f t="shared" si="25"/>
        <v>0</v>
      </c>
      <c r="N728" s="19"/>
      <c r="O728" s="19"/>
      <c r="P728" s="19"/>
      <c r="Q728" s="19"/>
      <c r="R728" s="19"/>
      <c r="S728" s="19"/>
      <c r="T728" s="19"/>
      <c r="U728" s="19"/>
      <c r="V728" s="21"/>
    </row>
    <row r="729" spans="1:22" x14ac:dyDescent="0.3">
      <c r="A729" s="1">
        <v>46038.0625</v>
      </c>
      <c r="B729" s="2">
        <v>8.1</v>
      </c>
      <c r="C729" s="1" t="str">
        <f t="shared" si="24"/>
        <v>0</v>
      </c>
      <c r="D729" s="1" t="str">
        <f t="shared" si="25"/>
        <v>0</v>
      </c>
      <c r="N729" s="19"/>
      <c r="O729" s="19"/>
      <c r="P729" s="19"/>
      <c r="Q729" s="19"/>
      <c r="R729" s="19"/>
      <c r="S729" s="19"/>
      <c r="T729" s="19"/>
      <c r="U729" s="19"/>
      <c r="V729" s="21"/>
    </row>
    <row r="730" spans="1:22" x14ac:dyDescent="0.3">
      <c r="A730" s="1">
        <v>46038.083333333336</v>
      </c>
      <c r="B730" s="2">
        <v>8.5</v>
      </c>
      <c r="C730" s="1" t="str">
        <f t="shared" si="24"/>
        <v>0</v>
      </c>
      <c r="D730" s="1" t="str">
        <f t="shared" si="25"/>
        <v>0</v>
      </c>
      <c r="N730" s="19"/>
      <c r="O730" s="19"/>
      <c r="P730" s="19"/>
      <c r="Q730" s="19"/>
      <c r="R730" s="19"/>
      <c r="S730" s="19"/>
      <c r="T730" s="19"/>
      <c r="U730" s="19"/>
      <c r="V730" s="21"/>
    </row>
    <row r="731" spans="1:22" x14ac:dyDescent="0.3">
      <c r="A731" s="1">
        <v>46038.104166666664</v>
      </c>
      <c r="B731" s="2">
        <v>8.3000000000000007</v>
      </c>
      <c r="C731" s="1" t="str">
        <f t="shared" si="24"/>
        <v>0</v>
      </c>
      <c r="D731" s="1" t="str">
        <f t="shared" si="25"/>
        <v>0</v>
      </c>
      <c r="N731" s="19"/>
      <c r="O731" s="19"/>
      <c r="P731" s="19"/>
      <c r="Q731" s="19"/>
      <c r="R731" s="19"/>
      <c r="S731" s="19"/>
      <c r="T731" s="19"/>
      <c r="U731" s="19"/>
      <c r="V731" s="21"/>
    </row>
    <row r="732" spans="1:22" x14ac:dyDescent="0.3">
      <c r="A732" s="1">
        <v>46038.125</v>
      </c>
      <c r="B732" s="2">
        <v>8.1999999999999993</v>
      </c>
      <c r="C732" s="1" t="str">
        <f t="shared" si="24"/>
        <v>0</v>
      </c>
      <c r="D732" s="1" t="str">
        <f t="shared" si="25"/>
        <v>0</v>
      </c>
      <c r="N732" s="19"/>
      <c r="O732" s="19"/>
      <c r="P732" s="19"/>
      <c r="Q732" s="19"/>
      <c r="R732" s="19"/>
      <c r="S732" s="19"/>
      <c r="T732" s="19"/>
      <c r="U732" s="19"/>
      <c r="V732" s="21"/>
    </row>
    <row r="733" spans="1:22" x14ac:dyDescent="0.3">
      <c r="A733" s="1">
        <v>46038.145833333336</v>
      </c>
      <c r="B733" s="2">
        <v>8.1999999999999993</v>
      </c>
      <c r="C733" s="1" t="str">
        <f t="shared" si="24"/>
        <v>0</v>
      </c>
      <c r="D733" s="1" t="str">
        <f t="shared" si="25"/>
        <v>0</v>
      </c>
      <c r="N733" s="19"/>
      <c r="O733" s="19"/>
      <c r="P733" s="19"/>
      <c r="Q733" s="19"/>
      <c r="R733" s="19"/>
      <c r="S733" s="19"/>
      <c r="T733" s="19"/>
      <c r="U733" s="19"/>
      <c r="V733" s="21"/>
    </row>
    <row r="734" spans="1:22" x14ac:dyDescent="0.3">
      <c r="A734" s="1">
        <v>46038.166666666664</v>
      </c>
      <c r="B734" s="2">
        <v>8</v>
      </c>
      <c r="C734" s="1" t="str">
        <f t="shared" si="24"/>
        <v>0</v>
      </c>
      <c r="D734" s="1" t="str">
        <f t="shared" si="25"/>
        <v>0</v>
      </c>
      <c r="N734" s="19"/>
      <c r="O734" s="19"/>
      <c r="P734" s="19"/>
      <c r="Q734" s="19"/>
      <c r="R734" s="19"/>
      <c r="S734" s="19"/>
      <c r="T734" s="19"/>
      <c r="U734" s="19"/>
      <c r="V734" s="21"/>
    </row>
    <row r="735" spans="1:22" x14ac:dyDescent="0.3">
      <c r="A735" s="1">
        <v>46038.1875</v>
      </c>
      <c r="B735" s="2">
        <v>8.3000000000000007</v>
      </c>
      <c r="C735" s="1" t="str">
        <f t="shared" si="24"/>
        <v>0</v>
      </c>
      <c r="D735" s="1" t="str">
        <f t="shared" si="25"/>
        <v>0</v>
      </c>
      <c r="N735" s="19"/>
      <c r="O735" s="19"/>
      <c r="P735" s="19"/>
      <c r="Q735" s="19"/>
      <c r="R735" s="19"/>
      <c r="S735" s="19"/>
      <c r="T735" s="19"/>
      <c r="U735" s="19"/>
      <c r="V735" s="21"/>
    </row>
    <row r="736" spans="1:22" x14ac:dyDescent="0.3">
      <c r="A736" s="1">
        <v>46038.208333333336</v>
      </c>
      <c r="B736" s="2">
        <v>7.9</v>
      </c>
      <c r="C736" s="1" t="str">
        <f t="shared" si="24"/>
        <v>0</v>
      </c>
      <c r="D736" s="1" t="str">
        <f t="shared" si="25"/>
        <v>0</v>
      </c>
      <c r="N736" s="19"/>
      <c r="O736" s="19"/>
      <c r="P736" s="19"/>
      <c r="Q736" s="19"/>
      <c r="R736" s="19"/>
      <c r="S736" s="19"/>
      <c r="T736" s="19"/>
      <c r="U736" s="19"/>
      <c r="V736" s="21"/>
    </row>
    <row r="737" spans="1:22" x14ac:dyDescent="0.3">
      <c r="A737" s="1">
        <v>46038.229166666664</v>
      </c>
      <c r="B737" s="2">
        <v>7.6</v>
      </c>
      <c r="C737" s="1" t="str">
        <f t="shared" si="24"/>
        <v>0</v>
      </c>
      <c r="D737" s="1" t="str">
        <f t="shared" si="25"/>
        <v>0</v>
      </c>
      <c r="N737" s="19"/>
      <c r="O737" s="19"/>
      <c r="P737" s="19"/>
      <c r="Q737" s="19"/>
      <c r="R737" s="19"/>
      <c r="S737" s="19"/>
      <c r="T737" s="19"/>
      <c r="U737" s="19"/>
      <c r="V737" s="21"/>
    </row>
    <row r="738" spans="1:22" x14ac:dyDescent="0.3">
      <c r="A738" s="1">
        <v>46038.25</v>
      </c>
      <c r="B738" s="2">
        <v>7.4</v>
      </c>
      <c r="C738" s="1" t="str">
        <f t="shared" si="24"/>
        <v>0</v>
      </c>
      <c r="D738" s="1" t="str">
        <f t="shared" si="25"/>
        <v>0</v>
      </c>
      <c r="N738" s="19"/>
      <c r="O738" s="19"/>
      <c r="P738" s="19"/>
      <c r="Q738" s="19"/>
      <c r="R738" s="19"/>
      <c r="S738" s="19"/>
      <c r="T738" s="19"/>
      <c r="U738" s="19"/>
      <c r="V738" s="21"/>
    </row>
    <row r="739" spans="1:22" x14ac:dyDescent="0.3">
      <c r="A739" s="1">
        <v>46038.270833333336</v>
      </c>
      <c r="B739" s="2">
        <v>7</v>
      </c>
      <c r="C739" s="1" t="str">
        <f t="shared" si="24"/>
        <v>0</v>
      </c>
      <c r="D739" s="1" t="str">
        <f t="shared" si="25"/>
        <v>0</v>
      </c>
      <c r="N739" s="19"/>
      <c r="O739" s="19"/>
      <c r="P739" s="19"/>
      <c r="Q739" s="19"/>
      <c r="R739" s="19"/>
      <c r="S739" s="19"/>
      <c r="T739" s="19"/>
      <c r="U739" s="19"/>
      <c r="V739" s="21"/>
    </row>
    <row r="740" spans="1:22" x14ac:dyDescent="0.3">
      <c r="A740" s="1">
        <v>46038.291666666664</v>
      </c>
      <c r="B740" s="2">
        <v>6.9</v>
      </c>
      <c r="C740" s="1" t="str">
        <f t="shared" si="24"/>
        <v>0</v>
      </c>
      <c r="D740" s="1" t="str">
        <f t="shared" si="25"/>
        <v>0</v>
      </c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x14ac:dyDescent="0.3">
      <c r="A741" s="1">
        <v>46038.3125</v>
      </c>
      <c r="B741" s="2">
        <v>6.7</v>
      </c>
      <c r="C741" s="1" t="str">
        <f t="shared" si="24"/>
        <v>0</v>
      </c>
      <c r="D741" s="1" t="str">
        <f t="shared" si="25"/>
        <v>0</v>
      </c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x14ac:dyDescent="0.3">
      <c r="A742" s="1">
        <v>46038.333333333336</v>
      </c>
      <c r="B742" s="2">
        <v>7.1</v>
      </c>
      <c r="C742" s="1" t="str">
        <f t="shared" si="24"/>
        <v>0</v>
      </c>
      <c r="D742" s="1" t="str">
        <f t="shared" si="25"/>
        <v>0</v>
      </c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x14ac:dyDescent="0.3">
      <c r="A743" s="1">
        <v>46038.354166666664</v>
      </c>
      <c r="B743" s="2">
        <v>7.6</v>
      </c>
      <c r="C743" s="1" t="str">
        <f t="shared" si="24"/>
        <v>0</v>
      </c>
      <c r="D743" s="1" t="str">
        <f t="shared" si="25"/>
        <v>0</v>
      </c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x14ac:dyDescent="0.3">
      <c r="A744" s="1">
        <v>46038.375</v>
      </c>
      <c r="B744" s="2">
        <v>8.3000000000000007</v>
      </c>
      <c r="C744" s="1" t="str">
        <f t="shared" si="24"/>
        <v>0</v>
      </c>
      <c r="D744" s="1" t="str">
        <f t="shared" si="25"/>
        <v>0</v>
      </c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x14ac:dyDescent="0.3">
      <c r="A745" s="1">
        <v>46038.395833333336</v>
      </c>
      <c r="B745" s="2">
        <v>9</v>
      </c>
      <c r="C745" s="1" t="str">
        <f t="shared" si="24"/>
        <v>0</v>
      </c>
      <c r="D745" s="1" t="str">
        <f t="shared" si="25"/>
        <v>0</v>
      </c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x14ac:dyDescent="0.3">
      <c r="A746" s="1">
        <v>46038.416666666664</v>
      </c>
      <c r="B746" s="2">
        <v>9.5</v>
      </c>
      <c r="C746" s="1" t="str">
        <f t="shared" si="24"/>
        <v>0</v>
      </c>
      <c r="D746" s="1" t="str">
        <f t="shared" si="25"/>
        <v>0</v>
      </c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x14ac:dyDescent="0.3">
      <c r="A747" s="1">
        <v>46038.4375</v>
      </c>
      <c r="B747" s="2">
        <v>10</v>
      </c>
      <c r="C747" s="1" t="str">
        <f t="shared" si="24"/>
        <v>0</v>
      </c>
      <c r="D747" s="1" t="str">
        <f t="shared" si="25"/>
        <v>0</v>
      </c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x14ac:dyDescent="0.3">
      <c r="A748" s="1">
        <v>46038.458333333336</v>
      </c>
      <c r="B748" s="2">
        <v>10.7</v>
      </c>
      <c r="C748" s="1" t="str">
        <f t="shared" si="24"/>
        <v>0</v>
      </c>
      <c r="D748" s="1" t="str">
        <f t="shared" si="25"/>
        <v>0</v>
      </c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x14ac:dyDescent="0.3">
      <c r="A749" s="1">
        <v>46038.479166666664</v>
      </c>
      <c r="B749" s="2">
        <v>11.4</v>
      </c>
      <c r="C749" s="1" t="str">
        <f t="shared" si="24"/>
        <v>0</v>
      </c>
      <c r="D749" s="1" t="str">
        <f t="shared" si="25"/>
        <v>0</v>
      </c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x14ac:dyDescent="0.3">
      <c r="A750" s="1">
        <v>46038.5</v>
      </c>
      <c r="B750" s="2">
        <v>11.8</v>
      </c>
      <c r="C750" s="1" t="str">
        <f t="shared" si="24"/>
        <v>0</v>
      </c>
      <c r="D750" s="1" t="str">
        <f t="shared" si="25"/>
        <v>0</v>
      </c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x14ac:dyDescent="0.3">
      <c r="A751" s="1">
        <v>46038.520833333336</v>
      </c>
      <c r="B751" s="2">
        <v>12.8</v>
      </c>
      <c r="C751" s="1" t="str">
        <f t="shared" si="24"/>
        <v>0</v>
      </c>
      <c r="D751" s="1" t="str">
        <f t="shared" si="25"/>
        <v>0</v>
      </c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x14ac:dyDescent="0.3">
      <c r="A752" s="1">
        <v>46038.541666666664</v>
      </c>
      <c r="B752" s="2">
        <v>13.2</v>
      </c>
      <c r="C752" s="1" t="str">
        <f t="shared" si="24"/>
        <v>0</v>
      </c>
      <c r="D752" s="1" t="str">
        <f t="shared" si="25"/>
        <v>0</v>
      </c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x14ac:dyDescent="0.3">
      <c r="A753" s="1">
        <v>46038.5625</v>
      </c>
      <c r="B753" s="2">
        <v>13.3</v>
      </c>
      <c r="C753" s="1" t="str">
        <f t="shared" si="24"/>
        <v>0</v>
      </c>
      <c r="D753" s="1" t="str">
        <f t="shared" si="25"/>
        <v>0</v>
      </c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x14ac:dyDescent="0.3">
      <c r="A754" s="1">
        <v>46038.583333333336</v>
      </c>
      <c r="B754" s="2">
        <v>13.3</v>
      </c>
      <c r="C754" s="1" t="str">
        <f t="shared" si="24"/>
        <v>0</v>
      </c>
      <c r="D754" s="1" t="str">
        <f t="shared" si="25"/>
        <v>0</v>
      </c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x14ac:dyDescent="0.3">
      <c r="A755" s="1">
        <v>46038.604166666664</v>
      </c>
      <c r="B755" s="2">
        <v>13.5</v>
      </c>
      <c r="C755" s="1" t="str">
        <f t="shared" si="24"/>
        <v>0</v>
      </c>
      <c r="D755" s="1" t="str">
        <f t="shared" si="25"/>
        <v>0</v>
      </c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x14ac:dyDescent="0.3">
      <c r="A756" s="1">
        <v>46038.625</v>
      </c>
      <c r="B756" s="2">
        <v>13.4</v>
      </c>
      <c r="C756" s="1" t="str">
        <f t="shared" si="24"/>
        <v>0</v>
      </c>
      <c r="D756" s="1" t="str">
        <f t="shared" si="25"/>
        <v>0</v>
      </c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x14ac:dyDescent="0.3">
      <c r="A757" s="1">
        <v>46038.645833333336</v>
      </c>
      <c r="B757" s="2">
        <v>13.3</v>
      </c>
      <c r="C757" s="1" t="str">
        <f t="shared" si="24"/>
        <v>0</v>
      </c>
      <c r="D757" s="1" t="str">
        <f t="shared" si="25"/>
        <v>0</v>
      </c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x14ac:dyDescent="0.3">
      <c r="A758" s="1">
        <v>46038.666666666664</v>
      </c>
      <c r="B758" s="2">
        <v>13.1</v>
      </c>
      <c r="C758" s="1" t="str">
        <f t="shared" si="24"/>
        <v>0</v>
      </c>
      <c r="D758" s="1" t="str">
        <f t="shared" si="25"/>
        <v>0</v>
      </c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x14ac:dyDescent="0.3">
      <c r="A759" s="1">
        <v>46038.6875</v>
      </c>
      <c r="B759" s="2">
        <v>12.7</v>
      </c>
      <c r="C759" s="1" t="str">
        <f t="shared" si="24"/>
        <v>0</v>
      </c>
      <c r="D759" s="1" t="str">
        <f t="shared" si="25"/>
        <v>0</v>
      </c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x14ac:dyDescent="0.3">
      <c r="A760" s="1">
        <v>46038.708333333336</v>
      </c>
      <c r="B760" s="2">
        <v>12.5</v>
      </c>
      <c r="C760" s="1" t="str">
        <f t="shared" si="24"/>
        <v>0</v>
      </c>
      <c r="D760" s="1" t="str">
        <f t="shared" si="25"/>
        <v>0</v>
      </c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x14ac:dyDescent="0.3">
      <c r="A761" s="1">
        <v>46038.729166666664</v>
      </c>
      <c r="B761" s="2">
        <v>12.4</v>
      </c>
      <c r="C761" s="1" t="str">
        <f t="shared" si="24"/>
        <v>0</v>
      </c>
      <c r="D761" s="1" t="str">
        <f t="shared" si="25"/>
        <v>0</v>
      </c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x14ac:dyDescent="0.3">
      <c r="A762" s="1">
        <v>46038.75</v>
      </c>
      <c r="B762" s="2">
        <v>12.1</v>
      </c>
      <c r="C762" s="1" t="str">
        <f t="shared" si="24"/>
        <v>0</v>
      </c>
      <c r="D762" s="1" t="str">
        <f t="shared" si="25"/>
        <v>0</v>
      </c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x14ac:dyDescent="0.3">
      <c r="A763" s="1">
        <v>46038.770833333336</v>
      </c>
      <c r="B763" s="2">
        <v>11.8</v>
      </c>
      <c r="C763" s="1" t="str">
        <f t="shared" si="24"/>
        <v>0</v>
      </c>
      <c r="D763" s="1" t="str">
        <f t="shared" si="25"/>
        <v>0</v>
      </c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x14ac:dyDescent="0.3">
      <c r="A764" s="1">
        <v>46038.791666666664</v>
      </c>
      <c r="B764" s="2">
        <v>11.4</v>
      </c>
      <c r="C764" s="1" t="str">
        <f t="shared" si="24"/>
        <v>0</v>
      </c>
      <c r="D764" s="1" t="str">
        <f t="shared" si="25"/>
        <v>0</v>
      </c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x14ac:dyDescent="0.3">
      <c r="A765" s="1">
        <v>46038.8125</v>
      </c>
      <c r="B765" s="2">
        <v>10.9</v>
      </c>
      <c r="C765" s="1" t="str">
        <f t="shared" si="24"/>
        <v>0</v>
      </c>
      <c r="D765" s="1" t="str">
        <f t="shared" si="25"/>
        <v>0</v>
      </c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x14ac:dyDescent="0.3">
      <c r="A766" s="1">
        <v>46038.833333333336</v>
      </c>
      <c r="B766" s="2">
        <v>10.1</v>
      </c>
      <c r="C766" s="1" t="str">
        <f t="shared" si="24"/>
        <v>0</v>
      </c>
      <c r="D766" s="1" t="str">
        <f t="shared" si="25"/>
        <v>0</v>
      </c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x14ac:dyDescent="0.3">
      <c r="A767" s="1">
        <v>46038.854166666664</v>
      </c>
      <c r="B767" s="2">
        <v>9.6999999999999993</v>
      </c>
      <c r="C767" s="1" t="str">
        <f t="shared" si="24"/>
        <v>0</v>
      </c>
      <c r="D767" s="1" t="str">
        <f t="shared" si="25"/>
        <v>0</v>
      </c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x14ac:dyDescent="0.3">
      <c r="A768" s="1">
        <v>46038.875</v>
      </c>
      <c r="B768" s="2">
        <v>8.8000000000000007</v>
      </c>
      <c r="C768" s="1" t="str">
        <f t="shared" si="24"/>
        <v>0</v>
      </c>
      <c r="D768" s="1" t="str">
        <f t="shared" si="25"/>
        <v>0</v>
      </c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x14ac:dyDescent="0.3">
      <c r="A769" s="1">
        <v>46038.895833333336</v>
      </c>
      <c r="B769" s="2">
        <v>8.4</v>
      </c>
      <c r="C769" s="1" t="str">
        <f t="shared" si="24"/>
        <v>0</v>
      </c>
      <c r="D769" s="1" t="str">
        <f t="shared" si="25"/>
        <v>0</v>
      </c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x14ac:dyDescent="0.3">
      <c r="A770" s="1">
        <v>46038.916666666664</v>
      </c>
      <c r="B770" s="2">
        <v>8.6</v>
      </c>
      <c r="C770" s="1" t="str">
        <f t="shared" si="24"/>
        <v>0</v>
      </c>
      <c r="D770" s="1" t="str">
        <f t="shared" si="25"/>
        <v>0</v>
      </c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x14ac:dyDescent="0.3">
      <c r="A771" s="1">
        <v>46038.9375</v>
      </c>
      <c r="B771" s="2">
        <v>8.6999999999999993</v>
      </c>
      <c r="C771" s="1" t="str">
        <f t="shared" ref="C771:C834" si="26">IF(B771=$P$13,A771,"0")</f>
        <v>0</v>
      </c>
      <c r="D771" s="1" t="str">
        <f t="shared" ref="D771:D834" si="27">IF(B771=$M$13,A771,"0")</f>
        <v>0</v>
      </c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x14ac:dyDescent="0.3">
      <c r="A772" s="1">
        <v>46038.958333333336</v>
      </c>
      <c r="B772" s="2">
        <v>8.8000000000000007</v>
      </c>
      <c r="C772" s="1" t="str">
        <f t="shared" si="26"/>
        <v>0</v>
      </c>
      <c r="D772" s="1" t="str">
        <f t="shared" si="27"/>
        <v>0</v>
      </c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x14ac:dyDescent="0.3">
      <c r="A773" s="1">
        <v>46038.979166666664</v>
      </c>
      <c r="B773" s="2">
        <v>8.4</v>
      </c>
      <c r="C773" s="1" t="str">
        <f t="shared" si="26"/>
        <v>0</v>
      </c>
      <c r="D773" s="1" t="str">
        <f t="shared" si="27"/>
        <v>0</v>
      </c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x14ac:dyDescent="0.3">
      <c r="A774" s="1">
        <v>46039</v>
      </c>
      <c r="B774" s="2">
        <v>8.1</v>
      </c>
      <c r="C774" s="1" t="str">
        <f t="shared" si="26"/>
        <v>0</v>
      </c>
      <c r="D774" s="1" t="str">
        <f t="shared" si="27"/>
        <v>0</v>
      </c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x14ac:dyDescent="0.3">
      <c r="A775" s="1">
        <v>46039.020833333336</v>
      </c>
      <c r="B775" s="2">
        <v>7.5</v>
      </c>
      <c r="C775" s="1" t="str">
        <f t="shared" si="26"/>
        <v>0</v>
      </c>
      <c r="D775" s="1" t="str">
        <f t="shared" si="27"/>
        <v>0</v>
      </c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x14ac:dyDescent="0.3">
      <c r="A776" s="1">
        <v>46039.041666666664</v>
      </c>
      <c r="B776" s="2">
        <v>7.2</v>
      </c>
      <c r="C776" s="1" t="str">
        <f t="shared" si="26"/>
        <v>0</v>
      </c>
      <c r="D776" s="1" t="str">
        <f t="shared" si="27"/>
        <v>0</v>
      </c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x14ac:dyDescent="0.3">
      <c r="A777" s="1">
        <v>46039.0625</v>
      </c>
      <c r="B777" s="2">
        <v>6.9</v>
      </c>
      <c r="C777" s="1" t="str">
        <f t="shared" si="26"/>
        <v>0</v>
      </c>
      <c r="D777" s="1" t="str">
        <f t="shared" si="27"/>
        <v>0</v>
      </c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x14ac:dyDescent="0.3">
      <c r="A778" s="1">
        <v>46039.083333333336</v>
      </c>
      <c r="B778" s="2">
        <v>6.9</v>
      </c>
      <c r="C778" s="1" t="str">
        <f t="shared" si="26"/>
        <v>0</v>
      </c>
      <c r="D778" s="1" t="str">
        <f t="shared" si="27"/>
        <v>0</v>
      </c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x14ac:dyDescent="0.3">
      <c r="A779" s="1">
        <v>46039.104166666664</v>
      </c>
      <c r="B779" s="2">
        <v>6.6</v>
      </c>
      <c r="C779" s="1" t="str">
        <f t="shared" si="26"/>
        <v>0</v>
      </c>
      <c r="D779" s="1" t="str">
        <f t="shared" si="27"/>
        <v>0</v>
      </c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x14ac:dyDescent="0.3">
      <c r="A780" s="1">
        <v>46039.125</v>
      </c>
      <c r="B780" s="2">
        <v>6.4</v>
      </c>
      <c r="C780" s="1" t="str">
        <f t="shared" si="26"/>
        <v>0</v>
      </c>
      <c r="D780" s="1" t="str">
        <f t="shared" si="27"/>
        <v>0</v>
      </c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x14ac:dyDescent="0.3">
      <c r="A781" s="1">
        <v>46039.145833333336</v>
      </c>
      <c r="B781" s="2">
        <v>6.3</v>
      </c>
      <c r="C781" s="1" t="str">
        <f t="shared" si="26"/>
        <v>0</v>
      </c>
      <c r="D781" s="1" t="str">
        <f t="shared" si="27"/>
        <v>0</v>
      </c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x14ac:dyDescent="0.3">
      <c r="A782" s="1">
        <v>46039.166666666664</v>
      </c>
      <c r="B782" s="2">
        <v>6.3</v>
      </c>
      <c r="C782" s="1" t="str">
        <f t="shared" si="26"/>
        <v>0</v>
      </c>
      <c r="D782" s="1" t="str">
        <f t="shared" si="27"/>
        <v>0</v>
      </c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x14ac:dyDescent="0.3">
      <c r="A783" s="1">
        <v>46039.1875</v>
      </c>
      <c r="B783" s="2">
        <v>6.2</v>
      </c>
      <c r="C783" s="1" t="str">
        <f t="shared" si="26"/>
        <v>0</v>
      </c>
      <c r="D783" s="1" t="str">
        <f t="shared" si="27"/>
        <v>0</v>
      </c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x14ac:dyDescent="0.3">
      <c r="A784" s="1">
        <v>46039.208333333336</v>
      </c>
      <c r="B784" s="2">
        <v>6.1</v>
      </c>
      <c r="C784" s="1" t="str">
        <f t="shared" si="26"/>
        <v>0</v>
      </c>
      <c r="D784" s="1" t="str">
        <f t="shared" si="27"/>
        <v>0</v>
      </c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x14ac:dyDescent="0.3">
      <c r="A785" s="1">
        <v>46039.229166666664</v>
      </c>
      <c r="B785" s="2">
        <v>6</v>
      </c>
      <c r="C785" s="1" t="str">
        <f t="shared" si="26"/>
        <v>0</v>
      </c>
      <c r="D785" s="1" t="str">
        <f t="shared" si="27"/>
        <v>0</v>
      </c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x14ac:dyDescent="0.3">
      <c r="A786" s="1">
        <v>46039.25</v>
      </c>
      <c r="B786" s="2">
        <v>6.5</v>
      </c>
      <c r="C786" s="1" t="str">
        <f t="shared" si="26"/>
        <v>0</v>
      </c>
      <c r="D786" s="1" t="str">
        <f t="shared" si="27"/>
        <v>0</v>
      </c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x14ac:dyDescent="0.3">
      <c r="A787" s="1">
        <v>46039.270833333336</v>
      </c>
      <c r="B787" s="2">
        <v>6</v>
      </c>
      <c r="C787" s="1" t="str">
        <f t="shared" si="26"/>
        <v>0</v>
      </c>
      <c r="D787" s="1" t="str">
        <f t="shared" si="27"/>
        <v>0</v>
      </c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x14ac:dyDescent="0.3">
      <c r="A788" s="1">
        <v>46039.291666666664</v>
      </c>
      <c r="B788" s="2">
        <v>5.7</v>
      </c>
      <c r="C788" s="1" t="str">
        <f t="shared" si="26"/>
        <v>0</v>
      </c>
      <c r="D788" s="1" t="str">
        <f t="shared" si="27"/>
        <v>0</v>
      </c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x14ac:dyDescent="0.3">
      <c r="A789" s="1">
        <v>46039.3125</v>
      </c>
      <c r="B789" s="2">
        <v>6</v>
      </c>
      <c r="C789" s="1" t="str">
        <f t="shared" si="26"/>
        <v>0</v>
      </c>
      <c r="D789" s="1" t="str">
        <f t="shared" si="27"/>
        <v>0</v>
      </c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x14ac:dyDescent="0.3">
      <c r="A790" s="1">
        <v>46039.333333333336</v>
      </c>
      <c r="B790" s="2">
        <v>6.8</v>
      </c>
      <c r="C790" s="1" t="str">
        <f t="shared" si="26"/>
        <v>0</v>
      </c>
      <c r="D790" s="1" t="str">
        <f t="shared" si="27"/>
        <v>0</v>
      </c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x14ac:dyDescent="0.3">
      <c r="A791" s="1">
        <v>46039.354166666664</v>
      </c>
      <c r="B791" s="2">
        <v>7.6</v>
      </c>
      <c r="C791" s="1" t="str">
        <f t="shared" si="26"/>
        <v>0</v>
      </c>
      <c r="D791" s="1" t="str">
        <f t="shared" si="27"/>
        <v>0</v>
      </c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x14ac:dyDescent="0.3">
      <c r="A792" s="1">
        <v>46039.375</v>
      </c>
      <c r="B792" s="2">
        <v>8.6999999999999993</v>
      </c>
      <c r="C792" s="1" t="str">
        <f t="shared" si="26"/>
        <v>0</v>
      </c>
      <c r="D792" s="1" t="str">
        <f t="shared" si="27"/>
        <v>0</v>
      </c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x14ac:dyDescent="0.3">
      <c r="A793" s="1">
        <v>46039.395833333336</v>
      </c>
      <c r="B793" s="2">
        <v>10.199999999999999</v>
      </c>
      <c r="C793" s="1" t="str">
        <f t="shared" si="26"/>
        <v>0</v>
      </c>
      <c r="D793" s="1" t="str">
        <f t="shared" si="27"/>
        <v>0</v>
      </c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x14ac:dyDescent="0.3">
      <c r="A794" s="1">
        <v>46039.416666666664</v>
      </c>
      <c r="B794" s="2">
        <v>11.5</v>
      </c>
      <c r="C794" s="1" t="str">
        <f t="shared" si="26"/>
        <v>0</v>
      </c>
      <c r="D794" s="1" t="str">
        <f t="shared" si="27"/>
        <v>0</v>
      </c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x14ac:dyDescent="0.3">
      <c r="A795" s="1">
        <v>46039.4375</v>
      </c>
      <c r="B795" s="2">
        <v>12.7</v>
      </c>
      <c r="C795" s="1" t="str">
        <f t="shared" si="26"/>
        <v>0</v>
      </c>
      <c r="D795" s="1" t="str">
        <f t="shared" si="27"/>
        <v>0</v>
      </c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x14ac:dyDescent="0.3">
      <c r="A796" s="1">
        <v>46039.458333333336</v>
      </c>
      <c r="B796" s="2">
        <v>13.5</v>
      </c>
      <c r="C796" s="1" t="str">
        <f t="shared" si="26"/>
        <v>0</v>
      </c>
      <c r="D796" s="1" t="str">
        <f t="shared" si="27"/>
        <v>0</v>
      </c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x14ac:dyDescent="0.3">
      <c r="A797" s="1">
        <v>46039.479166666664</v>
      </c>
      <c r="B797" s="2">
        <v>14.3</v>
      </c>
      <c r="C797" s="1" t="str">
        <f t="shared" si="26"/>
        <v>0</v>
      </c>
      <c r="D797" s="1" t="str">
        <f t="shared" si="27"/>
        <v>0</v>
      </c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x14ac:dyDescent="0.3">
      <c r="A798" s="1">
        <v>46039.5</v>
      </c>
      <c r="B798" s="2">
        <v>14.3</v>
      </c>
      <c r="C798" s="1" t="str">
        <f t="shared" si="26"/>
        <v>0</v>
      </c>
      <c r="D798" s="1" t="str">
        <f t="shared" si="27"/>
        <v>0</v>
      </c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x14ac:dyDescent="0.3">
      <c r="A799" s="1">
        <v>46039.520833333336</v>
      </c>
      <c r="B799" s="2">
        <v>14.8</v>
      </c>
      <c r="C799" s="1" t="str">
        <f t="shared" si="26"/>
        <v>0</v>
      </c>
      <c r="D799" s="1" t="str">
        <f t="shared" si="27"/>
        <v>0</v>
      </c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x14ac:dyDescent="0.3">
      <c r="A800" s="1">
        <v>46039.541666666664</v>
      </c>
      <c r="B800" s="2">
        <v>15.2</v>
      </c>
      <c r="C800" s="1" t="str">
        <f t="shared" si="26"/>
        <v>0</v>
      </c>
      <c r="D800" s="1" t="str">
        <f t="shared" si="27"/>
        <v>0</v>
      </c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x14ac:dyDescent="0.3">
      <c r="A801" s="1">
        <v>46039.5625</v>
      </c>
      <c r="B801" s="2">
        <v>15.6</v>
      </c>
      <c r="C801" s="1" t="str">
        <f t="shared" si="26"/>
        <v>0</v>
      </c>
      <c r="D801" s="1" t="str">
        <f t="shared" si="27"/>
        <v>0</v>
      </c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x14ac:dyDescent="0.3">
      <c r="A802" s="1">
        <v>46039.583333333336</v>
      </c>
      <c r="B802" s="2">
        <v>15.7</v>
      </c>
      <c r="C802" s="1" t="str">
        <f t="shared" si="26"/>
        <v>0</v>
      </c>
      <c r="D802" s="1" t="str">
        <f t="shared" si="27"/>
        <v>0</v>
      </c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x14ac:dyDescent="0.3">
      <c r="A803" s="1">
        <v>46039.604166666664</v>
      </c>
      <c r="B803" s="2">
        <v>15.8</v>
      </c>
      <c r="C803" s="1" t="str">
        <f t="shared" si="26"/>
        <v>0</v>
      </c>
      <c r="D803" s="1" t="str">
        <f t="shared" si="27"/>
        <v>0</v>
      </c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x14ac:dyDescent="0.3">
      <c r="A804" s="1">
        <v>46039.625</v>
      </c>
      <c r="B804" s="2">
        <v>15.6</v>
      </c>
      <c r="C804" s="1" t="str">
        <f t="shared" si="26"/>
        <v>0</v>
      </c>
      <c r="D804" s="1" t="str">
        <f t="shared" si="27"/>
        <v>0</v>
      </c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x14ac:dyDescent="0.3">
      <c r="A805" s="1">
        <v>46039.645833333336</v>
      </c>
      <c r="B805" s="2">
        <v>15.2</v>
      </c>
      <c r="C805" s="1" t="str">
        <f t="shared" si="26"/>
        <v>0</v>
      </c>
      <c r="D805" s="1" t="str">
        <f t="shared" si="27"/>
        <v>0</v>
      </c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x14ac:dyDescent="0.3">
      <c r="A806" s="1">
        <v>46039.666666666664</v>
      </c>
      <c r="B806" s="2">
        <v>14.8</v>
      </c>
      <c r="C806" s="1" t="str">
        <f t="shared" si="26"/>
        <v>0</v>
      </c>
      <c r="D806" s="1" t="str">
        <f t="shared" si="27"/>
        <v>0</v>
      </c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x14ac:dyDescent="0.3">
      <c r="A807" s="1">
        <v>46039.6875</v>
      </c>
      <c r="B807" s="2">
        <v>14.1</v>
      </c>
      <c r="C807" s="1" t="str">
        <f t="shared" si="26"/>
        <v>0</v>
      </c>
      <c r="D807" s="1" t="str">
        <f t="shared" si="27"/>
        <v>0</v>
      </c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x14ac:dyDescent="0.3">
      <c r="A808" s="1">
        <v>46039.708333333336</v>
      </c>
      <c r="B808" s="2">
        <v>13.3</v>
      </c>
      <c r="C808" s="1" t="str">
        <f t="shared" si="26"/>
        <v>0</v>
      </c>
      <c r="D808" s="1" t="str">
        <f t="shared" si="27"/>
        <v>0</v>
      </c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x14ac:dyDescent="0.3">
      <c r="A809" s="1">
        <v>46039.729166666664</v>
      </c>
      <c r="B809" s="2">
        <v>13</v>
      </c>
      <c r="C809" s="1" t="str">
        <f t="shared" si="26"/>
        <v>0</v>
      </c>
      <c r="D809" s="1" t="str">
        <f t="shared" si="27"/>
        <v>0</v>
      </c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x14ac:dyDescent="0.3">
      <c r="A810" s="1">
        <v>46039.75</v>
      </c>
      <c r="B810" s="2">
        <v>12.5</v>
      </c>
      <c r="C810" s="1" t="str">
        <f t="shared" si="26"/>
        <v>0</v>
      </c>
      <c r="D810" s="1" t="str">
        <f t="shared" si="27"/>
        <v>0</v>
      </c>
    </row>
    <row r="811" spans="1:22" x14ac:dyDescent="0.3">
      <c r="A811" s="1">
        <v>46039.770833333336</v>
      </c>
      <c r="B811" s="2">
        <v>12</v>
      </c>
      <c r="C811" s="1" t="str">
        <f t="shared" si="26"/>
        <v>0</v>
      </c>
      <c r="D811" s="1" t="str">
        <f t="shared" si="27"/>
        <v>0</v>
      </c>
    </row>
    <row r="812" spans="1:22" x14ac:dyDescent="0.3">
      <c r="A812" s="1">
        <v>46039.791666666664</v>
      </c>
      <c r="B812" s="2">
        <v>11.6</v>
      </c>
      <c r="C812" s="1" t="str">
        <f t="shared" si="26"/>
        <v>0</v>
      </c>
      <c r="D812" s="1" t="str">
        <f t="shared" si="27"/>
        <v>0</v>
      </c>
    </row>
    <row r="813" spans="1:22" x14ac:dyDescent="0.3">
      <c r="A813" s="1">
        <v>46039.8125</v>
      </c>
      <c r="B813" s="2">
        <v>10.9</v>
      </c>
      <c r="C813" s="1" t="str">
        <f t="shared" si="26"/>
        <v>0</v>
      </c>
      <c r="D813" s="1" t="str">
        <f t="shared" si="27"/>
        <v>0</v>
      </c>
    </row>
    <row r="814" spans="1:22" x14ac:dyDescent="0.3">
      <c r="A814" s="1">
        <v>46039.833333333336</v>
      </c>
      <c r="B814" s="2">
        <v>10.3</v>
      </c>
      <c r="C814" s="1" t="str">
        <f t="shared" si="26"/>
        <v>0</v>
      </c>
      <c r="D814" s="1" t="str">
        <f t="shared" si="27"/>
        <v>0</v>
      </c>
    </row>
    <row r="815" spans="1:22" x14ac:dyDescent="0.3">
      <c r="A815" s="1">
        <v>46039.854166666664</v>
      </c>
      <c r="B815" s="2">
        <v>10.8</v>
      </c>
      <c r="C815" s="1" t="str">
        <f t="shared" si="26"/>
        <v>0</v>
      </c>
      <c r="D815" s="1" t="str">
        <f t="shared" si="27"/>
        <v>0</v>
      </c>
    </row>
    <row r="816" spans="1:22" x14ac:dyDescent="0.3">
      <c r="A816" s="1">
        <v>46039.875</v>
      </c>
      <c r="B816" s="2">
        <v>10.7</v>
      </c>
      <c r="C816" s="1" t="str">
        <f t="shared" si="26"/>
        <v>0</v>
      </c>
      <c r="D816" s="1" t="str">
        <f t="shared" si="27"/>
        <v>0</v>
      </c>
    </row>
    <row r="817" spans="1:4" x14ac:dyDescent="0.3">
      <c r="A817" s="1">
        <v>46039.895833333336</v>
      </c>
      <c r="B817" s="2">
        <v>11.4</v>
      </c>
      <c r="C817" s="1" t="str">
        <f t="shared" si="26"/>
        <v>0</v>
      </c>
      <c r="D817" s="1" t="str">
        <f t="shared" si="27"/>
        <v>0</v>
      </c>
    </row>
    <row r="818" spans="1:4" x14ac:dyDescent="0.3">
      <c r="A818" s="1">
        <v>46039.916666666664</v>
      </c>
      <c r="B818" s="2">
        <v>9.9</v>
      </c>
      <c r="C818" s="1" t="str">
        <f t="shared" si="26"/>
        <v>0</v>
      </c>
      <c r="D818" s="1" t="str">
        <f t="shared" si="27"/>
        <v>0</v>
      </c>
    </row>
    <row r="819" spans="1:4" x14ac:dyDescent="0.3">
      <c r="A819" s="1">
        <v>46039.9375</v>
      </c>
      <c r="B819" s="2">
        <v>9.3000000000000007</v>
      </c>
      <c r="C819" s="1" t="str">
        <f t="shared" si="26"/>
        <v>0</v>
      </c>
      <c r="D819" s="1" t="str">
        <f t="shared" si="27"/>
        <v>0</v>
      </c>
    </row>
    <row r="820" spans="1:4" x14ac:dyDescent="0.3">
      <c r="A820" s="1">
        <v>46039.958333333336</v>
      </c>
      <c r="B820" s="2">
        <v>9</v>
      </c>
      <c r="C820" s="1" t="str">
        <f t="shared" si="26"/>
        <v>0</v>
      </c>
      <c r="D820" s="1" t="str">
        <f t="shared" si="27"/>
        <v>0</v>
      </c>
    </row>
    <row r="821" spans="1:4" x14ac:dyDescent="0.3">
      <c r="A821" s="1">
        <v>46039.979166666664</v>
      </c>
      <c r="B821" s="2">
        <v>9.1</v>
      </c>
      <c r="C821" s="1" t="str">
        <f t="shared" si="26"/>
        <v>0</v>
      </c>
      <c r="D821" s="1" t="str">
        <f t="shared" si="27"/>
        <v>0</v>
      </c>
    </row>
    <row r="822" spans="1:4" x14ac:dyDescent="0.3">
      <c r="A822" s="1">
        <v>46040</v>
      </c>
      <c r="B822" s="2">
        <v>8.6999999999999993</v>
      </c>
      <c r="C822" s="1" t="str">
        <f t="shared" si="26"/>
        <v>0</v>
      </c>
      <c r="D822" s="1" t="str">
        <f t="shared" si="27"/>
        <v>0</v>
      </c>
    </row>
    <row r="823" spans="1:4" x14ac:dyDescent="0.3">
      <c r="A823" s="1">
        <v>46040.020833333336</v>
      </c>
      <c r="B823" s="2">
        <v>8.6</v>
      </c>
      <c r="C823" s="1" t="str">
        <f t="shared" si="26"/>
        <v>0</v>
      </c>
      <c r="D823" s="1" t="str">
        <f t="shared" si="27"/>
        <v>0</v>
      </c>
    </row>
    <row r="824" spans="1:4" x14ac:dyDescent="0.3">
      <c r="A824" s="1">
        <v>46040.041666666664</v>
      </c>
      <c r="B824" s="2">
        <v>8.8000000000000007</v>
      </c>
      <c r="C824" s="1" t="str">
        <f t="shared" si="26"/>
        <v>0</v>
      </c>
      <c r="D824" s="1" t="str">
        <f t="shared" si="27"/>
        <v>0</v>
      </c>
    </row>
    <row r="825" spans="1:4" x14ac:dyDescent="0.3">
      <c r="A825" s="1">
        <v>46040.0625</v>
      </c>
      <c r="B825" s="2">
        <v>8.6</v>
      </c>
      <c r="C825" s="1" t="str">
        <f t="shared" si="26"/>
        <v>0</v>
      </c>
      <c r="D825" s="1" t="str">
        <f t="shared" si="27"/>
        <v>0</v>
      </c>
    </row>
    <row r="826" spans="1:4" x14ac:dyDescent="0.3">
      <c r="A826" s="1">
        <v>46040.083333333336</v>
      </c>
      <c r="B826" s="2">
        <v>8.1999999999999993</v>
      </c>
      <c r="C826" s="1" t="str">
        <f t="shared" si="26"/>
        <v>0</v>
      </c>
      <c r="D826" s="1" t="str">
        <f t="shared" si="27"/>
        <v>0</v>
      </c>
    </row>
    <row r="827" spans="1:4" x14ac:dyDescent="0.3">
      <c r="A827" s="1">
        <v>46040.104166666664</v>
      </c>
      <c r="B827" s="2">
        <v>8.1999999999999993</v>
      </c>
      <c r="C827" s="1" t="str">
        <f t="shared" si="26"/>
        <v>0</v>
      </c>
      <c r="D827" s="1" t="str">
        <f t="shared" si="27"/>
        <v>0</v>
      </c>
    </row>
    <row r="828" spans="1:4" x14ac:dyDescent="0.3">
      <c r="A828" s="1">
        <v>46040.125</v>
      </c>
      <c r="B828" s="2">
        <v>8.3000000000000007</v>
      </c>
      <c r="C828" s="1" t="str">
        <f t="shared" si="26"/>
        <v>0</v>
      </c>
      <c r="D828" s="1" t="str">
        <f t="shared" si="27"/>
        <v>0</v>
      </c>
    </row>
    <row r="829" spans="1:4" x14ac:dyDescent="0.3">
      <c r="A829" s="1">
        <v>46040.145833333336</v>
      </c>
      <c r="B829" s="2">
        <v>7.7</v>
      </c>
      <c r="C829" s="1" t="str">
        <f t="shared" si="26"/>
        <v>0</v>
      </c>
      <c r="D829" s="1" t="str">
        <f t="shared" si="27"/>
        <v>0</v>
      </c>
    </row>
    <row r="830" spans="1:4" x14ac:dyDescent="0.3">
      <c r="A830" s="1">
        <v>46040.166666666664</v>
      </c>
      <c r="B830" s="2">
        <v>8.1999999999999993</v>
      </c>
      <c r="C830" s="1" t="str">
        <f t="shared" si="26"/>
        <v>0</v>
      </c>
      <c r="D830" s="1" t="str">
        <f t="shared" si="27"/>
        <v>0</v>
      </c>
    </row>
    <row r="831" spans="1:4" x14ac:dyDescent="0.3">
      <c r="A831" s="1">
        <v>46040.1875</v>
      </c>
      <c r="B831" s="2">
        <v>7.7</v>
      </c>
      <c r="C831" s="1" t="str">
        <f t="shared" si="26"/>
        <v>0</v>
      </c>
      <c r="D831" s="1" t="str">
        <f t="shared" si="27"/>
        <v>0</v>
      </c>
    </row>
    <row r="832" spans="1:4" x14ac:dyDescent="0.3">
      <c r="A832" s="1">
        <v>46040.208333333336</v>
      </c>
      <c r="B832" s="2">
        <v>7.1</v>
      </c>
      <c r="C832" s="1" t="str">
        <f t="shared" si="26"/>
        <v>0</v>
      </c>
      <c r="D832" s="1" t="str">
        <f t="shared" si="27"/>
        <v>0</v>
      </c>
    </row>
    <row r="833" spans="1:4" x14ac:dyDescent="0.3">
      <c r="A833" s="1">
        <v>46040.229166666664</v>
      </c>
      <c r="B833" s="2">
        <v>6.8</v>
      </c>
      <c r="C833" s="1" t="str">
        <f t="shared" si="26"/>
        <v>0</v>
      </c>
      <c r="D833" s="1" t="str">
        <f t="shared" si="27"/>
        <v>0</v>
      </c>
    </row>
    <row r="834" spans="1:4" x14ac:dyDescent="0.3">
      <c r="A834" s="1">
        <v>46040.25</v>
      </c>
      <c r="B834" s="2">
        <v>6.9</v>
      </c>
      <c r="C834" s="1" t="str">
        <f t="shared" si="26"/>
        <v>0</v>
      </c>
      <c r="D834" s="1" t="str">
        <f t="shared" si="27"/>
        <v>0</v>
      </c>
    </row>
    <row r="835" spans="1:4" x14ac:dyDescent="0.3">
      <c r="A835" s="1">
        <v>46040.270833333336</v>
      </c>
      <c r="B835" s="2">
        <v>7</v>
      </c>
      <c r="C835" s="1" t="str">
        <f t="shared" ref="C835:C898" si="28">IF(B835=$P$13,A835,"0")</f>
        <v>0</v>
      </c>
      <c r="D835" s="1" t="str">
        <f t="shared" ref="D835:D898" si="29">IF(B835=$M$13,A835,"0")</f>
        <v>0</v>
      </c>
    </row>
    <row r="836" spans="1:4" x14ac:dyDescent="0.3">
      <c r="A836" s="1">
        <v>46040.291666666664</v>
      </c>
      <c r="B836" s="2">
        <v>7</v>
      </c>
      <c r="C836" s="1" t="str">
        <f t="shared" si="28"/>
        <v>0</v>
      </c>
      <c r="D836" s="1" t="str">
        <f t="shared" si="29"/>
        <v>0</v>
      </c>
    </row>
    <row r="837" spans="1:4" x14ac:dyDescent="0.3">
      <c r="A837" s="1">
        <v>46040.3125</v>
      </c>
      <c r="B837" s="2">
        <v>7.1</v>
      </c>
      <c r="C837" s="1" t="str">
        <f t="shared" si="28"/>
        <v>0</v>
      </c>
      <c r="D837" s="1" t="str">
        <f t="shared" si="29"/>
        <v>0</v>
      </c>
    </row>
    <row r="838" spans="1:4" x14ac:dyDescent="0.3">
      <c r="A838" s="1">
        <v>46040.333333333336</v>
      </c>
      <c r="B838" s="2">
        <v>7.6</v>
      </c>
      <c r="C838" s="1" t="str">
        <f t="shared" si="28"/>
        <v>0</v>
      </c>
      <c r="D838" s="1" t="str">
        <f t="shared" si="29"/>
        <v>0</v>
      </c>
    </row>
    <row r="839" spans="1:4" x14ac:dyDescent="0.3">
      <c r="A839" s="1">
        <v>46040.354166666664</v>
      </c>
      <c r="B839" s="2">
        <v>8.3000000000000007</v>
      </c>
      <c r="C839" s="1" t="str">
        <f t="shared" si="28"/>
        <v>0</v>
      </c>
      <c r="D839" s="1" t="str">
        <f t="shared" si="29"/>
        <v>0</v>
      </c>
    </row>
    <row r="840" spans="1:4" x14ac:dyDescent="0.3">
      <c r="A840" s="1">
        <v>46040.375</v>
      </c>
      <c r="B840" s="2">
        <v>8.6999999999999993</v>
      </c>
      <c r="C840" s="1" t="str">
        <f t="shared" si="28"/>
        <v>0</v>
      </c>
      <c r="D840" s="1" t="str">
        <f t="shared" si="29"/>
        <v>0</v>
      </c>
    </row>
    <row r="841" spans="1:4" x14ac:dyDescent="0.3">
      <c r="A841" s="1">
        <v>46040.395833333336</v>
      </c>
      <c r="B841" s="2">
        <v>8.8000000000000007</v>
      </c>
      <c r="C841" s="1" t="str">
        <f t="shared" si="28"/>
        <v>0</v>
      </c>
      <c r="D841" s="1" t="str">
        <f t="shared" si="29"/>
        <v>0</v>
      </c>
    </row>
    <row r="842" spans="1:4" x14ac:dyDescent="0.3">
      <c r="A842" s="1">
        <v>46040.416666666664</v>
      </c>
      <c r="B842" s="2">
        <v>10.199999999999999</v>
      </c>
      <c r="C842" s="1" t="str">
        <f t="shared" si="28"/>
        <v>0</v>
      </c>
      <c r="D842" s="1" t="str">
        <f t="shared" si="29"/>
        <v>0</v>
      </c>
    </row>
    <row r="843" spans="1:4" x14ac:dyDescent="0.3">
      <c r="A843" s="1">
        <v>46040.4375</v>
      </c>
      <c r="B843" s="2">
        <v>11.6</v>
      </c>
      <c r="C843" s="1" t="str">
        <f t="shared" si="28"/>
        <v>0</v>
      </c>
      <c r="D843" s="1" t="str">
        <f t="shared" si="29"/>
        <v>0</v>
      </c>
    </row>
    <row r="844" spans="1:4" x14ac:dyDescent="0.3">
      <c r="A844" s="1">
        <v>46040.458333333336</v>
      </c>
      <c r="B844" s="2">
        <v>13.2</v>
      </c>
      <c r="C844" s="1" t="str">
        <f t="shared" si="28"/>
        <v>0</v>
      </c>
      <c r="D844" s="1" t="str">
        <f t="shared" si="29"/>
        <v>0</v>
      </c>
    </row>
    <row r="845" spans="1:4" x14ac:dyDescent="0.3">
      <c r="A845" s="1">
        <v>46040.479166666664</v>
      </c>
      <c r="B845" s="2">
        <v>13.2</v>
      </c>
      <c r="C845" s="1" t="str">
        <f t="shared" si="28"/>
        <v>0</v>
      </c>
      <c r="D845" s="1" t="str">
        <f t="shared" si="29"/>
        <v>0</v>
      </c>
    </row>
    <row r="846" spans="1:4" x14ac:dyDescent="0.3">
      <c r="A846" s="1">
        <v>46040.5</v>
      </c>
      <c r="B846" s="2">
        <v>13.6</v>
      </c>
      <c r="C846" s="1" t="str">
        <f t="shared" si="28"/>
        <v>0</v>
      </c>
      <c r="D846" s="1" t="str">
        <f t="shared" si="29"/>
        <v>0</v>
      </c>
    </row>
    <row r="847" spans="1:4" x14ac:dyDescent="0.3">
      <c r="A847" s="1">
        <v>46040.520833333336</v>
      </c>
      <c r="B847" s="2">
        <v>14</v>
      </c>
      <c r="C847" s="1" t="str">
        <f t="shared" si="28"/>
        <v>0</v>
      </c>
      <c r="D847" s="1" t="str">
        <f t="shared" si="29"/>
        <v>0</v>
      </c>
    </row>
    <row r="848" spans="1:4" x14ac:dyDescent="0.3">
      <c r="A848" s="1">
        <v>46040.541666666664</v>
      </c>
      <c r="B848" s="2">
        <v>14.4</v>
      </c>
      <c r="C848" s="1" t="str">
        <f t="shared" si="28"/>
        <v>0</v>
      </c>
      <c r="D848" s="1" t="str">
        <f t="shared" si="29"/>
        <v>0</v>
      </c>
    </row>
    <row r="849" spans="1:4" x14ac:dyDescent="0.3">
      <c r="A849" s="1">
        <v>46040.5625</v>
      </c>
      <c r="B849" s="2">
        <v>14.4</v>
      </c>
      <c r="C849" s="1" t="str">
        <f t="shared" si="28"/>
        <v>0</v>
      </c>
      <c r="D849" s="1" t="str">
        <f t="shared" si="29"/>
        <v>0</v>
      </c>
    </row>
    <row r="850" spans="1:4" x14ac:dyDescent="0.3">
      <c r="A850" s="1">
        <v>46040.583333333336</v>
      </c>
      <c r="B850" s="2">
        <v>14.6</v>
      </c>
      <c r="C850" s="1" t="str">
        <f t="shared" si="28"/>
        <v>0</v>
      </c>
      <c r="D850" s="1" t="str">
        <f t="shared" si="29"/>
        <v>0</v>
      </c>
    </row>
    <row r="851" spans="1:4" x14ac:dyDescent="0.3">
      <c r="A851" s="1">
        <v>46040.604166666664</v>
      </c>
      <c r="B851" s="2">
        <v>14.8</v>
      </c>
      <c r="C851" s="1" t="str">
        <f t="shared" si="28"/>
        <v>0</v>
      </c>
      <c r="D851" s="1" t="str">
        <f t="shared" si="29"/>
        <v>0</v>
      </c>
    </row>
    <row r="852" spans="1:4" x14ac:dyDescent="0.3">
      <c r="A852" s="1">
        <v>46040.625</v>
      </c>
      <c r="B852" s="2">
        <v>14.7</v>
      </c>
      <c r="C852" s="1" t="str">
        <f t="shared" si="28"/>
        <v>0</v>
      </c>
      <c r="D852" s="1" t="str">
        <f t="shared" si="29"/>
        <v>0</v>
      </c>
    </row>
    <row r="853" spans="1:4" x14ac:dyDescent="0.3">
      <c r="A853" s="1">
        <v>46040.645833333336</v>
      </c>
      <c r="B853" s="2">
        <v>14.6</v>
      </c>
      <c r="C853" s="1" t="str">
        <f t="shared" si="28"/>
        <v>0</v>
      </c>
      <c r="D853" s="1" t="str">
        <f t="shared" si="29"/>
        <v>0</v>
      </c>
    </row>
    <row r="854" spans="1:4" x14ac:dyDescent="0.3">
      <c r="A854" s="1">
        <v>46040.666666666664</v>
      </c>
      <c r="B854" s="2">
        <v>14.4</v>
      </c>
      <c r="C854" s="1" t="str">
        <f t="shared" si="28"/>
        <v>0</v>
      </c>
      <c r="D854" s="1" t="str">
        <f t="shared" si="29"/>
        <v>0</v>
      </c>
    </row>
    <row r="855" spans="1:4" x14ac:dyDescent="0.3">
      <c r="A855" s="1">
        <v>46040.6875</v>
      </c>
      <c r="B855" s="2">
        <v>14.3</v>
      </c>
      <c r="C855" s="1" t="str">
        <f t="shared" si="28"/>
        <v>0</v>
      </c>
      <c r="D855" s="1" t="str">
        <f t="shared" si="29"/>
        <v>0</v>
      </c>
    </row>
    <row r="856" spans="1:4" x14ac:dyDescent="0.3">
      <c r="A856" s="1">
        <v>46040.708333333336</v>
      </c>
      <c r="B856" s="2">
        <v>14.1</v>
      </c>
      <c r="C856" s="1" t="str">
        <f t="shared" si="28"/>
        <v>0</v>
      </c>
      <c r="D856" s="1" t="str">
        <f t="shared" si="29"/>
        <v>0</v>
      </c>
    </row>
    <row r="857" spans="1:4" x14ac:dyDescent="0.3">
      <c r="A857" s="1">
        <v>46040.729166666664</v>
      </c>
      <c r="B857" s="2">
        <v>13.9</v>
      </c>
      <c r="C857" s="1" t="str">
        <f t="shared" si="28"/>
        <v>0</v>
      </c>
      <c r="D857" s="1" t="str">
        <f t="shared" si="29"/>
        <v>0</v>
      </c>
    </row>
    <row r="858" spans="1:4" x14ac:dyDescent="0.3">
      <c r="A858" s="1">
        <v>46040.75</v>
      </c>
      <c r="B858" s="2">
        <v>13.8</v>
      </c>
      <c r="C858" s="1" t="str">
        <f t="shared" si="28"/>
        <v>0</v>
      </c>
      <c r="D858" s="1" t="str">
        <f t="shared" si="29"/>
        <v>0</v>
      </c>
    </row>
    <row r="859" spans="1:4" x14ac:dyDescent="0.3">
      <c r="A859" s="1">
        <v>46040.770833333336</v>
      </c>
      <c r="B859" s="2">
        <v>13.8</v>
      </c>
      <c r="C859" s="1" t="str">
        <f t="shared" si="28"/>
        <v>0</v>
      </c>
      <c r="D859" s="1" t="str">
        <f t="shared" si="29"/>
        <v>0</v>
      </c>
    </row>
    <row r="860" spans="1:4" x14ac:dyDescent="0.3">
      <c r="A860" s="1">
        <v>46040.791666666664</v>
      </c>
      <c r="B860" s="2">
        <v>13.6</v>
      </c>
      <c r="C860" s="1" t="str">
        <f t="shared" si="28"/>
        <v>0</v>
      </c>
      <c r="D860" s="1" t="str">
        <f t="shared" si="29"/>
        <v>0</v>
      </c>
    </row>
    <row r="861" spans="1:4" x14ac:dyDescent="0.3">
      <c r="A861" s="1">
        <v>46040.8125</v>
      </c>
      <c r="B861" s="2">
        <v>13.7</v>
      </c>
      <c r="C861" s="1" t="str">
        <f t="shared" si="28"/>
        <v>0</v>
      </c>
      <c r="D861" s="1" t="str">
        <f t="shared" si="29"/>
        <v>0</v>
      </c>
    </row>
    <row r="862" spans="1:4" x14ac:dyDescent="0.3">
      <c r="A862" s="1">
        <v>46040.833333333336</v>
      </c>
      <c r="B862" s="2">
        <v>13.7</v>
      </c>
      <c r="C862" s="1" t="str">
        <f t="shared" si="28"/>
        <v>0</v>
      </c>
      <c r="D862" s="1" t="str">
        <f t="shared" si="29"/>
        <v>0</v>
      </c>
    </row>
    <row r="863" spans="1:4" x14ac:dyDescent="0.3">
      <c r="A863" s="1">
        <v>46040.854166666664</v>
      </c>
      <c r="B863" s="2">
        <v>13.9</v>
      </c>
      <c r="C863" s="1" t="str">
        <f t="shared" si="28"/>
        <v>0</v>
      </c>
      <c r="D863" s="1" t="str">
        <f t="shared" si="29"/>
        <v>0</v>
      </c>
    </row>
    <row r="864" spans="1:4" x14ac:dyDescent="0.3">
      <c r="A864" s="1">
        <v>46040.875</v>
      </c>
      <c r="B864" s="2">
        <v>13.6</v>
      </c>
      <c r="C864" s="1" t="str">
        <f t="shared" si="28"/>
        <v>0</v>
      </c>
      <c r="D864" s="1" t="str">
        <f t="shared" si="29"/>
        <v>0</v>
      </c>
    </row>
    <row r="865" spans="1:4" x14ac:dyDescent="0.3">
      <c r="A865" s="1">
        <v>46040.895833333336</v>
      </c>
      <c r="B865" s="2">
        <v>13.4</v>
      </c>
      <c r="C865" s="1" t="str">
        <f t="shared" si="28"/>
        <v>0</v>
      </c>
      <c r="D865" s="1" t="str">
        <f t="shared" si="29"/>
        <v>0</v>
      </c>
    </row>
    <row r="866" spans="1:4" x14ac:dyDescent="0.3">
      <c r="A866" s="1">
        <v>46040.916666666664</v>
      </c>
      <c r="B866" s="2">
        <v>13.4</v>
      </c>
      <c r="C866" s="1" t="str">
        <f t="shared" si="28"/>
        <v>0</v>
      </c>
      <c r="D866" s="1" t="str">
        <f t="shared" si="29"/>
        <v>0</v>
      </c>
    </row>
    <row r="867" spans="1:4" x14ac:dyDescent="0.3">
      <c r="A867" s="1">
        <v>46040.9375</v>
      </c>
      <c r="B867" s="2">
        <v>13.5</v>
      </c>
      <c r="C867" s="1" t="str">
        <f t="shared" si="28"/>
        <v>0</v>
      </c>
      <c r="D867" s="1" t="str">
        <f t="shared" si="29"/>
        <v>0</v>
      </c>
    </row>
    <row r="868" spans="1:4" x14ac:dyDescent="0.3">
      <c r="A868" s="1">
        <v>46040.958333333336</v>
      </c>
      <c r="B868" s="2">
        <v>13.2</v>
      </c>
      <c r="C868" s="1" t="str">
        <f t="shared" si="28"/>
        <v>0</v>
      </c>
      <c r="D868" s="1" t="str">
        <f t="shared" si="29"/>
        <v>0</v>
      </c>
    </row>
    <row r="869" spans="1:4" x14ac:dyDescent="0.3">
      <c r="A869" s="1">
        <v>46040.979166666664</v>
      </c>
      <c r="B869" s="2">
        <v>13.2</v>
      </c>
      <c r="C869" s="1" t="str">
        <f t="shared" si="28"/>
        <v>0</v>
      </c>
      <c r="D869" s="1" t="str">
        <f t="shared" si="29"/>
        <v>0</v>
      </c>
    </row>
    <row r="870" spans="1:4" x14ac:dyDescent="0.3">
      <c r="A870" s="1">
        <v>46041</v>
      </c>
      <c r="B870" s="2">
        <v>13</v>
      </c>
      <c r="C870" s="1" t="str">
        <f t="shared" si="28"/>
        <v>0</v>
      </c>
      <c r="D870" s="1" t="str">
        <f t="shared" si="29"/>
        <v>0</v>
      </c>
    </row>
    <row r="871" spans="1:4" x14ac:dyDescent="0.3">
      <c r="A871" s="1">
        <v>46041.020833333336</v>
      </c>
      <c r="B871" s="2">
        <v>12.8</v>
      </c>
      <c r="C871" s="1" t="str">
        <f t="shared" si="28"/>
        <v>0</v>
      </c>
      <c r="D871" s="1" t="str">
        <f t="shared" si="29"/>
        <v>0</v>
      </c>
    </row>
    <row r="872" spans="1:4" x14ac:dyDescent="0.3">
      <c r="A872" s="1">
        <v>46041.041666666664</v>
      </c>
      <c r="B872" s="2">
        <v>12.4</v>
      </c>
      <c r="C872" s="1" t="str">
        <f t="shared" si="28"/>
        <v>0</v>
      </c>
      <c r="D872" s="1" t="str">
        <f t="shared" si="29"/>
        <v>0</v>
      </c>
    </row>
    <row r="873" spans="1:4" x14ac:dyDescent="0.3">
      <c r="A873" s="1">
        <v>46041.0625</v>
      </c>
      <c r="B873" s="2">
        <v>12.8</v>
      </c>
      <c r="C873" s="1" t="str">
        <f t="shared" si="28"/>
        <v>0</v>
      </c>
      <c r="D873" s="1" t="str">
        <f t="shared" si="29"/>
        <v>0</v>
      </c>
    </row>
    <row r="874" spans="1:4" x14ac:dyDescent="0.3">
      <c r="A874" s="1">
        <v>46041.083333333336</v>
      </c>
      <c r="B874" s="2">
        <v>12.7</v>
      </c>
      <c r="C874" s="1" t="str">
        <f t="shared" si="28"/>
        <v>0</v>
      </c>
      <c r="D874" s="1" t="str">
        <f t="shared" si="29"/>
        <v>0</v>
      </c>
    </row>
    <row r="875" spans="1:4" x14ac:dyDescent="0.3">
      <c r="A875" s="1">
        <v>46041.104166666664</v>
      </c>
      <c r="B875" s="2">
        <v>12.6</v>
      </c>
      <c r="C875" s="1" t="str">
        <f t="shared" si="28"/>
        <v>0</v>
      </c>
      <c r="D875" s="1" t="str">
        <f t="shared" si="29"/>
        <v>0</v>
      </c>
    </row>
    <row r="876" spans="1:4" x14ac:dyDescent="0.3">
      <c r="A876" s="1">
        <v>46041.125</v>
      </c>
      <c r="B876" s="2">
        <v>12.7</v>
      </c>
      <c r="C876" s="1" t="str">
        <f t="shared" si="28"/>
        <v>0</v>
      </c>
      <c r="D876" s="1" t="str">
        <f t="shared" si="29"/>
        <v>0</v>
      </c>
    </row>
    <row r="877" spans="1:4" x14ac:dyDescent="0.3">
      <c r="A877" s="1">
        <v>46041.145833333336</v>
      </c>
      <c r="B877" s="2">
        <v>12.7</v>
      </c>
      <c r="C877" s="1" t="str">
        <f t="shared" si="28"/>
        <v>0</v>
      </c>
      <c r="D877" s="1" t="str">
        <f t="shared" si="29"/>
        <v>0</v>
      </c>
    </row>
    <row r="878" spans="1:4" x14ac:dyDescent="0.3">
      <c r="A878" s="1">
        <v>46041.166666666664</v>
      </c>
      <c r="B878" s="2">
        <v>12.7</v>
      </c>
      <c r="C878" s="1" t="str">
        <f t="shared" si="28"/>
        <v>0</v>
      </c>
      <c r="D878" s="1" t="str">
        <f t="shared" si="29"/>
        <v>0</v>
      </c>
    </row>
    <row r="879" spans="1:4" x14ac:dyDescent="0.3">
      <c r="A879" s="1">
        <v>46041.1875</v>
      </c>
      <c r="B879" s="2">
        <v>12.1</v>
      </c>
      <c r="C879" s="1" t="str">
        <f t="shared" si="28"/>
        <v>0</v>
      </c>
      <c r="D879" s="1" t="str">
        <f t="shared" si="29"/>
        <v>0</v>
      </c>
    </row>
    <row r="880" spans="1:4" x14ac:dyDescent="0.3">
      <c r="A880" s="1">
        <v>46041.208333333336</v>
      </c>
      <c r="B880" s="2">
        <v>12</v>
      </c>
      <c r="C880" s="1" t="str">
        <f t="shared" si="28"/>
        <v>0</v>
      </c>
      <c r="D880" s="1" t="str">
        <f t="shared" si="29"/>
        <v>0</v>
      </c>
    </row>
    <row r="881" spans="1:4" x14ac:dyDescent="0.3">
      <c r="A881" s="1">
        <v>46041.229166666664</v>
      </c>
      <c r="B881" s="2">
        <v>12.1</v>
      </c>
      <c r="C881" s="1" t="str">
        <f t="shared" si="28"/>
        <v>0</v>
      </c>
      <c r="D881" s="1" t="str">
        <f t="shared" si="29"/>
        <v>0</v>
      </c>
    </row>
    <row r="882" spans="1:4" x14ac:dyDescent="0.3">
      <c r="A882" s="1">
        <v>46041.25</v>
      </c>
      <c r="B882" s="2">
        <v>12.2</v>
      </c>
      <c r="C882" s="1" t="str">
        <f t="shared" si="28"/>
        <v>0</v>
      </c>
      <c r="D882" s="1" t="str">
        <f t="shared" si="29"/>
        <v>0</v>
      </c>
    </row>
    <row r="883" spans="1:4" x14ac:dyDescent="0.3">
      <c r="A883" s="1">
        <v>46041.270833333336</v>
      </c>
      <c r="B883" s="2">
        <v>11.9</v>
      </c>
      <c r="C883" s="1" t="str">
        <f t="shared" si="28"/>
        <v>0</v>
      </c>
      <c r="D883" s="1" t="str">
        <f t="shared" si="29"/>
        <v>0</v>
      </c>
    </row>
    <row r="884" spans="1:4" x14ac:dyDescent="0.3">
      <c r="A884" s="1">
        <v>46041.291666666664</v>
      </c>
      <c r="B884" s="2">
        <v>11.9</v>
      </c>
      <c r="C884" s="1" t="str">
        <f t="shared" si="28"/>
        <v>0</v>
      </c>
      <c r="D884" s="1" t="str">
        <f t="shared" si="29"/>
        <v>0</v>
      </c>
    </row>
    <row r="885" spans="1:4" x14ac:dyDescent="0.3">
      <c r="A885" s="1">
        <v>46041.3125</v>
      </c>
      <c r="B885" s="2">
        <v>11.8</v>
      </c>
      <c r="C885" s="1" t="str">
        <f t="shared" si="28"/>
        <v>0</v>
      </c>
      <c r="D885" s="1" t="str">
        <f t="shared" si="29"/>
        <v>0</v>
      </c>
    </row>
    <row r="886" spans="1:4" x14ac:dyDescent="0.3">
      <c r="A886" s="1">
        <v>46041.333333333336</v>
      </c>
      <c r="B886" s="2">
        <v>11.9</v>
      </c>
      <c r="C886" s="1" t="str">
        <f t="shared" si="28"/>
        <v>0</v>
      </c>
      <c r="D886" s="1" t="str">
        <f t="shared" si="29"/>
        <v>0</v>
      </c>
    </row>
    <row r="887" spans="1:4" x14ac:dyDescent="0.3">
      <c r="A887" s="1">
        <v>46041.354166666664</v>
      </c>
      <c r="B887" s="2">
        <v>12.3</v>
      </c>
      <c r="C887" s="1" t="str">
        <f t="shared" si="28"/>
        <v>0</v>
      </c>
      <c r="D887" s="1" t="str">
        <f t="shared" si="29"/>
        <v>0</v>
      </c>
    </row>
    <row r="888" spans="1:4" x14ac:dyDescent="0.3">
      <c r="A888" s="1">
        <v>46041.375</v>
      </c>
      <c r="B888" s="2">
        <v>12.6</v>
      </c>
      <c r="C888" s="1" t="str">
        <f t="shared" si="28"/>
        <v>0</v>
      </c>
      <c r="D888" s="1" t="str">
        <f t="shared" si="29"/>
        <v>0</v>
      </c>
    </row>
    <row r="889" spans="1:4" x14ac:dyDescent="0.3">
      <c r="A889" s="1">
        <v>46041.395833333336</v>
      </c>
      <c r="B889" s="2">
        <v>12.9</v>
      </c>
      <c r="C889" s="1" t="str">
        <f t="shared" si="28"/>
        <v>0</v>
      </c>
      <c r="D889" s="1" t="str">
        <f t="shared" si="29"/>
        <v>0</v>
      </c>
    </row>
    <row r="890" spans="1:4" x14ac:dyDescent="0.3">
      <c r="A890" s="1">
        <v>46041.416666666664</v>
      </c>
      <c r="B890" s="2">
        <v>13.3</v>
      </c>
      <c r="C890" s="1" t="str">
        <f t="shared" si="28"/>
        <v>0</v>
      </c>
      <c r="D890" s="1" t="str">
        <f t="shared" si="29"/>
        <v>0</v>
      </c>
    </row>
    <row r="891" spans="1:4" x14ac:dyDescent="0.3">
      <c r="A891" s="1">
        <v>46041.4375</v>
      </c>
      <c r="B891" s="2">
        <v>13.4</v>
      </c>
      <c r="C891" s="1" t="str">
        <f t="shared" si="28"/>
        <v>0</v>
      </c>
      <c r="D891" s="1" t="str">
        <f t="shared" si="29"/>
        <v>0</v>
      </c>
    </row>
    <row r="892" spans="1:4" x14ac:dyDescent="0.3">
      <c r="A892" s="1">
        <v>46041.458333333336</v>
      </c>
      <c r="B892" s="2">
        <v>13.5</v>
      </c>
      <c r="C892" s="1" t="str">
        <f t="shared" si="28"/>
        <v>0</v>
      </c>
      <c r="D892" s="1" t="str">
        <f t="shared" si="29"/>
        <v>0</v>
      </c>
    </row>
    <row r="893" spans="1:4" x14ac:dyDescent="0.3">
      <c r="A893" s="1">
        <v>46041.479166666664</v>
      </c>
      <c r="B893" s="2">
        <v>13.8</v>
      </c>
      <c r="C893" s="1" t="str">
        <f t="shared" si="28"/>
        <v>0</v>
      </c>
      <c r="D893" s="1" t="str">
        <f t="shared" si="29"/>
        <v>0</v>
      </c>
    </row>
    <row r="894" spans="1:4" x14ac:dyDescent="0.3">
      <c r="A894" s="1">
        <v>46041.5</v>
      </c>
      <c r="B894" s="2">
        <v>14.3</v>
      </c>
      <c r="C894" s="1" t="str">
        <f t="shared" si="28"/>
        <v>0</v>
      </c>
      <c r="D894" s="1" t="str">
        <f t="shared" si="29"/>
        <v>0</v>
      </c>
    </row>
    <row r="895" spans="1:4" x14ac:dyDescent="0.3">
      <c r="A895" s="1">
        <v>46041.520833333336</v>
      </c>
      <c r="B895" s="2">
        <v>14.2</v>
      </c>
      <c r="C895" s="1" t="str">
        <f t="shared" si="28"/>
        <v>0</v>
      </c>
      <c r="D895" s="1" t="str">
        <f t="shared" si="29"/>
        <v>0</v>
      </c>
    </row>
    <row r="896" spans="1:4" x14ac:dyDescent="0.3">
      <c r="A896" s="1">
        <v>46041.541666666664</v>
      </c>
      <c r="B896" s="2">
        <v>14</v>
      </c>
      <c r="C896" s="1" t="str">
        <f t="shared" si="28"/>
        <v>0</v>
      </c>
      <c r="D896" s="1" t="str">
        <f t="shared" si="29"/>
        <v>0</v>
      </c>
    </row>
    <row r="897" spans="1:4" x14ac:dyDescent="0.3">
      <c r="A897" s="1">
        <v>46041.5625</v>
      </c>
      <c r="B897" s="2">
        <v>13.8</v>
      </c>
      <c r="C897" s="1" t="str">
        <f t="shared" si="28"/>
        <v>0</v>
      </c>
      <c r="D897" s="1" t="str">
        <f t="shared" si="29"/>
        <v>0</v>
      </c>
    </row>
    <row r="898" spans="1:4" x14ac:dyDescent="0.3">
      <c r="A898" s="1">
        <v>46041.583333333336</v>
      </c>
      <c r="B898" s="2">
        <v>13.6</v>
      </c>
      <c r="C898" s="1" t="str">
        <f t="shared" si="28"/>
        <v>0</v>
      </c>
      <c r="D898" s="1" t="str">
        <f t="shared" si="29"/>
        <v>0</v>
      </c>
    </row>
    <row r="899" spans="1:4" x14ac:dyDescent="0.3">
      <c r="A899" s="1">
        <v>46041.604166666664</v>
      </c>
      <c r="B899" s="2">
        <v>13.3</v>
      </c>
      <c r="C899" s="1" t="str">
        <f t="shared" ref="C899:C962" si="30">IF(B899=$P$13,A899,"0")</f>
        <v>0</v>
      </c>
      <c r="D899" s="1" t="str">
        <f t="shared" ref="D899:D962" si="31">IF(B899=$M$13,A899,"0")</f>
        <v>0</v>
      </c>
    </row>
    <row r="900" spans="1:4" x14ac:dyDescent="0.3">
      <c r="A900" s="1">
        <v>46041.625</v>
      </c>
      <c r="B900" s="2">
        <v>12.6</v>
      </c>
      <c r="C900" s="1" t="str">
        <f t="shared" si="30"/>
        <v>0</v>
      </c>
      <c r="D900" s="1" t="str">
        <f t="shared" si="31"/>
        <v>0</v>
      </c>
    </row>
    <row r="901" spans="1:4" x14ac:dyDescent="0.3">
      <c r="A901" s="1">
        <v>46041.645833333336</v>
      </c>
      <c r="B901" s="2">
        <v>12</v>
      </c>
      <c r="C901" s="1" t="str">
        <f t="shared" si="30"/>
        <v>0</v>
      </c>
      <c r="D901" s="1" t="str">
        <f t="shared" si="31"/>
        <v>0</v>
      </c>
    </row>
    <row r="902" spans="1:4" x14ac:dyDescent="0.3">
      <c r="A902" s="1">
        <v>46041.666666666664</v>
      </c>
      <c r="B902" s="2">
        <v>11.8</v>
      </c>
      <c r="C902" s="1" t="str">
        <f t="shared" si="30"/>
        <v>0</v>
      </c>
      <c r="D902" s="1" t="str">
        <f t="shared" si="31"/>
        <v>0</v>
      </c>
    </row>
    <row r="903" spans="1:4" x14ac:dyDescent="0.3">
      <c r="A903" s="1">
        <v>46041.6875</v>
      </c>
      <c r="B903" s="2">
        <v>11.6</v>
      </c>
      <c r="C903" s="1" t="str">
        <f t="shared" si="30"/>
        <v>0</v>
      </c>
      <c r="D903" s="1" t="str">
        <f t="shared" si="31"/>
        <v>0</v>
      </c>
    </row>
    <row r="904" spans="1:4" x14ac:dyDescent="0.3">
      <c r="A904" s="1">
        <v>46041.708333333336</v>
      </c>
      <c r="B904" s="2">
        <v>11.4</v>
      </c>
      <c r="C904" s="1" t="str">
        <f t="shared" si="30"/>
        <v>0</v>
      </c>
      <c r="D904" s="1" t="str">
        <f t="shared" si="31"/>
        <v>0</v>
      </c>
    </row>
    <row r="905" spans="1:4" x14ac:dyDescent="0.3">
      <c r="A905" s="1">
        <v>46041.729166666664</v>
      </c>
      <c r="B905" s="2">
        <v>11.1</v>
      </c>
      <c r="C905" s="1" t="str">
        <f t="shared" si="30"/>
        <v>0</v>
      </c>
      <c r="D905" s="1" t="str">
        <f t="shared" si="31"/>
        <v>0</v>
      </c>
    </row>
    <row r="906" spans="1:4" x14ac:dyDescent="0.3">
      <c r="A906" s="1">
        <v>46041.75</v>
      </c>
      <c r="B906" s="2">
        <v>10.9</v>
      </c>
      <c r="C906" s="1" t="str">
        <f t="shared" si="30"/>
        <v>0</v>
      </c>
      <c r="D906" s="1" t="str">
        <f t="shared" si="31"/>
        <v>0</v>
      </c>
    </row>
    <row r="907" spans="1:4" x14ac:dyDescent="0.3">
      <c r="A907" s="1">
        <v>46041.770833333336</v>
      </c>
      <c r="B907" s="2">
        <v>11.2</v>
      </c>
      <c r="C907" s="1" t="str">
        <f t="shared" si="30"/>
        <v>0</v>
      </c>
      <c r="D907" s="1" t="str">
        <f t="shared" si="31"/>
        <v>0</v>
      </c>
    </row>
    <row r="908" spans="1:4" x14ac:dyDescent="0.3">
      <c r="A908" s="1">
        <v>46041.791666666664</v>
      </c>
      <c r="B908" s="2">
        <v>11.3</v>
      </c>
      <c r="C908" s="1" t="str">
        <f t="shared" si="30"/>
        <v>0</v>
      </c>
      <c r="D908" s="1" t="str">
        <f t="shared" si="31"/>
        <v>0</v>
      </c>
    </row>
    <row r="909" spans="1:4" x14ac:dyDescent="0.3">
      <c r="A909" s="1">
        <v>46041.8125</v>
      </c>
      <c r="B909" s="2">
        <v>11.5</v>
      </c>
      <c r="C909" s="1" t="str">
        <f t="shared" si="30"/>
        <v>0</v>
      </c>
      <c r="D909" s="1" t="str">
        <f t="shared" si="31"/>
        <v>0</v>
      </c>
    </row>
    <row r="910" spans="1:4" x14ac:dyDescent="0.3">
      <c r="A910" s="1">
        <v>46041.833333333336</v>
      </c>
      <c r="B910" s="2">
        <v>11.6</v>
      </c>
      <c r="C910" s="1" t="str">
        <f t="shared" si="30"/>
        <v>0</v>
      </c>
      <c r="D910" s="1" t="str">
        <f t="shared" si="31"/>
        <v>0</v>
      </c>
    </row>
    <row r="911" spans="1:4" x14ac:dyDescent="0.3">
      <c r="A911" s="1">
        <v>46041.854166666664</v>
      </c>
      <c r="B911" s="2">
        <v>11.6</v>
      </c>
      <c r="C911" s="1" t="str">
        <f t="shared" si="30"/>
        <v>0</v>
      </c>
      <c r="D911" s="1" t="str">
        <f t="shared" si="31"/>
        <v>0</v>
      </c>
    </row>
    <row r="912" spans="1:4" x14ac:dyDescent="0.3">
      <c r="A912" s="1">
        <v>46041.875</v>
      </c>
      <c r="B912" s="2">
        <v>11.6</v>
      </c>
      <c r="C912" s="1" t="str">
        <f t="shared" si="30"/>
        <v>0</v>
      </c>
      <c r="D912" s="1" t="str">
        <f t="shared" si="31"/>
        <v>0</v>
      </c>
    </row>
    <row r="913" spans="1:4" x14ac:dyDescent="0.3">
      <c r="A913" s="1">
        <v>46041.895833333336</v>
      </c>
      <c r="B913" s="2">
        <v>11.7</v>
      </c>
      <c r="C913" s="1" t="str">
        <f t="shared" si="30"/>
        <v>0</v>
      </c>
      <c r="D913" s="1" t="str">
        <f t="shared" si="31"/>
        <v>0</v>
      </c>
    </row>
    <row r="914" spans="1:4" x14ac:dyDescent="0.3">
      <c r="A914" s="1">
        <v>46041.916666666664</v>
      </c>
      <c r="B914" s="2">
        <v>11.8</v>
      </c>
      <c r="C914" s="1" t="str">
        <f t="shared" si="30"/>
        <v>0</v>
      </c>
      <c r="D914" s="1" t="str">
        <f t="shared" si="31"/>
        <v>0</v>
      </c>
    </row>
    <row r="915" spans="1:4" x14ac:dyDescent="0.3">
      <c r="A915" s="1">
        <v>46041.9375</v>
      </c>
      <c r="B915" s="2">
        <v>11.7</v>
      </c>
      <c r="C915" s="1" t="str">
        <f t="shared" si="30"/>
        <v>0</v>
      </c>
      <c r="D915" s="1" t="str">
        <f t="shared" si="31"/>
        <v>0</v>
      </c>
    </row>
    <row r="916" spans="1:4" x14ac:dyDescent="0.3">
      <c r="A916" s="1">
        <v>46041.958333333336</v>
      </c>
      <c r="B916" s="2">
        <v>11.8</v>
      </c>
      <c r="C916" s="1" t="str">
        <f t="shared" si="30"/>
        <v>0</v>
      </c>
      <c r="D916" s="1" t="str">
        <f t="shared" si="31"/>
        <v>0</v>
      </c>
    </row>
    <row r="917" spans="1:4" x14ac:dyDescent="0.3">
      <c r="A917" s="1">
        <v>46041.979166666664</v>
      </c>
      <c r="B917" s="2">
        <v>11.8</v>
      </c>
      <c r="C917" s="1" t="str">
        <f t="shared" si="30"/>
        <v>0</v>
      </c>
      <c r="D917" s="1" t="str">
        <f t="shared" si="31"/>
        <v>0</v>
      </c>
    </row>
    <row r="918" spans="1:4" x14ac:dyDescent="0.3">
      <c r="A918" s="1">
        <v>46042</v>
      </c>
      <c r="B918" s="2">
        <v>11.5</v>
      </c>
      <c r="C918" s="1" t="str">
        <f t="shared" si="30"/>
        <v>0</v>
      </c>
      <c r="D918" s="1" t="str">
        <f t="shared" si="31"/>
        <v>0</v>
      </c>
    </row>
    <row r="919" spans="1:4" x14ac:dyDescent="0.3">
      <c r="A919" s="1">
        <v>46042.020833333336</v>
      </c>
      <c r="B919" s="2">
        <v>11.3</v>
      </c>
      <c r="C919" s="1" t="str">
        <f t="shared" si="30"/>
        <v>0</v>
      </c>
      <c r="D919" s="1" t="str">
        <f t="shared" si="31"/>
        <v>0</v>
      </c>
    </row>
    <row r="920" spans="1:4" x14ac:dyDescent="0.3">
      <c r="A920" s="1">
        <v>46042.041666666664</v>
      </c>
      <c r="B920" s="2">
        <v>11</v>
      </c>
      <c r="C920" s="1" t="str">
        <f t="shared" si="30"/>
        <v>0</v>
      </c>
      <c r="D920" s="1" t="str">
        <f t="shared" si="31"/>
        <v>0</v>
      </c>
    </row>
    <row r="921" spans="1:4" x14ac:dyDescent="0.3">
      <c r="A921" s="1">
        <v>46042.0625</v>
      </c>
      <c r="B921" s="2">
        <v>11.4</v>
      </c>
      <c r="C921" s="1" t="str">
        <f t="shared" si="30"/>
        <v>0</v>
      </c>
      <c r="D921" s="1" t="str">
        <f t="shared" si="31"/>
        <v>0</v>
      </c>
    </row>
    <row r="922" spans="1:4" x14ac:dyDescent="0.3">
      <c r="A922" s="1">
        <v>46042.083333333336</v>
      </c>
      <c r="B922" s="2">
        <v>11.7</v>
      </c>
      <c r="C922" s="1" t="str">
        <f t="shared" si="30"/>
        <v>0</v>
      </c>
      <c r="D922" s="1" t="str">
        <f t="shared" si="31"/>
        <v>0</v>
      </c>
    </row>
    <row r="923" spans="1:4" x14ac:dyDescent="0.3">
      <c r="A923" s="1">
        <v>46042.104166666664</v>
      </c>
      <c r="B923" s="2">
        <v>11.6</v>
      </c>
      <c r="C923" s="1" t="str">
        <f t="shared" si="30"/>
        <v>0</v>
      </c>
      <c r="D923" s="1" t="str">
        <f t="shared" si="31"/>
        <v>0</v>
      </c>
    </row>
    <row r="924" spans="1:4" x14ac:dyDescent="0.3">
      <c r="A924" s="1">
        <v>46042.125</v>
      </c>
      <c r="B924" s="2">
        <v>11.5</v>
      </c>
      <c r="C924" s="1" t="str">
        <f t="shared" si="30"/>
        <v>0</v>
      </c>
      <c r="D924" s="1" t="str">
        <f t="shared" si="31"/>
        <v>0</v>
      </c>
    </row>
    <row r="925" spans="1:4" x14ac:dyDescent="0.3">
      <c r="A925" s="1">
        <v>46042.145833333336</v>
      </c>
      <c r="B925" s="2">
        <v>11.4</v>
      </c>
      <c r="C925" s="1" t="str">
        <f t="shared" si="30"/>
        <v>0</v>
      </c>
      <c r="D925" s="1" t="str">
        <f t="shared" si="31"/>
        <v>0</v>
      </c>
    </row>
    <row r="926" spans="1:4" x14ac:dyDescent="0.3">
      <c r="A926" s="1">
        <v>46042.166666666664</v>
      </c>
      <c r="B926" s="2">
        <v>11.3</v>
      </c>
      <c r="C926" s="1" t="str">
        <f t="shared" si="30"/>
        <v>0</v>
      </c>
      <c r="D926" s="1" t="str">
        <f t="shared" si="31"/>
        <v>0</v>
      </c>
    </row>
    <row r="927" spans="1:4" x14ac:dyDescent="0.3">
      <c r="A927" s="1">
        <v>46042.1875</v>
      </c>
      <c r="B927" s="2">
        <v>11</v>
      </c>
      <c r="C927" s="1" t="str">
        <f t="shared" si="30"/>
        <v>0</v>
      </c>
      <c r="D927" s="1" t="str">
        <f t="shared" si="31"/>
        <v>0</v>
      </c>
    </row>
    <row r="928" spans="1:4" x14ac:dyDescent="0.3">
      <c r="A928" s="1">
        <v>46042.208333333336</v>
      </c>
      <c r="B928" s="2">
        <v>11</v>
      </c>
      <c r="C928" s="1" t="str">
        <f t="shared" si="30"/>
        <v>0</v>
      </c>
      <c r="D928" s="1" t="str">
        <f t="shared" si="31"/>
        <v>0</v>
      </c>
    </row>
    <row r="929" spans="1:4" x14ac:dyDescent="0.3">
      <c r="A929" s="1">
        <v>46042.229166666664</v>
      </c>
      <c r="B929" s="2">
        <v>11.1</v>
      </c>
      <c r="C929" s="1" t="str">
        <f t="shared" si="30"/>
        <v>0</v>
      </c>
      <c r="D929" s="1" t="str">
        <f t="shared" si="31"/>
        <v>0</v>
      </c>
    </row>
    <row r="930" spans="1:4" x14ac:dyDescent="0.3">
      <c r="A930" s="1">
        <v>46042.25</v>
      </c>
      <c r="B930" s="2">
        <v>11.4</v>
      </c>
      <c r="C930" s="1" t="str">
        <f t="shared" si="30"/>
        <v>0</v>
      </c>
      <c r="D930" s="1" t="str">
        <f t="shared" si="31"/>
        <v>0</v>
      </c>
    </row>
    <row r="931" spans="1:4" x14ac:dyDescent="0.3">
      <c r="A931" s="1">
        <v>46042.270833333336</v>
      </c>
      <c r="B931" s="2">
        <v>11.3</v>
      </c>
      <c r="C931" s="1" t="str">
        <f t="shared" si="30"/>
        <v>0</v>
      </c>
      <c r="D931" s="1" t="str">
        <f t="shared" si="31"/>
        <v>0</v>
      </c>
    </row>
    <row r="932" spans="1:4" x14ac:dyDescent="0.3">
      <c r="A932" s="1">
        <v>46042.291666666664</v>
      </c>
      <c r="B932" s="2">
        <v>11.3</v>
      </c>
      <c r="C932" s="1" t="str">
        <f t="shared" si="30"/>
        <v>0</v>
      </c>
      <c r="D932" s="1" t="str">
        <f t="shared" si="31"/>
        <v>0</v>
      </c>
    </row>
    <row r="933" spans="1:4" x14ac:dyDescent="0.3">
      <c r="A933" s="1">
        <v>46042.3125</v>
      </c>
      <c r="B933" s="2">
        <v>11.3</v>
      </c>
      <c r="C933" s="1" t="str">
        <f t="shared" si="30"/>
        <v>0</v>
      </c>
      <c r="D933" s="1" t="str">
        <f t="shared" si="31"/>
        <v>0</v>
      </c>
    </row>
    <row r="934" spans="1:4" x14ac:dyDescent="0.3">
      <c r="A934" s="1">
        <v>46042.333333333336</v>
      </c>
      <c r="B934" s="2">
        <v>11.3</v>
      </c>
      <c r="C934" s="1" t="str">
        <f t="shared" si="30"/>
        <v>0</v>
      </c>
      <c r="D934" s="1" t="str">
        <f t="shared" si="31"/>
        <v>0</v>
      </c>
    </row>
    <row r="935" spans="1:4" x14ac:dyDescent="0.3">
      <c r="A935" s="1">
        <v>46042.354166666664</v>
      </c>
      <c r="B935" s="2">
        <v>11.5</v>
      </c>
      <c r="C935" s="1" t="str">
        <f t="shared" si="30"/>
        <v>0</v>
      </c>
      <c r="D935" s="1" t="str">
        <f t="shared" si="31"/>
        <v>0</v>
      </c>
    </row>
    <row r="936" spans="1:4" x14ac:dyDescent="0.3">
      <c r="A936" s="1">
        <v>46042.375</v>
      </c>
      <c r="B936" s="2">
        <v>12.1</v>
      </c>
      <c r="C936" s="1" t="str">
        <f t="shared" si="30"/>
        <v>0</v>
      </c>
      <c r="D936" s="1" t="str">
        <f t="shared" si="31"/>
        <v>0</v>
      </c>
    </row>
    <row r="937" spans="1:4" x14ac:dyDescent="0.3">
      <c r="A937" s="1">
        <v>46042.395833333336</v>
      </c>
      <c r="B937" s="2">
        <v>12.5</v>
      </c>
      <c r="C937" s="1" t="str">
        <f t="shared" si="30"/>
        <v>0</v>
      </c>
      <c r="D937" s="1" t="str">
        <f t="shared" si="31"/>
        <v>0</v>
      </c>
    </row>
    <row r="938" spans="1:4" x14ac:dyDescent="0.3">
      <c r="A938" s="1">
        <v>46042.416666666664</v>
      </c>
      <c r="B938" s="2">
        <v>13</v>
      </c>
      <c r="C938" s="1" t="str">
        <f t="shared" si="30"/>
        <v>0</v>
      </c>
      <c r="D938" s="1" t="str">
        <f t="shared" si="31"/>
        <v>0</v>
      </c>
    </row>
    <row r="939" spans="1:4" x14ac:dyDescent="0.3">
      <c r="A939" s="1">
        <v>46042.4375</v>
      </c>
      <c r="B939" s="2">
        <v>13.2</v>
      </c>
      <c r="C939" s="1" t="str">
        <f t="shared" si="30"/>
        <v>0</v>
      </c>
      <c r="D939" s="1" t="str">
        <f t="shared" si="31"/>
        <v>0</v>
      </c>
    </row>
    <row r="940" spans="1:4" x14ac:dyDescent="0.3">
      <c r="A940" s="1">
        <v>46042.458333333336</v>
      </c>
      <c r="B940" s="2">
        <v>13.1</v>
      </c>
      <c r="C940" s="1" t="str">
        <f t="shared" si="30"/>
        <v>0</v>
      </c>
      <c r="D940" s="1" t="str">
        <f t="shared" si="31"/>
        <v>0</v>
      </c>
    </row>
    <row r="941" spans="1:4" x14ac:dyDescent="0.3">
      <c r="A941" s="1">
        <v>46042.479166666664</v>
      </c>
      <c r="B941" s="2">
        <v>13.6</v>
      </c>
      <c r="C941" s="1" t="str">
        <f t="shared" si="30"/>
        <v>0</v>
      </c>
      <c r="D941" s="1" t="str">
        <f t="shared" si="31"/>
        <v>0</v>
      </c>
    </row>
    <row r="942" spans="1:4" x14ac:dyDescent="0.3">
      <c r="A942" s="1">
        <v>46042.5</v>
      </c>
      <c r="B942" s="2">
        <v>14</v>
      </c>
      <c r="C942" s="1" t="str">
        <f t="shared" si="30"/>
        <v>0</v>
      </c>
      <c r="D942" s="1" t="str">
        <f t="shared" si="31"/>
        <v>0</v>
      </c>
    </row>
    <row r="943" spans="1:4" x14ac:dyDescent="0.3">
      <c r="A943" s="1">
        <v>46042.520833333336</v>
      </c>
      <c r="B943" s="2">
        <v>14.1</v>
      </c>
      <c r="C943" s="1" t="str">
        <f t="shared" si="30"/>
        <v>0</v>
      </c>
      <c r="D943" s="1" t="str">
        <f t="shared" si="31"/>
        <v>0</v>
      </c>
    </row>
    <row r="944" spans="1:4" x14ac:dyDescent="0.3">
      <c r="A944" s="1">
        <v>46042.541666666664</v>
      </c>
      <c r="B944" s="2">
        <v>14.2</v>
      </c>
      <c r="C944" s="1" t="str">
        <f t="shared" si="30"/>
        <v>0</v>
      </c>
      <c r="D944" s="1" t="str">
        <f t="shared" si="31"/>
        <v>0</v>
      </c>
    </row>
    <row r="945" spans="1:4" x14ac:dyDescent="0.3">
      <c r="A945" s="1">
        <v>46042.5625</v>
      </c>
      <c r="B945" s="2">
        <v>14.5</v>
      </c>
      <c r="C945" s="1" t="str">
        <f t="shared" si="30"/>
        <v>0</v>
      </c>
      <c r="D945" s="1" t="str">
        <f t="shared" si="31"/>
        <v>0</v>
      </c>
    </row>
    <row r="946" spans="1:4" x14ac:dyDescent="0.3">
      <c r="A946" s="1">
        <v>46042.583333333336</v>
      </c>
      <c r="B946" s="2">
        <v>14</v>
      </c>
      <c r="C946" s="1" t="str">
        <f t="shared" si="30"/>
        <v>0</v>
      </c>
      <c r="D946" s="1" t="str">
        <f t="shared" si="31"/>
        <v>0</v>
      </c>
    </row>
    <row r="947" spans="1:4" x14ac:dyDescent="0.3">
      <c r="A947" s="1">
        <v>46042.604166666664</v>
      </c>
      <c r="B947" s="2">
        <v>13.8</v>
      </c>
      <c r="C947" s="1" t="str">
        <f t="shared" si="30"/>
        <v>0</v>
      </c>
      <c r="D947" s="1" t="str">
        <f t="shared" si="31"/>
        <v>0</v>
      </c>
    </row>
    <row r="948" spans="1:4" x14ac:dyDescent="0.3">
      <c r="A948" s="1">
        <v>46042.625</v>
      </c>
      <c r="B948" s="2">
        <v>14</v>
      </c>
      <c r="C948" s="1" t="str">
        <f t="shared" si="30"/>
        <v>0</v>
      </c>
      <c r="D948" s="1" t="str">
        <f t="shared" si="31"/>
        <v>0</v>
      </c>
    </row>
    <row r="949" spans="1:4" x14ac:dyDescent="0.3">
      <c r="A949" s="1">
        <v>46042.645833333336</v>
      </c>
      <c r="B949" s="2">
        <v>13.4</v>
      </c>
      <c r="C949" s="1" t="str">
        <f t="shared" si="30"/>
        <v>0</v>
      </c>
      <c r="D949" s="1" t="str">
        <f t="shared" si="31"/>
        <v>0</v>
      </c>
    </row>
    <row r="950" spans="1:4" x14ac:dyDescent="0.3">
      <c r="A950" s="1">
        <v>46042.666666666664</v>
      </c>
      <c r="B950" s="2">
        <v>13</v>
      </c>
      <c r="C950" s="1" t="str">
        <f t="shared" si="30"/>
        <v>0</v>
      </c>
      <c r="D950" s="1" t="str">
        <f t="shared" si="31"/>
        <v>0</v>
      </c>
    </row>
    <row r="951" spans="1:4" x14ac:dyDescent="0.3">
      <c r="A951" s="1">
        <v>46042.6875</v>
      </c>
      <c r="B951" s="2">
        <v>12.4</v>
      </c>
      <c r="C951" s="1" t="str">
        <f t="shared" si="30"/>
        <v>0</v>
      </c>
      <c r="D951" s="1" t="str">
        <f t="shared" si="31"/>
        <v>0</v>
      </c>
    </row>
    <row r="952" spans="1:4" x14ac:dyDescent="0.3">
      <c r="A952" s="1">
        <v>46042.708333333336</v>
      </c>
      <c r="B952" s="2">
        <v>12</v>
      </c>
      <c r="C952" s="1" t="str">
        <f t="shared" si="30"/>
        <v>0</v>
      </c>
      <c r="D952" s="1" t="str">
        <f t="shared" si="31"/>
        <v>0</v>
      </c>
    </row>
    <row r="953" spans="1:4" x14ac:dyDescent="0.3">
      <c r="A953" s="1">
        <v>46042.729166666664</v>
      </c>
      <c r="B953" s="2">
        <v>11.8</v>
      </c>
      <c r="C953" s="1" t="str">
        <f t="shared" si="30"/>
        <v>0</v>
      </c>
      <c r="D953" s="1" t="str">
        <f t="shared" si="31"/>
        <v>0</v>
      </c>
    </row>
    <row r="954" spans="1:4" x14ac:dyDescent="0.3">
      <c r="A954" s="1">
        <v>46042.75</v>
      </c>
      <c r="B954" s="2">
        <v>11.5</v>
      </c>
      <c r="C954" s="1" t="str">
        <f t="shared" si="30"/>
        <v>0</v>
      </c>
      <c r="D954" s="1" t="str">
        <f t="shared" si="31"/>
        <v>0</v>
      </c>
    </row>
    <row r="955" spans="1:4" x14ac:dyDescent="0.3">
      <c r="A955" s="1">
        <v>46042.770833333336</v>
      </c>
      <c r="B955" s="2">
        <v>11.2</v>
      </c>
      <c r="C955" s="1" t="str">
        <f t="shared" si="30"/>
        <v>0</v>
      </c>
      <c r="D955" s="1" t="str">
        <f t="shared" si="31"/>
        <v>0</v>
      </c>
    </row>
    <row r="956" spans="1:4" x14ac:dyDescent="0.3">
      <c r="A956" s="1">
        <v>46042.791666666664</v>
      </c>
      <c r="B956" s="2">
        <v>11.1</v>
      </c>
      <c r="C956" s="1" t="str">
        <f t="shared" si="30"/>
        <v>0</v>
      </c>
      <c r="D956" s="1" t="str">
        <f t="shared" si="31"/>
        <v>0</v>
      </c>
    </row>
    <row r="957" spans="1:4" x14ac:dyDescent="0.3">
      <c r="A957" s="1">
        <v>46042.8125</v>
      </c>
      <c r="B957" s="2">
        <v>11.1</v>
      </c>
      <c r="C957" s="1" t="str">
        <f t="shared" si="30"/>
        <v>0</v>
      </c>
      <c r="D957" s="1" t="str">
        <f t="shared" si="31"/>
        <v>0</v>
      </c>
    </row>
    <row r="958" spans="1:4" x14ac:dyDescent="0.3">
      <c r="A958" s="1">
        <v>46042.833333333336</v>
      </c>
      <c r="B958" s="2">
        <v>11</v>
      </c>
      <c r="C958" s="1" t="str">
        <f t="shared" si="30"/>
        <v>0</v>
      </c>
      <c r="D958" s="1" t="str">
        <f t="shared" si="31"/>
        <v>0</v>
      </c>
    </row>
    <row r="959" spans="1:4" x14ac:dyDescent="0.3">
      <c r="A959" s="1">
        <v>46042.854166666664</v>
      </c>
      <c r="B959" s="2">
        <v>10.9</v>
      </c>
      <c r="C959" s="1" t="str">
        <f t="shared" si="30"/>
        <v>0</v>
      </c>
      <c r="D959" s="1" t="str">
        <f t="shared" si="31"/>
        <v>0</v>
      </c>
    </row>
    <row r="960" spans="1:4" x14ac:dyDescent="0.3">
      <c r="A960" s="1">
        <v>46042.875</v>
      </c>
      <c r="B960" s="2">
        <v>10.7</v>
      </c>
      <c r="C960" s="1" t="str">
        <f t="shared" si="30"/>
        <v>0</v>
      </c>
      <c r="D960" s="1" t="str">
        <f t="shared" si="31"/>
        <v>0</v>
      </c>
    </row>
    <row r="961" spans="1:4" x14ac:dyDescent="0.3">
      <c r="A961" s="1">
        <v>46042.895833333336</v>
      </c>
      <c r="B961" s="2">
        <v>10.5</v>
      </c>
      <c r="C961" s="1" t="str">
        <f t="shared" si="30"/>
        <v>0</v>
      </c>
      <c r="D961" s="1" t="str">
        <f t="shared" si="31"/>
        <v>0</v>
      </c>
    </row>
    <row r="962" spans="1:4" x14ac:dyDescent="0.3">
      <c r="A962" s="1">
        <v>46042.916666666664</v>
      </c>
      <c r="B962" s="2">
        <v>10.5</v>
      </c>
      <c r="C962" s="1" t="str">
        <f t="shared" si="30"/>
        <v>0</v>
      </c>
      <c r="D962" s="1" t="str">
        <f t="shared" si="31"/>
        <v>0</v>
      </c>
    </row>
    <row r="963" spans="1:4" x14ac:dyDescent="0.3">
      <c r="A963" s="1">
        <v>46042.9375</v>
      </c>
      <c r="B963" s="2">
        <v>10.199999999999999</v>
      </c>
      <c r="C963" s="1" t="str">
        <f t="shared" ref="C963:C1026" si="32">IF(B963=$P$13,A963,"0")</f>
        <v>0</v>
      </c>
      <c r="D963" s="1" t="str">
        <f t="shared" ref="D963:D1026" si="33">IF(B963=$M$13,A963,"0")</f>
        <v>0</v>
      </c>
    </row>
    <row r="964" spans="1:4" x14ac:dyDescent="0.3">
      <c r="A964" s="1">
        <v>46042.958333333336</v>
      </c>
      <c r="B964" s="2">
        <v>9.9</v>
      </c>
      <c r="C964" s="1" t="str">
        <f t="shared" si="32"/>
        <v>0</v>
      </c>
      <c r="D964" s="1" t="str">
        <f t="shared" si="33"/>
        <v>0</v>
      </c>
    </row>
    <row r="965" spans="1:4" x14ac:dyDescent="0.3">
      <c r="A965" s="1">
        <v>46042.979166666664</v>
      </c>
      <c r="B965" s="2">
        <v>9.6</v>
      </c>
      <c r="C965" s="1" t="str">
        <f t="shared" si="32"/>
        <v>0</v>
      </c>
      <c r="D965" s="1" t="str">
        <f t="shared" si="33"/>
        <v>0</v>
      </c>
    </row>
    <row r="966" spans="1:4" x14ac:dyDescent="0.3">
      <c r="A966" s="1">
        <v>46043</v>
      </c>
      <c r="B966" s="2">
        <v>9.6</v>
      </c>
      <c r="C966" s="1" t="str">
        <f t="shared" si="32"/>
        <v>0</v>
      </c>
      <c r="D966" s="1" t="str">
        <f t="shared" si="33"/>
        <v>0</v>
      </c>
    </row>
    <row r="967" spans="1:4" x14ac:dyDescent="0.3">
      <c r="A967" s="1">
        <v>46043.020833333336</v>
      </c>
      <c r="B967" s="2">
        <v>9.8000000000000007</v>
      </c>
      <c r="C967" s="1" t="str">
        <f t="shared" si="32"/>
        <v>0</v>
      </c>
      <c r="D967" s="1" t="str">
        <f t="shared" si="33"/>
        <v>0</v>
      </c>
    </row>
    <row r="968" spans="1:4" x14ac:dyDescent="0.3">
      <c r="A968" s="1">
        <v>46043.041666666664</v>
      </c>
      <c r="B968" s="2">
        <v>9.8000000000000007</v>
      </c>
      <c r="C968" s="1" t="str">
        <f t="shared" si="32"/>
        <v>0</v>
      </c>
      <c r="D968" s="1" t="str">
        <f t="shared" si="33"/>
        <v>0</v>
      </c>
    </row>
    <row r="969" spans="1:4" x14ac:dyDescent="0.3">
      <c r="A969" s="1">
        <v>46043.0625</v>
      </c>
      <c r="B969" s="2">
        <v>9.4</v>
      </c>
      <c r="C969" s="1" t="str">
        <f t="shared" si="32"/>
        <v>0</v>
      </c>
      <c r="D969" s="1" t="str">
        <f t="shared" si="33"/>
        <v>0</v>
      </c>
    </row>
    <row r="970" spans="1:4" x14ac:dyDescent="0.3">
      <c r="A970" s="1">
        <v>46043.083333333336</v>
      </c>
      <c r="B970" s="2">
        <v>9.6999999999999993</v>
      </c>
      <c r="C970" s="1" t="str">
        <f t="shared" si="32"/>
        <v>0</v>
      </c>
      <c r="D970" s="1" t="str">
        <f t="shared" si="33"/>
        <v>0</v>
      </c>
    </row>
    <row r="971" spans="1:4" x14ac:dyDescent="0.3">
      <c r="A971" s="1">
        <v>46043.104166666664</v>
      </c>
      <c r="B971" s="2">
        <v>9.1</v>
      </c>
      <c r="C971" s="1" t="str">
        <f t="shared" si="32"/>
        <v>0</v>
      </c>
      <c r="D971" s="1" t="str">
        <f t="shared" si="33"/>
        <v>0</v>
      </c>
    </row>
    <row r="972" spans="1:4" x14ac:dyDescent="0.3">
      <c r="A972" s="1">
        <v>46043.125</v>
      </c>
      <c r="B972" s="2">
        <v>8.8000000000000007</v>
      </c>
      <c r="C972" s="1" t="str">
        <f t="shared" si="32"/>
        <v>0</v>
      </c>
      <c r="D972" s="1" t="str">
        <f t="shared" si="33"/>
        <v>0</v>
      </c>
    </row>
    <row r="973" spans="1:4" x14ac:dyDescent="0.3">
      <c r="A973" s="1">
        <v>46043.145833333336</v>
      </c>
      <c r="B973" s="2">
        <v>8.9</v>
      </c>
      <c r="C973" s="1" t="str">
        <f t="shared" si="32"/>
        <v>0</v>
      </c>
      <c r="D973" s="1" t="str">
        <f t="shared" si="33"/>
        <v>0</v>
      </c>
    </row>
    <row r="974" spans="1:4" x14ac:dyDescent="0.3">
      <c r="A974" s="1">
        <v>46043.166666666664</v>
      </c>
      <c r="B974" s="2">
        <v>9.3000000000000007</v>
      </c>
      <c r="C974" s="1" t="str">
        <f t="shared" si="32"/>
        <v>0</v>
      </c>
      <c r="D974" s="1" t="str">
        <f t="shared" si="33"/>
        <v>0</v>
      </c>
    </row>
    <row r="975" spans="1:4" x14ac:dyDescent="0.3">
      <c r="A975" s="1">
        <v>46043.1875</v>
      </c>
      <c r="B975" s="2">
        <v>9.3000000000000007</v>
      </c>
      <c r="C975" s="1" t="str">
        <f t="shared" si="32"/>
        <v>0</v>
      </c>
      <c r="D975" s="1" t="str">
        <f t="shared" si="33"/>
        <v>0</v>
      </c>
    </row>
    <row r="976" spans="1:4" x14ac:dyDescent="0.3">
      <c r="A976" s="1">
        <v>46043.208333333336</v>
      </c>
      <c r="B976" s="2">
        <v>9.4</v>
      </c>
      <c r="C976" s="1" t="str">
        <f t="shared" si="32"/>
        <v>0</v>
      </c>
      <c r="D976" s="1" t="str">
        <f t="shared" si="33"/>
        <v>0</v>
      </c>
    </row>
    <row r="977" spans="1:4" x14ac:dyDescent="0.3">
      <c r="A977" s="1">
        <v>46043.229166666664</v>
      </c>
      <c r="B977" s="2">
        <v>9.3000000000000007</v>
      </c>
      <c r="C977" s="1" t="str">
        <f t="shared" si="32"/>
        <v>0</v>
      </c>
      <c r="D977" s="1" t="str">
        <f t="shared" si="33"/>
        <v>0</v>
      </c>
    </row>
    <row r="978" spans="1:4" x14ac:dyDescent="0.3">
      <c r="A978" s="1">
        <v>46043.25</v>
      </c>
      <c r="B978" s="2">
        <v>9.1999999999999993</v>
      </c>
      <c r="C978" s="1" t="str">
        <f t="shared" si="32"/>
        <v>0</v>
      </c>
      <c r="D978" s="1" t="str">
        <f t="shared" si="33"/>
        <v>0</v>
      </c>
    </row>
    <row r="979" spans="1:4" x14ac:dyDescent="0.3">
      <c r="A979" s="1">
        <v>46043.270833333336</v>
      </c>
      <c r="B979" s="2">
        <v>9.1</v>
      </c>
      <c r="C979" s="1" t="str">
        <f t="shared" si="32"/>
        <v>0</v>
      </c>
      <c r="D979" s="1" t="str">
        <f t="shared" si="33"/>
        <v>0</v>
      </c>
    </row>
    <row r="980" spans="1:4" x14ac:dyDescent="0.3">
      <c r="A980" s="1">
        <v>46043.291666666664</v>
      </c>
      <c r="B980" s="2">
        <v>9</v>
      </c>
      <c r="C980" s="1" t="str">
        <f t="shared" si="32"/>
        <v>0</v>
      </c>
      <c r="D980" s="1" t="str">
        <f t="shared" si="33"/>
        <v>0</v>
      </c>
    </row>
    <row r="981" spans="1:4" x14ac:dyDescent="0.3">
      <c r="A981" s="1">
        <v>46043.3125</v>
      </c>
      <c r="B981" s="2">
        <v>8.6999999999999993</v>
      </c>
      <c r="C981" s="1" t="str">
        <f t="shared" si="32"/>
        <v>0</v>
      </c>
      <c r="D981" s="1" t="str">
        <f t="shared" si="33"/>
        <v>0</v>
      </c>
    </row>
    <row r="982" spans="1:4" x14ac:dyDescent="0.3">
      <c r="A982" s="1">
        <v>46043.333333333336</v>
      </c>
      <c r="B982" s="2">
        <v>8.8000000000000007</v>
      </c>
      <c r="C982" s="1" t="str">
        <f t="shared" si="32"/>
        <v>0</v>
      </c>
      <c r="D982" s="1" t="str">
        <f t="shared" si="33"/>
        <v>0</v>
      </c>
    </row>
    <row r="983" spans="1:4" x14ac:dyDescent="0.3">
      <c r="A983" s="1">
        <v>46043.354166666664</v>
      </c>
      <c r="B983" s="2">
        <v>8.6999999999999993</v>
      </c>
      <c r="C983" s="1" t="str">
        <f t="shared" si="32"/>
        <v>0</v>
      </c>
      <c r="D983" s="1" t="str">
        <f t="shared" si="33"/>
        <v>0</v>
      </c>
    </row>
    <row r="984" spans="1:4" x14ac:dyDescent="0.3">
      <c r="A984" s="1">
        <v>46043.375</v>
      </c>
      <c r="B984" s="2">
        <v>8.6999999999999993</v>
      </c>
      <c r="C984" s="1" t="str">
        <f t="shared" si="32"/>
        <v>0</v>
      </c>
      <c r="D984" s="1" t="str">
        <f t="shared" si="33"/>
        <v>0</v>
      </c>
    </row>
    <row r="985" spans="1:4" x14ac:dyDescent="0.3">
      <c r="A985" s="1">
        <v>46043.395833333336</v>
      </c>
      <c r="B985" s="2">
        <v>8.5</v>
      </c>
      <c r="C985" s="1" t="str">
        <f t="shared" si="32"/>
        <v>0</v>
      </c>
      <c r="D985" s="1" t="str">
        <f t="shared" si="33"/>
        <v>0</v>
      </c>
    </row>
    <row r="986" spans="1:4" x14ac:dyDescent="0.3">
      <c r="A986" s="1">
        <v>46043.416666666664</v>
      </c>
      <c r="B986" s="2">
        <v>8.4</v>
      </c>
      <c r="C986" s="1" t="str">
        <f t="shared" si="32"/>
        <v>0</v>
      </c>
      <c r="D986" s="1" t="str">
        <f t="shared" si="33"/>
        <v>0</v>
      </c>
    </row>
    <row r="987" spans="1:4" x14ac:dyDescent="0.3">
      <c r="A987" s="1">
        <v>46043.4375</v>
      </c>
      <c r="B987" s="2">
        <v>8.3000000000000007</v>
      </c>
      <c r="C987" s="1" t="str">
        <f t="shared" si="32"/>
        <v>0</v>
      </c>
      <c r="D987" s="1" t="str">
        <f t="shared" si="33"/>
        <v>0</v>
      </c>
    </row>
    <row r="988" spans="1:4" x14ac:dyDescent="0.3">
      <c r="A988" s="1">
        <v>46043.458333333336</v>
      </c>
      <c r="B988" s="2">
        <v>8.6</v>
      </c>
      <c r="C988" s="1" t="str">
        <f t="shared" si="32"/>
        <v>0</v>
      </c>
      <c r="D988" s="1" t="str">
        <f t="shared" si="33"/>
        <v>0</v>
      </c>
    </row>
    <row r="989" spans="1:4" x14ac:dyDescent="0.3">
      <c r="A989" s="1">
        <v>46043.479166666664</v>
      </c>
      <c r="B989" s="2">
        <v>9.3000000000000007</v>
      </c>
      <c r="C989" s="1" t="str">
        <f t="shared" si="32"/>
        <v>0</v>
      </c>
      <c r="D989" s="1" t="str">
        <f t="shared" si="33"/>
        <v>0</v>
      </c>
    </row>
    <row r="990" spans="1:4" x14ac:dyDescent="0.3">
      <c r="A990" s="1">
        <v>46043.5</v>
      </c>
      <c r="B990" s="2">
        <v>9.1</v>
      </c>
      <c r="C990" s="1" t="str">
        <f t="shared" si="32"/>
        <v>0</v>
      </c>
      <c r="D990" s="1" t="str">
        <f t="shared" si="33"/>
        <v>0</v>
      </c>
    </row>
    <row r="991" spans="1:4" x14ac:dyDescent="0.3">
      <c r="A991" s="1">
        <v>46043.520833333336</v>
      </c>
      <c r="B991" s="2">
        <v>9</v>
      </c>
      <c r="C991" s="1" t="str">
        <f t="shared" si="32"/>
        <v>0</v>
      </c>
      <c r="D991" s="1" t="str">
        <f t="shared" si="33"/>
        <v>0</v>
      </c>
    </row>
    <row r="992" spans="1:4" x14ac:dyDescent="0.3">
      <c r="A992" s="1">
        <v>46043.541666666664</v>
      </c>
      <c r="B992" s="2">
        <v>9.1</v>
      </c>
      <c r="C992" s="1" t="str">
        <f t="shared" si="32"/>
        <v>0</v>
      </c>
      <c r="D992" s="1" t="str">
        <f t="shared" si="33"/>
        <v>0</v>
      </c>
    </row>
    <row r="993" spans="1:4" x14ac:dyDescent="0.3">
      <c r="A993" s="1">
        <v>46043.5625</v>
      </c>
      <c r="B993" s="2">
        <v>9.3000000000000007</v>
      </c>
      <c r="C993" s="1" t="str">
        <f t="shared" si="32"/>
        <v>0</v>
      </c>
      <c r="D993" s="1" t="str">
        <f t="shared" si="33"/>
        <v>0</v>
      </c>
    </row>
    <row r="994" spans="1:4" x14ac:dyDescent="0.3">
      <c r="A994" s="1">
        <v>46043.583333333336</v>
      </c>
      <c r="B994" s="2">
        <v>9.3000000000000007</v>
      </c>
      <c r="C994" s="1" t="str">
        <f t="shared" si="32"/>
        <v>0</v>
      </c>
      <c r="D994" s="1" t="str">
        <f t="shared" si="33"/>
        <v>0</v>
      </c>
    </row>
    <row r="995" spans="1:4" x14ac:dyDescent="0.3">
      <c r="A995" s="1">
        <v>46043.604166666664</v>
      </c>
      <c r="B995" s="2">
        <v>9.4</v>
      </c>
      <c r="C995" s="1" t="str">
        <f t="shared" si="32"/>
        <v>0</v>
      </c>
      <c r="D995" s="1" t="str">
        <f t="shared" si="33"/>
        <v>0</v>
      </c>
    </row>
    <row r="996" spans="1:4" x14ac:dyDescent="0.3">
      <c r="A996" s="1">
        <v>46043.625</v>
      </c>
      <c r="B996" s="2">
        <v>9.1999999999999993</v>
      </c>
      <c r="C996" s="1" t="str">
        <f t="shared" si="32"/>
        <v>0</v>
      </c>
      <c r="D996" s="1" t="str">
        <f t="shared" si="33"/>
        <v>0</v>
      </c>
    </row>
    <row r="997" spans="1:4" x14ac:dyDescent="0.3">
      <c r="A997" s="1">
        <v>46043.645833333336</v>
      </c>
      <c r="B997" s="2">
        <v>9.1</v>
      </c>
      <c r="C997" s="1" t="str">
        <f t="shared" si="32"/>
        <v>0</v>
      </c>
      <c r="D997" s="1" t="str">
        <f t="shared" si="33"/>
        <v>0</v>
      </c>
    </row>
    <row r="998" spans="1:4" x14ac:dyDescent="0.3">
      <c r="A998" s="1">
        <v>46043.666666666664</v>
      </c>
      <c r="B998" s="2">
        <v>9</v>
      </c>
      <c r="C998" s="1" t="str">
        <f t="shared" si="32"/>
        <v>0</v>
      </c>
      <c r="D998" s="1" t="str">
        <f t="shared" si="33"/>
        <v>0</v>
      </c>
    </row>
    <row r="999" spans="1:4" x14ac:dyDescent="0.3">
      <c r="A999" s="1">
        <v>46043.6875</v>
      </c>
      <c r="B999" s="2">
        <v>9.1999999999999993</v>
      </c>
      <c r="C999" s="1" t="str">
        <f t="shared" si="32"/>
        <v>0</v>
      </c>
      <c r="D999" s="1" t="str">
        <f t="shared" si="33"/>
        <v>0</v>
      </c>
    </row>
    <row r="1000" spans="1:4" x14ac:dyDescent="0.3">
      <c r="A1000" s="1">
        <v>46043.708333333336</v>
      </c>
      <c r="B1000" s="2">
        <v>9.1</v>
      </c>
      <c r="C1000" s="1" t="str">
        <f t="shared" si="32"/>
        <v>0</v>
      </c>
      <c r="D1000" s="1" t="str">
        <f t="shared" si="33"/>
        <v>0</v>
      </c>
    </row>
    <row r="1001" spans="1:4" x14ac:dyDescent="0.3">
      <c r="A1001" s="1">
        <v>46043.729166666664</v>
      </c>
      <c r="B1001" s="2">
        <v>9.1999999999999993</v>
      </c>
      <c r="C1001" s="1" t="str">
        <f t="shared" si="32"/>
        <v>0</v>
      </c>
      <c r="D1001" s="1" t="str">
        <f t="shared" si="33"/>
        <v>0</v>
      </c>
    </row>
    <row r="1002" spans="1:4" x14ac:dyDescent="0.3">
      <c r="A1002" s="1">
        <v>46043.75</v>
      </c>
      <c r="B1002" s="2">
        <v>9</v>
      </c>
      <c r="C1002" s="1" t="str">
        <f t="shared" si="32"/>
        <v>0</v>
      </c>
      <c r="D1002" s="1" t="str">
        <f t="shared" si="33"/>
        <v>0</v>
      </c>
    </row>
    <row r="1003" spans="1:4" x14ac:dyDescent="0.3">
      <c r="A1003" s="1">
        <v>46043.770833333336</v>
      </c>
      <c r="B1003" s="2">
        <v>8.9</v>
      </c>
      <c r="C1003" s="1" t="str">
        <f t="shared" si="32"/>
        <v>0</v>
      </c>
      <c r="D1003" s="1" t="str">
        <f t="shared" si="33"/>
        <v>0</v>
      </c>
    </row>
    <row r="1004" spans="1:4" x14ac:dyDescent="0.3">
      <c r="A1004" s="1">
        <v>46043.791666666664</v>
      </c>
      <c r="B1004" s="2">
        <v>8.6999999999999993</v>
      </c>
      <c r="C1004" s="1" t="str">
        <f t="shared" si="32"/>
        <v>0</v>
      </c>
      <c r="D1004" s="1" t="str">
        <f t="shared" si="33"/>
        <v>0</v>
      </c>
    </row>
    <row r="1005" spans="1:4" x14ac:dyDescent="0.3">
      <c r="A1005" s="1">
        <v>46043.8125</v>
      </c>
      <c r="B1005" s="2">
        <v>8.6999999999999993</v>
      </c>
      <c r="C1005" s="1" t="str">
        <f t="shared" si="32"/>
        <v>0</v>
      </c>
      <c r="D1005" s="1" t="str">
        <f t="shared" si="33"/>
        <v>0</v>
      </c>
    </row>
    <row r="1006" spans="1:4" x14ac:dyDescent="0.3">
      <c r="A1006" s="1">
        <v>46043.833333333336</v>
      </c>
      <c r="B1006" s="2">
        <v>8.9</v>
      </c>
      <c r="C1006" s="1" t="str">
        <f t="shared" si="32"/>
        <v>0</v>
      </c>
      <c r="D1006" s="1" t="str">
        <f t="shared" si="33"/>
        <v>0</v>
      </c>
    </row>
    <row r="1007" spans="1:4" x14ac:dyDescent="0.3">
      <c r="A1007" s="1">
        <v>46043.854166666664</v>
      </c>
      <c r="B1007" s="2">
        <v>8.6999999999999993</v>
      </c>
      <c r="C1007" s="1" t="str">
        <f t="shared" si="32"/>
        <v>0</v>
      </c>
      <c r="D1007" s="1" t="str">
        <f t="shared" si="33"/>
        <v>0</v>
      </c>
    </row>
    <row r="1008" spans="1:4" x14ac:dyDescent="0.3">
      <c r="A1008" s="1">
        <v>46043.875</v>
      </c>
      <c r="B1008" s="2">
        <v>8.5</v>
      </c>
      <c r="C1008" s="1" t="str">
        <f t="shared" si="32"/>
        <v>0</v>
      </c>
      <c r="D1008" s="1" t="str">
        <f t="shared" si="33"/>
        <v>0</v>
      </c>
    </row>
    <row r="1009" spans="1:4" x14ac:dyDescent="0.3">
      <c r="A1009" s="1">
        <v>46043.895833333336</v>
      </c>
      <c r="B1009" s="2">
        <v>8.3000000000000007</v>
      </c>
      <c r="C1009" s="1" t="str">
        <f t="shared" si="32"/>
        <v>0</v>
      </c>
      <c r="D1009" s="1" t="str">
        <f t="shared" si="33"/>
        <v>0</v>
      </c>
    </row>
    <row r="1010" spans="1:4" x14ac:dyDescent="0.3">
      <c r="A1010" s="1">
        <v>46043.916666666664</v>
      </c>
      <c r="B1010" s="2">
        <v>8.1999999999999993</v>
      </c>
      <c r="C1010" s="1" t="str">
        <f t="shared" si="32"/>
        <v>0</v>
      </c>
      <c r="D1010" s="1" t="str">
        <f t="shared" si="33"/>
        <v>0</v>
      </c>
    </row>
    <row r="1011" spans="1:4" x14ac:dyDescent="0.3">
      <c r="A1011" s="1">
        <v>46043.9375</v>
      </c>
      <c r="B1011" s="2">
        <v>8.1</v>
      </c>
      <c r="C1011" s="1" t="str">
        <f t="shared" si="32"/>
        <v>0</v>
      </c>
      <c r="D1011" s="1" t="str">
        <f t="shared" si="33"/>
        <v>0</v>
      </c>
    </row>
    <row r="1012" spans="1:4" x14ac:dyDescent="0.3">
      <c r="A1012" s="1">
        <v>46043.958333333336</v>
      </c>
      <c r="B1012" s="2">
        <v>8.1</v>
      </c>
      <c r="C1012" s="1" t="str">
        <f t="shared" si="32"/>
        <v>0</v>
      </c>
      <c r="D1012" s="1" t="str">
        <f t="shared" si="33"/>
        <v>0</v>
      </c>
    </row>
    <row r="1013" spans="1:4" x14ac:dyDescent="0.3">
      <c r="A1013" s="1">
        <v>46043.979166666664</v>
      </c>
      <c r="B1013" s="2">
        <v>7.8</v>
      </c>
      <c r="C1013" s="1" t="str">
        <f t="shared" si="32"/>
        <v>0</v>
      </c>
      <c r="D1013" s="1" t="str">
        <f t="shared" si="33"/>
        <v>0</v>
      </c>
    </row>
    <row r="1014" spans="1:4" x14ac:dyDescent="0.3">
      <c r="A1014" s="1">
        <v>46044</v>
      </c>
      <c r="B1014" s="2">
        <v>7.6</v>
      </c>
      <c r="C1014" s="1" t="str">
        <f t="shared" si="32"/>
        <v>0</v>
      </c>
      <c r="D1014" s="1" t="str">
        <f t="shared" si="33"/>
        <v>0</v>
      </c>
    </row>
    <row r="1015" spans="1:4" x14ac:dyDescent="0.3">
      <c r="A1015" s="1">
        <v>46044.020833333336</v>
      </c>
      <c r="B1015" s="2">
        <v>7.5</v>
      </c>
      <c r="C1015" s="1" t="str">
        <f t="shared" si="32"/>
        <v>0</v>
      </c>
      <c r="D1015" s="1" t="str">
        <f t="shared" si="33"/>
        <v>0</v>
      </c>
    </row>
    <row r="1016" spans="1:4" x14ac:dyDescent="0.3">
      <c r="A1016" s="1">
        <v>46044.041666666664</v>
      </c>
      <c r="B1016" s="2">
        <v>7.6</v>
      </c>
      <c r="C1016" s="1" t="str">
        <f t="shared" si="32"/>
        <v>0</v>
      </c>
      <c r="D1016" s="1" t="str">
        <f t="shared" si="33"/>
        <v>0</v>
      </c>
    </row>
    <row r="1017" spans="1:4" x14ac:dyDescent="0.3">
      <c r="A1017" s="1">
        <v>46044.0625</v>
      </c>
      <c r="B1017" s="2">
        <v>7.5</v>
      </c>
      <c r="C1017" s="1" t="str">
        <f t="shared" si="32"/>
        <v>0</v>
      </c>
      <c r="D1017" s="1" t="str">
        <f t="shared" si="33"/>
        <v>0</v>
      </c>
    </row>
    <row r="1018" spans="1:4" x14ac:dyDescent="0.3">
      <c r="A1018" s="1">
        <v>46044.083333333336</v>
      </c>
      <c r="B1018" s="2">
        <v>7.5</v>
      </c>
      <c r="C1018" s="1" t="str">
        <f t="shared" si="32"/>
        <v>0</v>
      </c>
      <c r="D1018" s="1" t="str">
        <f t="shared" si="33"/>
        <v>0</v>
      </c>
    </row>
    <row r="1019" spans="1:4" x14ac:dyDescent="0.3">
      <c r="A1019" s="1">
        <v>46044.104166666664</v>
      </c>
      <c r="B1019" s="2">
        <v>7.3</v>
      </c>
      <c r="C1019" s="1" t="str">
        <f t="shared" si="32"/>
        <v>0</v>
      </c>
      <c r="D1019" s="1" t="str">
        <f t="shared" si="33"/>
        <v>0</v>
      </c>
    </row>
    <row r="1020" spans="1:4" x14ac:dyDescent="0.3">
      <c r="A1020" s="1">
        <v>46044.125</v>
      </c>
      <c r="B1020" s="2">
        <v>7.1</v>
      </c>
      <c r="C1020" s="1" t="str">
        <f t="shared" si="32"/>
        <v>0</v>
      </c>
      <c r="D1020" s="1" t="str">
        <f t="shared" si="33"/>
        <v>0</v>
      </c>
    </row>
    <row r="1021" spans="1:4" x14ac:dyDescent="0.3">
      <c r="A1021" s="1">
        <v>46044.145833333336</v>
      </c>
      <c r="B1021" s="2">
        <v>6.8</v>
      </c>
      <c r="C1021" s="1" t="str">
        <f t="shared" si="32"/>
        <v>0</v>
      </c>
      <c r="D1021" s="1" t="str">
        <f t="shared" si="33"/>
        <v>0</v>
      </c>
    </row>
    <row r="1022" spans="1:4" x14ac:dyDescent="0.3">
      <c r="A1022" s="1">
        <v>46044.166666666664</v>
      </c>
      <c r="B1022" s="2">
        <v>6.7</v>
      </c>
      <c r="C1022" s="1" t="str">
        <f t="shared" si="32"/>
        <v>0</v>
      </c>
      <c r="D1022" s="1" t="str">
        <f t="shared" si="33"/>
        <v>0</v>
      </c>
    </row>
    <row r="1023" spans="1:4" x14ac:dyDescent="0.3">
      <c r="A1023" s="1">
        <v>46044.1875</v>
      </c>
      <c r="B1023" s="2">
        <v>6.8</v>
      </c>
      <c r="C1023" s="1" t="str">
        <f t="shared" si="32"/>
        <v>0</v>
      </c>
      <c r="D1023" s="1" t="str">
        <f t="shared" si="33"/>
        <v>0</v>
      </c>
    </row>
    <row r="1024" spans="1:4" x14ac:dyDescent="0.3">
      <c r="A1024" s="1">
        <v>46044.208333333336</v>
      </c>
      <c r="B1024" s="2">
        <v>6.7</v>
      </c>
      <c r="C1024" s="1" t="str">
        <f t="shared" si="32"/>
        <v>0</v>
      </c>
      <c r="D1024" s="1" t="str">
        <f t="shared" si="33"/>
        <v>0</v>
      </c>
    </row>
    <row r="1025" spans="1:4" x14ac:dyDescent="0.3">
      <c r="A1025" s="1">
        <v>46044.229166666664</v>
      </c>
      <c r="B1025" s="2">
        <v>7.1</v>
      </c>
      <c r="C1025" s="1" t="str">
        <f t="shared" si="32"/>
        <v>0</v>
      </c>
      <c r="D1025" s="1" t="str">
        <f t="shared" si="33"/>
        <v>0</v>
      </c>
    </row>
    <row r="1026" spans="1:4" x14ac:dyDescent="0.3">
      <c r="A1026" s="1">
        <v>46044.25</v>
      </c>
      <c r="B1026" s="2">
        <v>7.5</v>
      </c>
      <c r="C1026" s="1" t="str">
        <f t="shared" si="32"/>
        <v>0</v>
      </c>
      <c r="D1026" s="1" t="str">
        <f t="shared" si="33"/>
        <v>0</v>
      </c>
    </row>
    <row r="1027" spans="1:4" x14ac:dyDescent="0.3">
      <c r="A1027" s="1">
        <v>46044.270833333336</v>
      </c>
      <c r="B1027" s="2">
        <v>7.4</v>
      </c>
      <c r="C1027" s="1" t="str">
        <f t="shared" ref="C1027:C1090" si="34">IF(B1027=$P$13,A1027,"0")</f>
        <v>0</v>
      </c>
      <c r="D1027" s="1" t="str">
        <f t="shared" ref="D1027:D1090" si="35">IF(B1027=$M$13,A1027,"0")</f>
        <v>0</v>
      </c>
    </row>
    <row r="1028" spans="1:4" x14ac:dyDescent="0.3">
      <c r="A1028" s="1">
        <v>46044.291666666664</v>
      </c>
      <c r="B1028" s="2">
        <v>7.6</v>
      </c>
      <c r="C1028" s="1" t="str">
        <f t="shared" si="34"/>
        <v>0</v>
      </c>
      <c r="D1028" s="1" t="str">
        <f t="shared" si="35"/>
        <v>0</v>
      </c>
    </row>
    <row r="1029" spans="1:4" x14ac:dyDescent="0.3">
      <c r="A1029" s="1">
        <v>46044.3125</v>
      </c>
      <c r="B1029" s="2">
        <v>7.7</v>
      </c>
      <c r="C1029" s="1" t="str">
        <f t="shared" si="34"/>
        <v>0</v>
      </c>
      <c r="D1029" s="1" t="str">
        <f t="shared" si="35"/>
        <v>0</v>
      </c>
    </row>
    <row r="1030" spans="1:4" x14ac:dyDescent="0.3">
      <c r="A1030" s="1">
        <v>46044.333333333336</v>
      </c>
      <c r="B1030" s="2">
        <v>7.6</v>
      </c>
      <c r="C1030" s="1" t="str">
        <f t="shared" si="34"/>
        <v>0</v>
      </c>
      <c r="D1030" s="1" t="str">
        <f t="shared" si="35"/>
        <v>0</v>
      </c>
    </row>
    <row r="1031" spans="1:4" x14ac:dyDescent="0.3">
      <c r="A1031" s="1">
        <v>46044.354166666664</v>
      </c>
      <c r="B1031" s="2">
        <v>7.8</v>
      </c>
      <c r="C1031" s="1" t="str">
        <f t="shared" si="34"/>
        <v>0</v>
      </c>
      <c r="D1031" s="1" t="str">
        <f t="shared" si="35"/>
        <v>0</v>
      </c>
    </row>
    <row r="1032" spans="1:4" x14ac:dyDescent="0.3">
      <c r="A1032" s="1">
        <v>46044.375</v>
      </c>
      <c r="B1032" s="2">
        <v>8.5</v>
      </c>
      <c r="C1032" s="1" t="str">
        <f t="shared" si="34"/>
        <v>0</v>
      </c>
      <c r="D1032" s="1" t="str">
        <f t="shared" si="35"/>
        <v>0</v>
      </c>
    </row>
    <row r="1033" spans="1:4" x14ac:dyDescent="0.3">
      <c r="A1033" s="1">
        <v>46044.395833333336</v>
      </c>
      <c r="B1033" s="2">
        <v>9.4</v>
      </c>
      <c r="C1033" s="1" t="str">
        <f t="shared" si="34"/>
        <v>0</v>
      </c>
      <c r="D1033" s="1" t="str">
        <f t="shared" si="35"/>
        <v>0</v>
      </c>
    </row>
    <row r="1034" spans="1:4" x14ac:dyDescent="0.3">
      <c r="A1034" s="1">
        <v>46044.416666666664</v>
      </c>
      <c r="B1034" s="2">
        <v>9.9</v>
      </c>
      <c r="C1034" s="1" t="str">
        <f t="shared" si="34"/>
        <v>0</v>
      </c>
      <c r="D1034" s="1" t="str">
        <f t="shared" si="35"/>
        <v>0</v>
      </c>
    </row>
    <row r="1035" spans="1:4" x14ac:dyDescent="0.3">
      <c r="A1035" s="1">
        <v>46044.4375</v>
      </c>
      <c r="B1035" s="2">
        <v>10.5</v>
      </c>
      <c r="C1035" s="1" t="str">
        <f t="shared" si="34"/>
        <v>0</v>
      </c>
      <c r="D1035" s="1" t="str">
        <f t="shared" si="35"/>
        <v>0</v>
      </c>
    </row>
    <row r="1036" spans="1:4" x14ac:dyDescent="0.3">
      <c r="A1036" s="1">
        <v>46044.458333333336</v>
      </c>
      <c r="B1036" s="2">
        <v>11.5</v>
      </c>
      <c r="C1036" s="1" t="str">
        <f t="shared" si="34"/>
        <v>0</v>
      </c>
      <c r="D1036" s="1" t="str">
        <f t="shared" si="35"/>
        <v>0</v>
      </c>
    </row>
    <row r="1037" spans="1:4" x14ac:dyDescent="0.3">
      <c r="A1037" s="1">
        <v>46044.479166666664</v>
      </c>
      <c r="B1037" s="2">
        <v>12.2</v>
      </c>
      <c r="C1037" s="1" t="str">
        <f t="shared" si="34"/>
        <v>0</v>
      </c>
      <c r="D1037" s="1" t="str">
        <f t="shared" si="35"/>
        <v>0</v>
      </c>
    </row>
    <row r="1038" spans="1:4" x14ac:dyDescent="0.3">
      <c r="A1038" s="1">
        <v>46044.5</v>
      </c>
      <c r="B1038" s="2">
        <v>12.3</v>
      </c>
      <c r="C1038" s="1" t="str">
        <f t="shared" si="34"/>
        <v>0</v>
      </c>
      <c r="D1038" s="1" t="str">
        <f t="shared" si="35"/>
        <v>0</v>
      </c>
    </row>
    <row r="1039" spans="1:4" x14ac:dyDescent="0.3">
      <c r="A1039" s="1">
        <v>46044.520833333336</v>
      </c>
      <c r="B1039" s="2">
        <v>12.4</v>
      </c>
      <c r="C1039" s="1" t="str">
        <f t="shared" si="34"/>
        <v>0</v>
      </c>
      <c r="D1039" s="1" t="str">
        <f t="shared" si="35"/>
        <v>0</v>
      </c>
    </row>
    <row r="1040" spans="1:4" x14ac:dyDescent="0.3">
      <c r="A1040" s="1">
        <v>46044.541666666664</v>
      </c>
      <c r="B1040" s="2">
        <v>12.5</v>
      </c>
      <c r="C1040" s="1" t="str">
        <f t="shared" si="34"/>
        <v>0</v>
      </c>
      <c r="D1040" s="1" t="str">
        <f t="shared" si="35"/>
        <v>0</v>
      </c>
    </row>
    <row r="1041" spans="1:4" x14ac:dyDescent="0.3">
      <c r="A1041" s="1">
        <v>46044.5625</v>
      </c>
      <c r="B1041" s="2">
        <v>12.7</v>
      </c>
      <c r="C1041" s="1" t="str">
        <f t="shared" si="34"/>
        <v>0</v>
      </c>
      <c r="D1041" s="1" t="str">
        <f t="shared" si="35"/>
        <v>0</v>
      </c>
    </row>
    <row r="1042" spans="1:4" x14ac:dyDescent="0.3">
      <c r="A1042" s="1">
        <v>46044.583333333336</v>
      </c>
      <c r="B1042" s="2">
        <v>12.7</v>
      </c>
      <c r="C1042" s="1" t="str">
        <f t="shared" si="34"/>
        <v>0</v>
      </c>
      <c r="D1042" s="1" t="str">
        <f t="shared" si="35"/>
        <v>0</v>
      </c>
    </row>
    <row r="1043" spans="1:4" x14ac:dyDescent="0.3">
      <c r="A1043" s="1">
        <v>46044.604166666664</v>
      </c>
      <c r="B1043" s="2">
        <v>12.6</v>
      </c>
      <c r="C1043" s="1" t="str">
        <f t="shared" si="34"/>
        <v>0</v>
      </c>
      <c r="D1043" s="1" t="str">
        <f t="shared" si="35"/>
        <v>0</v>
      </c>
    </row>
    <row r="1044" spans="1:4" x14ac:dyDescent="0.3">
      <c r="A1044" s="1">
        <v>46044.625</v>
      </c>
      <c r="B1044" s="2">
        <v>12.5</v>
      </c>
      <c r="C1044" s="1" t="str">
        <f t="shared" si="34"/>
        <v>0</v>
      </c>
      <c r="D1044" s="1" t="str">
        <f t="shared" si="35"/>
        <v>0</v>
      </c>
    </row>
    <row r="1045" spans="1:4" x14ac:dyDescent="0.3">
      <c r="A1045" s="1">
        <v>46044.645833333336</v>
      </c>
      <c r="B1045" s="2">
        <v>12</v>
      </c>
      <c r="C1045" s="1" t="str">
        <f t="shared" si="34"/>
        <v>0</v>
      </c>
      <c r="D1045" s="1" t="str">
        <f t="shared" si="35"/>
        <v>0</v>
      </c>
    </row>
    <row r="1046" spans="1:4" x14ac:dyDescent="0.3">
      <c r="A1046" s="1">
        <v>46044.666666666664</v>
      </c>
      <c r="B1046" s="2">
        <v>11.7</v>
      </c>
      <c r="C1046" s="1" t="str">
        <f t="shared" si="34"/>
        <v>0</v>
      </c>
      <c r="D1046" s="1" t="str">
        <f t="shared" si="35"/>
        <v>0</v>
      </c>
    </row>
    <row r="1047" spans="1:4" x14ac:dyDescent="0.3">
      <c r="A1047" s="1">
        <v>46044.6875</v>
      </c>
      <c r="B1047" s="2">
        <v>11.3</v>
      </c>
      <c r="C1047" s="1" t="str">
        <f t="shared" si="34"/>
        <v>0</v>
      </c>
      <c r="D1047" s="1" t="str">
        <f t="shared" si="35"/>
        <v>0</v>
      </c>
    </row>
    <row r="1048" spans="1:4" x14ac:dyDescent="0.3">
      <c r="A1048" s="1">
        <v>46044.708333333336</v>
      </c>
      <c r="B1048" s="2">
        <v>11</v>
      </c>
      <c r="C1048" s="1" t="str">
        <f t="shared" si="34"/>
        <v>0</v>
      </c>
      <c r="D1048" s="1" t="str">
        <f t="shared" si="35"/>
        <v>0</v>
      </c>
    </row>
    <row r="1049" spans="1:4" x14ac:dyDescent="0.3">
      <c r="A1049" s="1">
        <v>46044.729166666664</v>
      </c>
      <c r="B1049" s="2">
        <v>11</v>
      </c>
      <c r="C1049" s="1" t="str">
        <f t="shared" si="34"/>
        <v>0</v>
      </c>
      <c r="D1049" s="1" t="str">
        <f t="shared" si="35"/>
        <v>0</v>
      </c>
    </row>
    <row r="1050" spans="1:4" x14ac:dyDescent="0.3">
      <c r="A1050" s="1">
        <v>46044.75</v>
      </c>
      <c r="B1050" s="2">
        <v>10.9</v>
      </c>
      <c r="C1050" s="1" t="str">
        <f t="shared" si="34"/>
        <v>0</v>
      </c>
      <c r="D1050" s="1" t="str">
        <f t="shared" si="35"/>
        <v>0</v>
      </c>
    </row>
    <row r="1051" spans="1:4" x14ac:dyDescent="0.3">
      <c r="A1051" s="1">
        <v>46044.770833333336</v>
      </c>
      <c r="B1051" s="2">
        <v>11</v>
      </c>
      <c r="C1051" s="1" t="str">
        <f t="shared" si="34"/>
        <v>0</v>
      </c>
      <c r="D1051" s="1" t="str">
        <f t="shared" si="35"/>
        <v>0</v>
      </c>
    </row>
    <row r="1052" spans="1:4" x14ac:dyDescent="0.3">
      <c r="A1052" s="1">
        <v>46044.791666666664</v>
      </c>
      <c r="B1052" s="2">
        <v>10.8</v>
      </c>
      <c r="C1052" s="1" t="str">
        <f t="shared" si="34"/>
        <v>0</v>
      </c>
      <c r="D1052" s="1" t="str">
        <f t="shared" si="35"/>
        <v>0</v>
      </c>
    </row>
    <row r="1053" spans="1:4" x14ac:dyDescent="0.3">
      <c r="A1053" s="1">
        <v>46044.8125</v>
      </c>
      <c r="B1053" s="2">
        <v>10.5</v>
      </c>
      <c r="C1053" s="1" t="str">
        <f t="shared" si="34"/>
        <v>0</v>
      </c>
      <c r="D1053" s="1" t="str">
        <f t="shared" si="35"/>
        <v>0</v>
      </c>
    </row>
    <row r="1054" spans="1:4" x14ac:dyDescent="0.3">
      <c r="A1054" s="1">
        <v>46044.833333333336</v>
      </c>
      <c r="B1054" s="2">
        <v>9.9</v>
      </c>
      <c r="C1054" s="1" t="str">
        <f t="shared" si="34"/>
        <v>0</v>
      </c>
      <c r="D1054" s="1" t="str">
        <f t="shared" si="35"/>
        <v>0</v>
      </c>
    </row>
    <row r="1055" spans="1:4" x14ac:dyDescent="0.3">
      <c r="A1055" s="1">
        <v>46044.854166666664</v>
      </c>
      <c r="B1055" s="2">
        <v>9.8000000000000007</v>
      </c>
      <c r="C1055" s="1" t="str">
        <f t="shared" si="34"/>
        <v>0</v>
      </c>
      <c r="D1055" s="1" t="str">
        <f t="shared" si="35"/>
        <v>0</v>
      </c>
    </row>
    <row r="1056" spans="1:4" x14ac:dyDescent="0.3">
      <c r="A1056" s="1">
        <v>46044.875</v>
      </c>
      <c r="B1056" s="2">
        <v>9.6</v>
      </c>
      <c r="C1056" s="1" t="str">
        <f t="shared" si="34"/>
        <v>0</v>
      </c>
      <c r="D1056" s="1" t="str">
        <f t="shared" si="35"/>
        <v>0</v>
      </c>
    </row>
    <row r="1057" spans="1:4" x14ac:dyDescent="0.3">
      <c r="A1057" s="1">
        <v>46044.895833333336</v>
      </c>
      <c r="B1057" s="2">
        <v>9.5</v>
      </c>
      <c r="C1057" s="1" t="str">
        <f t="shared" si="34"/>
        <v>0</v>
      </c>
      <c r="D1057" s="1" t="str">
        <f t="shared" si="35"/>
        <v>0</v>
      </c>
    </row>
    <row r="1058" spans="1:4" x14ac:dyDescent="0.3">
      <c r="A1058" s="1">
        <v>46044.916666666664</v>
      </c>
      <c r="B1058" s="2">
        <v>9.3000000000000007</v>
      </c>
      <c r="C1058" s="1" t="str">
        <f t="shared" si="34"/>
        <v>0</v>
      </c>
      <c r="D1058" s="1" t="str">
        <f t="shared" si="35"/>
        <v>0</v>
      </c>
    </row>
    <row r="1059" spans="1:4" x14ac:dyDescent="0.3">
      <c r="A1059" s="1">
        <v>46044.9375</v>
      </c>
      <c r="B1059" s="2">
        <v>8.1999999999999993</v>
      </c>
      <c r="C1059" s="1" t="str">
        <f t="shared" si="34"/>
        <v>0</v>
      </c>
      <c r="D1059" s="1" t="str">
        <f t="shared" si="35"/>
        <v>0</v>
      </c>
    </row>
    <row r="1060" spans="1:4" x14ac:dyDescent="0.3">
      <c r="A1060" s="1">
        <v>46044.958333333336</v>
      </c>
      <c r="B1060" s="2">
        <v>7.9</v>
      </c>
      <c r="C1060" s="1" t="str">
        <f t="shared" si="34"/>
        <v>0</v>
      </c>
      <c r="D1060" s="1" t="str">
        <f t="shared" si="35"/>
        <v>0</v>
      </c>
    </row>
    <row r="1061" spans="1:4" x14ac:dyDescent="0.3">
      <c r="A1061" s="1">
        <v>46044.979166666664</v>
      </c>
      <c r="B1061" s="2">
        <v>6.6</v>
      </c>
      <c r="C1061" s="1" t="str">
        <f t="shared" si="34"/>
        <v>0</v>
      </c>
      <c r="D1061" s="1" t="str">
        <f t="shared" si="35"/>
        <v>0</v>
      </c>
    </row>
    <row r="1062" spans="1:4" x14ac:dyDescent="0.3">
      <c r="A1062" s="1">
        <v>46045</v>
      </c>
      <c r="B1062" s="2">
        <v>5.9</v>
      </c>
      <c r="C1062" s="1" t="str">
        <f t="shared" si="34"/>
        <v>0</v>
      </c>
      <c r="D1062" s="1" t="str">
        <f t="shared" si="35"/>
        <v>0</v>
      </c>
    </row>
    <row r="1063" spans="1:4" x14ac:dyDescent="0.3">
      <c r="A1063" s="1">
        <v>46045.020833333336</v>
      </c>
      <c r="B1063" s="2">
        <v>5.9</v>
      </c>
      <c r="C1063" s="1" t="str">
        <f t="shared" si="34"/>
        <v>0</v>
      </c>
      <c r="D1063" s="1" t="str">
        <f t="shared" si="35"/>
        <v>0</v>
      </c>
    </row>
    <row r="1064" spans="1:4" x14ac:dyDescent="0.3">
      <c r="A1064" s="1">
        <v>46045.041666666664</v>
      </c>
      <c r="B1064" s="2">
        <v>5.6</v>
      </c>
      <c r="C1064" s="1" t="str">
        <f t="shared" si="34"/>
        <v>0</v>
      </c>
      <c r="D1064" s="1" t="str">
        <f t="shared" si="35"/>
        <v>0</v>
      </c>
    </row>
    <row r="1065" spans="1:4" x14ac:dyDescent="0.3">
      <c r="A1065" s="1">
        <v>46045.0625</v>
      </c>
      <c r="B1065" s="2">
        <v>5.6</v>
      </c>
      <c r="C1065" s="1" t="str">
        <f t="shared" si="34"/>
        <v>0</v>
      </c>
      <c r="D1065" s="1" t="str">
        <f t="shared" si="35"/>
        <v>0</v>
      </c>
    </row>
    <row r="1066" spans="1:4" x14ac:dyDescent="0.3">
      <c r="A1066" s="1">
        <v>46045.083333333336</v>
      </c>
      <c r="B1066" s="2">
        <v>5.4</v>
      </c>
      <c r="C1066" s="1" t="str">
        <f t="shared" si="34"/>
        <v>0</v>
      </c>
      <c r="D1066" s="1" t="str">
        <f t="shared" si="35"/>
        <v>0</v>
      </c>
    </row>
    <row r="1067" spans="1:4" x14ac:dyDescent="0.3">
      <c r="A1067" s="1">
        <v>46045.104166666664</v>
      </c>
      <c r="B1067" s="2">
        <v>5.2</v>
      </c>
      <c r="C1067" s="1" t="str">
        <f t="shared" si="34"/>
        <v>0</v>
      </c>
      <c r="D1067" s="1" t="str">
        <f t="shared" si="35"/>
        <v>0</v>
      </c>
    </row>
    <row r="1068" spans="1:4" x14ac:dyDescent="0.3">
      <c r="A1068" s="1">
        <v>46045.125</v>
      </c>
      <c r="B1068" s="2">
        <v>5.2</v>
      </c>
      <c r="C1068" s="1" t="str">
        <f t="shared" si="34"/>
        <v>0</v>
      </c>
      <c r="D1068" s="1" t="str">
        <f t="shared" si="35"/>
        <v>0</v>
      </c>
    </row>
    <row r="1069" spans="1:4" x14ac:dyDescent="0.3">
      <c r="A1069" s="1">
        <v>46045.145833333336</v>
      </c>
      <c r="B1069" s="2">
        <v>5.0999999999999996</v>
      </c>
      <c r="C1069" s="1" t="str">
        <f t="shared" si="34"/>
        <v>0</v>
      </c>
      <c r="D1069" s="1" t="str">
        <f t="shared" si="35"/>
        <v>0</v>
      </c>
    </row>
    <row r="1070" spans="1:4" x14ac:dyDescent="0.3">
      <c r="A1070" s="1">
        <v>46045.166666666664</v>
      </c>
      <c r="B1070" s="2">
        <v>4.9000000000000004</v>
      </c>
      <c r="C1070" s="1" t="str">
        <f t="shared" si="34"/>
        <v>0</v>
      </c>
      <c r="D1070" s="1" t="str">
        <f t="shared" si="35"/>
        <v>0</v>
      </c>
    </row>
    <row r="1071" spans="1:4" x14ac:dyDescent="0.3">
      <c r="A1071" s="1">
        <v>46045.1875</v>
      </c>
      <c r="B1071" s="2">
        <v>4.9000000000000004</v>
      </c>
      <c r="C1071" s="1" t="str">
        <f t="shared" si="34"/>
        <v>0</v>
      </c>
      <c r="D1071" s="1" t="str">
        <f t="shared" si="35"/>
        <v>0</v>
      </c>
    </row>
    <row r="1072" spans="1:4" x14ac:dyDescent="0.3">
      <c r="A1072" s="1">
        <v>46045.208333333336</v>
      </c>
      <c r="B1072" s="2">
        <v>4.8</v>
      </c>
      <c r="C1072" s="1" t="str">
        <f t="shared" si="34"/>
        <v>0</v>
      </c>
      <c r="D1072" s="1" t="str">
        <f t="shared" si="35"/>
        <v>0</v>
      </c>
    </row>
    <row r="1073" spans="1:4" x14ac:dyDescent="0.3">
      <c r="A1073" s="1">
        <v>46045.229166666664</v>
      </c>
      <c r="B1073" s="2">
        <v>4.7</v>
      </c>
      <c r="C1073" s="1" t="str">
        <f t="shared" si="34"/>
        <v>0</v>
      </c>
      <c r="D1073" s="1" t="str">
        <f t="shared" si="35"/>
        <v>0</v>
      </c>
    </row>
    <row r="1074" spans="1:4" x14ac:dyDescent="0.3">
      <c r="A1074" s="1">
        <v>46045.25</v>
      </c>
      <c r="B1074" s="2">
        <v>4.7</v>
      </c>
      <c r="C1074" s="1" t="str">
        <f t="shared" si="34"/>
        <v>0</v>
      </c>
      <c r="D1074" s="1" t="str">
        <f t="shared" si="35"/>
        <v>0</v>
      </c>
    </row>
    <row r="1075" spans="1:4" x14ac:dyDescent="0.3">
      <c r="A1075" s="1">
        <v>46045.270833333336</v>
      </c>
      <c r="B1075" s="2">
        <v>4</v>
      </c>
      <c r="C1075" s="1" t="str">
        <f t="shared" si="34"/>
        <v>0</v>
      </c>
      <c r="D1075" s="1" t="str">
        <f t="shared" si="35"/>
        <v>0</v>
      </c>
    </row>
    <row r="1076" spans="1:4" x14ac:dyDescent="0.3">
      <c r="A1076" s="1">
        <v>46045.291666666664</v>
      </c>
      <c r="B1076" s="2">
        <v>3.8</v>
      </c>
      <c r="C1076" s="1" t="str">
        <f t="shared" si="34"/>
        <v>0</v>
      </c>
      <c r="D1076" s="1" t="str">
        <f t="shared" si="35"/>
        <v>0</v>
      </c>
    </row>
    <row r="1077" spans="1:4" x14ac:dyDescent="0.3">
      <c r="A1077" s="1">
        <v>46045.3125</v>
      </c>
      <c r="B1077" s="2">
        <v>4.5999999999999996</v>
      </c>
      <c r="C1077" s="1" t="str">
        <f t="shared" si="34"/>
        <v>0</v>
      </c>
      <c r="D1077" s="1" t="str">
        <f t="shared" si="35"/>
        <v>0</v>
      </c>
    </row>
    <row r="1078" spans="1:4" x14ac:dyDescent="0.3">
      <c r="A1078" s="1">
        <v>46045.333333333336</v>
      </c>
      <c r="B1078" s="2">
        <v>5</v>
      </c>
      <c r="C1078" s="1" t="str">
        <f t="shared" si="34"/>
        <v>0</v>
      </c>
      <c r="D1078" s="1" t="str">
        <f t="shared" si="35"/>
        <v>0</v>
      </c>
    </row>
    <row r="1079" spans="1:4" x14ac:dyDescent="0.3">
      <c r="A1079" s="1">
        <v>46045.354166666664</v>
      </c>
      <c r="B1079" s="2">
        <v>5.7</v>
      </c>
      <c r="C1079" s="1" t="str">
        <f t="shared" si="34"/>
        <v>0</v>
      </c>
      <c r="D1079" s="1" t="str">
        <f t="shared" si="35"/>
        <v>0</v>
      </c>
    </row>
    <row r="1080" spans="1:4" x14ac:dyDescent="0.3">
      <c r="A1080" s="1">
        <v>46045.375</v>
      </c>
      <c r="B1080" s="2">
        <v>7.4</v>
      </c>
      <c r="C1080" s="1" t="str">
        <f t="shared" si="34"/>
        <v>0</v>
      </c>
      <c r="D1080" s="1" t="str">
        <f t="shared" si="35"/>
        <v>0</v>
      </c>
    </row>
    <row r="1081" spans="1:4" x14ac:dyDescent="0.3">
      <c r="A1081" s="1">
        <v>46045.395833333336</v>
      </c>
      <c r="B1081" s="2">
        <v>8.5</v>
      </c>
      <c r="C1081" s="1" t="str">
        <f t="shared" si="34"/>
        <v>0</v>
      </c>
      <c r="D1081" s="1" t="str">
        <f t="shared" si="35"/>
        <v>0</v>
      </c>
    </row>
    <row r="1082" spans="1:4" x14ac:dyDescent="0.3">
      <c r="A1082" s="1">
        <v>46045.416666666664</v>
      </c>
      <c r="B1082" s="2">
        <v>9</v>
      </c>
      <c r="C1082" s="1" t="str">
        <f t="shared" si="34"/>
        <v>0</v>
      </c>
      <c r="D1082" s="1" t="str">
        <f t="shared" si="35"/>
        <v>0</v>
      </c>
    </row>
    <row r="1083" spans="1:4" x14ac:dyDescent="0.3">
      <c r="A1083" s="1">
        <v>46045.4375</v>
      </c>
      <c r="B1083" s="2">
        <v>10.3</v>
      </c>
      <c r="C1083" s="1" t="str">
        <f t="shared" si="34"/>
        <v>0</v>
      </c>
      <c r="D1083" s="1" t="str">
        <f t="shared" si="35"/>
        <v>0</v>
      </c>
    </row>
    <row r="1084" spans="1:4" x14ac:dyDescent="0.3">
      <c r="A1084" s="1">
        <v>46045.458333333336</v>
      </c>
      <c r="B1084" s="2">
        <v>11.4</v>
      </c>
      <c r="C1084" s="1" t="str">
        <f t="shared" si="34"/>
        <v>0</v>
      </c>
      <c r="D1084" s="1" t="str">
        <f t="shared" si="35"/>
        <v>0</v>
      </c>
    </row>
    <row r="1085" spans="1:4" x14ac:dyDescent="0.3">
      <c r="A1085" s="1">
        <v>46045.479166666664</v>
      </c>
      <c r="B1085" s="2">
        <v>12.2</v>
      </c>
      <c r="C1085" s="1" t="str">
        <f t="shared" si="34"/>
        <v>0</v>
      </c>
      <c r="D1085" s="1" t="str">
        <f t="shared" si="35"/>
        <v>0</v>
      </c>
    </row>
    <row r="1086" spans="1:4" x14ac:dyDescent="0.3">
      <c r="A1086" s="1">
        <v>46045.5</v>
      </c>
      <c r="B1086" s="2">
        <v>13.3</v>
      </c>
      <c r="C1086" s="1" t="str">
        <f t="shared" si="34"/>
        <v>0</v>
      </c>
      <c r="D1086" s="1" t="str">
        <f t="shared" si="35"/>
        <v>0</v>
      </c>
    </row>
    <row r="1087" spans="1:4" x14ac:dyDescent="0.3">
      <c r="A1087" s="1">
        <v>46045.520833333336</v>
      </c>
      <c r="B1087" s="2">
        <v>14.4</v>
      </c>
      <c r="C1087" s="1" t="str">
        <f t="shared" si="34"/>
        <v>0</v>
      </c>
      <c r="D1087" s="1" t="str">
        <f t="shared" si="35"/>
        <v>0</v>
      </c>
    </row>
    <row r="1088" spans="1:4" x14ac:dyDescent="0.3">
      <c r="A1088" s="1">
        <v>46045.541666666664</v>
      </c>
      <c r="B1088" s="2">
        <v>14.6</v>
      </c>
      <c r="C1088" s="1" t="str">
        <f t="shared" si="34"/>
        <v>0</v>
      </c>
      <c r="D1088" s="1" t="str">
        <f t="shared" si="35"/>
        <v>0</v>
      </c>
    </row>
    <row r="1089" spans="1:4" x14ac:dyDescent="0.3">
      <c r="A1089" s="1">
        <v>46045.5625</v>
      </c>
      <c r="B1089" s="2">
        <v>14.6</v>
      </c>
      <c r="C1089" s="1" t="str">
        <f t="shared" si="34"/>
        <v>0</v>
      </c>
      <c r="D1089" s="1" t="str">
        <f t="shared" si="35"/>
        <v>0</v>
      </c>
    </row>
    <row r="1090" spans="1:4" x14ac:dyDescent="0.3">
      <c r="A1090" s="1">
        <v>46045.583333333336</v>
      </c>
      <c r="B1090" s="2">
        <v>14.3</v>
      </c>
      <c r="C1090" s="1" t="str">
        <f t="shared" si="34"/>
        <v>0</v>
      </c>
      <c r="D1090" s="1" t="str">
        <f t="shared" si="35"/>
        <v>0</v>
      </c>
    </row>
    <row r="1091" spans="1:4" x14ac:dyDescent="0.3">
      <c r="A1091" s="1">
        <v>46045.604166666664</v>
      </c>
      <c r="B1091" s="2">
        <v>14.4</v>
      </c>
      <c r="C1091" s="1" t="str">
        <f t="shared" ref="C1091:C1154" si="36">IF(B1091=$P$13,A1091,"0")</f>
        <v>0</v>
      </c>
      <c r="D1091" s="1" t="str">
        <f t="shared" ref="D1091:D1154" si="37">IF(B1091=$M$13,A1091,"0")</f>
        <v>0</v>
      </c>
    </row>
    <row r="1092" spans="1:4" x14ac:dyDescent="0.3">
      <c r="A1092" s="1">
        <v>46045.625</v>
      </c>
      <c r="B1092" s="2">
        <v>14.4</v>
      </c>
      <c r="C1092" s="1" t="str">
        <f t="shared" si="36"/>
        <v>0</v>
      </c>
      <c r="D1092" s="1" t="str">
        <f t="shared" si="37"/>
        <v>0</v>
      </c>
    </row>
    <row r="1093" spans="1:4" x14ac:dyDescent="0.3">
      <c r="A1093" s="1">
        <v>46045.645833333336</v>
      </c>
      <c r="B1093" s="2">
        <v>14</v>
      </c>
      <c r="C1093" s="1" t="str">
        <f t="shared" si="36"/>
        <v>0</v>
      </c>
      <c r="D1093" s="1" t="str">
        <f t="shared" si="37"/>
        <v>0</v>
      </c>
    </row>
    <row r="1094" spans="1:4" x14ac:dyDescent="0.3">
      <c r="A1094" s="1">
        <v>46045.666666666664</v>
      </c>
      <c r="B1094" s="2">
        <v>13.7</v>
      </c>
      <c r="C1094" s="1" t="str">
        <f t="shared" si="36"/>
        <v>0</v>
      </c>
      <c r="D1094" s="1" t="str">
        <f t="shared" si="37"/>
        <v>0</v>
      </c>
    </row>
    <row r="1095" spans="1:4" x14ac:dyDescent="0.3">
      <c r="A1095" s="1">
        <v>46045.6875</v>
      </c>
      <c r="B1095" s="2">
        <v>13.4</v>
      </c>
      <c r="C1095" s="1" t="str">
        <f t="shared" si="36"/>
        <v>0</v>
      </c>
      <c r="D1095" s="1" t="str">
        <f t="shared" si="37"/>
        <v>0</v>
      </c>
    </row>
    <row r="1096" spans="1:4" x14ac:dyDescent="0.3">
      <c r="A1096" s="1">
        <v>46045.708333333336</v>
      </c>
      <c r="B1096" s="2">
        <v>13.1</v>
      </c>
      <c r="C1096" s="1" t="str">
        <f t="shared" si="36"/>
        <v>0</v>
      </c>
      <c r="D1096" s="1" t="str">
        <f t="shared" si="37"/>
        <v>0</v>
      </c>
    </row>
    <row r="1097" spans="1:4" x14ac:dyDescent="0.3">
      <c r="A1097" s="1">
        <v>46045.729166666664</v>
      </c>
      <c r="B1097" s="2">
        <v>13</v>
      </c>
      <c r="C1097" s="1" t="str">
        <f t="shared" si="36"/>
        <v>0</v>
      </c>
      <c r="D1097" s="1" t="str">
        <f t="shared" si="37"/>
        <v>0</v>
      </c>
    </row>
    <row r="1098" spans="1:4" x14ac:dyDescent="0.3">
      <c r="A1098" s="1">
        <v>46045.75</v>
      </c>
      <c r="B1098" s="2">
        <v>13</v>
      </c>
      <c r="C1098" s="1" t="str">
        <f t="shared" si="36"/>
        <v>0</v>
      </c>
      <c r="D1098" s="1" t="str">
        <f t="shared" si="37"/>
        <v>0</v>
      </c>
    </row>
    <row r="1099" spans="1:4" x14ac:dyDescent="0.3">
      <c r="A1099" s="1">
        <v>46045.770833333336</v>
      </c>
      <c r="B1099" s="2">
        <v>13</v>
      </c>
      <c r="C1099" s="1" t="str">
        <f t="shared" si="36"/>
        <v>0</v>
      </c>
      <c r="D1099" s="1" t="str">
        <f t="shared" si="37"/>
        <v>0</v>
      </c>
    </row>
    <row r="1100" spans="1:4" x14ac:dyDescent="0.3">
      <c r="A1100" s="1">
        <v>46045.791666666664</v>
      </c>
      <c r="B1100" s="2">
        <v>13</v>
      </c>
      <c r="C1100" s="1" t="str">
        <f t="shared" si="36"/>
        <v>0</v>
      </c>
      <c r="D1100" s="1" t="str">
        <f t="shared" si="37"/>
        <v>0</v>
      </c>
    </row>
    <row r="1101" spans="1:4" x14ac:dyDescent="0.3">
      <c r="A1101" s="1">
        <v>46045.8125</v>
      </c>
      <c r="B1101" s="2">
        <v>13.1</v>
      </c>
      <c r="C1101" s="1" t="str">
        <f t="shared" si="36"/>
        <v>0</v>
      </c>
      <c r="D1101" s="1" t="str">
        <f t="shared" si="37"/>
        <v>0</v>
      </c>
    </row>
    <row r="1102" spans="1:4" x14ac:dyDescent="0.3">
      <c r="A1102" s="1">
        <v>46045.833333333336</v>
      </c>
      <c r="B1102" s="2">
        <v>13</v>
      </c>
      <c r="C1102" s="1" t="str">
        <f t="shared" si="36"/>
        <v>0</v>
      </c>
      <c r="D1102" s="1" t="str">
        <f t="shared" si="37"/>
        <v>0</v>
      </c>
    </row>
    <row r="1103" spans="1:4" x14ac:dyDescent="0.3">
      <c r="A1103" s="1">
        <v>46045.854166666664</v>
      </c>
      <c r="B1103" s="2">
        <v>13</v>
      </c>
      <c r="C1103" s="1" t="str">
        <f t="shared" si="36"/>
        <v>0</v>
      </c>
      <c r="D1103" s="1" t="str">
        <f t="shared" si="37"/>
        <v>0</v>
      </c>
    </row>
    <row r="1104" spans="1:4" x14ac:dyDescent="0.3">
      <c r="A1104" s="1">
        <v>46045.875</v>
      </c>
      <c r="B1104" s="2">
        <v>12.9</v>
      </c>
      <c r="C1104" s="1" t="str">
        <f t="shared" si="36"/>
        <v>0</v>
      </c>
      <c r="D1104" s="1" t="str">
        <f t="shared" si="37"/>
        <v>0</v>
      </c>
    </row>
    <row r="1105" spans="1:4" x14ac:dyDescent="0.3">
      <c r="A1105" s="1">
        <v>46045.895833333336</v>
      </c>
      <c r="B1105" s="2">
        <v>12.9</v>
      </c>
      <c r="C1105" s="1" t="str">
        <f t="shared" si="36"/>
        <v>0</v>
      </c>
      <c r="D1105" s="1" t="str">
        <f t="shared" si="37"/>
        <v>0</v>
      </c>
    </row>
    <row r="1106" spans="1:4" x14ac:dyDescent="0.3">
      <c r="A1106" s="1">
        <v>46045.916666666664</v>
      </c>
      <c r="B1106" s="2">
        <v>12.9</v>
      </c>
      <c r="C1106" s="1" t="str">
        <f t="shared" si="36"/>
        <v>0</v>
      </c>
      <c r="D1106" s="1" t="str">
        <f t="shared" si="37"/>
        <v>0</v>
      </c>
    </row>
    <row r="1107" spans="1:4" x14ac:dyDescent="0.3">
      <c r="A1107" s="1">
        <v>46045.9375</v>
      </c>
      <c r="B1107" s="2">
        <v>12.9</v>
      </c>
      <c r="C1107" s="1" t="str">
        <f t="shared" si="36"/>
        <v>0</v>
      </c>
      <c r="D1107" s="1" t="str">
        <f t="shared" si="37"/>
        <v>0</v>
      </c>
    </row>
    <row r="1108" spans="1:4" x14ac:dyDescent="0.3">
      <c r="A1108" s="1">
        <v>46045.958333333336</v>
      </c>
      <c r="B1108" s="2">
        <v>13</v>
      </c>
      <c r="C1108" s="1" t="str">
        <f t="shared" si="36"/>
        <v>0</v>
      </c>
      <c r="D1108" s="1" t="str">
        <f t="shared" si="37"/>
        <v>0</v>
      </c>
    </row>
    <row r="1109" spans="1:4" x14ac:dyDescent="0.3">
      <c r="A1109" s="1">
        <v>46045.979166666664</v>
      </c>
      <c r="B1109" s="2">
        <v>12.9</v>
      </c>
      <c r="C1109" s="1" t="str">
        <f t="shared" si="36"/>
        <v>0</v>
      </c>
      <c r="D1109" s="1" t="str">
        <f t="shared" si="37"/>
        <v>0</v>
      </c>
    </row>
    <row r="1110" spans="1:4" x14ac:dyDescent="0.3">
      <c r="A1110" s="1">
        <v>46046</v>
      </c>
      <c r="B1110" s="2">
        <v>12.9</v>
      </c>
      <c r="C1110" s="1" t="str">
        <f t="shared" si="36"/>
        <v>0</v>
      </c>
      <c r="D1110" s="1" t="str">
        <f t="shared" si="37"/>
        <v>0</v>
      </c>
    </row>
    <row r="1111" spans="1:4" x14ac:dyDescent="0.3">
      <c r="A1111" s="1">
        <v>46046.020833333336</v>
      </c>
      <c r="B1111" s="2">
        <v>12.7</v>
      </c>
      <c r="C1111" s="1" t="str">
        <f t="shared" si="36"/>
        <v>0</v>
      </c>
      <c r="D1111" s="1" t="str">
        <f t="shared" si="37"/>
        <v>0</v>
      </c>
    </row>
    <row r="1112" spans="1:4" x14ac:dyDescent="0.3">
      <c r="A1112" s="1">
        <v>46046.041666666664</v>
      </c>
      <c r="B1112" s="2">
        <v>12.6</v>
      </c>
      <c r="C1112" s="1" t="str">
        <f t="shared" si="36"/>
        <v>0</v>
      </c>
      <c r="D1112" s="1" t="str">
        <f t="shared" si="37"/>
        <v>0</v>
      </c>
    </row>
    <row r="1113" spans="1:4" x14ac:dyDescent="0.3">
      <c r="A1113" s="1">
        <v>46046.0625</v>
      </c>
      <c r="B1113" s="2">
        <v>12.1</v>
      </c>
      <c r="C1113" s="1" t="str">
        <f t="shared" si="36"/>
        <v>0</v>
      </c>
      <c r="D1113" s="1" t="str">
        <f t="shared" si="37"/>
        <v>0</v>
      </c>
    </row>
    <row r="1114" spans="1:4" x14ac:dyDescent="0.3">
      <c r="A1114" s="1">
        <v>46046.083333333336</v>
      </c>
      <c r="B1114" s="2">
        <v>12</v>
      </c>
      <c r="C1114" s="1" t="str">
        <f t="shared" si="36"/>
        <v>0</v>
      </c>
      <c r="D1114" s="1" t="str">
        <f t="shared" si="37"/>
        <v>0</v>
      </c>
    </row>
    <row r="1115" spans="1:4" x14ac:dyDescent="0.3">
      <c r="A1115" s="1">
        <v>46046.104166666664</v>
      </c>
      <c r="B1115" s="2">
        <v>11.9</v>
      </c>
      <c r="C1115" s="1" t="str">
        <f t="shared" si="36"/>
        <v>0</v>
      </c>
      <c r="D1115" s="1" t="str">
        <f t="shared" si="37"/>
        <v>0</v>
      </c>
    </row>
    <row r="1116" spans="1:4" x14ac:dyDescent="0.3">
      <c r="A1116" s="1">
        <v>46046.125</v>
      </c>
      <c r="B1116" s="2">
        <v>11.4</v>
      </c>
      <c r="C1116" s="1" t="str">
        <f t="shared" si="36"/>
        <v>0</v>
      </c>
      <c r="D1116" s="1" t="str">
        <f t="shared" si="37"/>
        <v>0</v>
      </c>
    </row>
    <row r="1117" spans="1:4" x14ac:dyDescent="0.3">
      <c r="A1117" s="1">
        <v>46046.145833333336</v>
      </c>
      <c r="B1117" s="2">
        <v>11.5</v>
      </c>
      <c r="C1117" s="1" t="str">
        <f t="shared" si="36"/>
        <v>0</v>
      </c>
      <c r="D1117" s="1" t="str">
        <f t="shared" si="37"/>
        <v>0</v>
      </c>
    </row>
    <row r="1118" spans="1:4" x14ac:dyDescent="0.3">
      <c r="A1118" s="1">
        <v>46046.166666666664</v>
      </c>
      <c r="B1118" s="2">
        <v>11.7</v>
      </c>
      <c r="C1118" s="1" t="str">
        <f t="shared" si="36"/>
        <v>0</v>
      </c>
      <c r="D1118" s="1" t="str">
        <f t="shared" si="37"/>
        <v>0</v>
      </c>
    </row>
    <row r="1119" spans="1:4" x14ac:dyDescent="0.3">
      <c r="A1119" s="1">
        <v>46046.1875</v>
      </c>
      <c r="B1119" s="2">
        <v>11.8</v>
      </c>
      <c r="C1119" s="1" t="str">
        <f t="shared" si="36"/>
        <v>0</v>
      </c>
      <c r="D1119" s="1" t="str">
        <f t="shared" si="37"/>
        <v>0</v>
      </c>
    </row>
    <row r="1120" spans="1:4" x14ac:dyDescent="0.3">
      <c r="A1120" s="1">
        <v>46046.208333333336</v>
      </c>
      <c r="B1120" s="2">
        <v>11.6</v>
      </c>
      <c r="C1120" s="1" t="str">
        <f t="shared" si="36"/>
        <v>0</v>
      </c>
      <c r="D1120" s="1" t="str">
        <f t="shared" si="37"/>
        <v>0</v>
      </c>
    </row>
    <row r="1121" spans="1:4" x14ac:dyDescent="0.3">
      <c r="A1121" s="1">
        <v>46046.229166666664</v>
      </c>
      <c r="B1121" s="2">
        <v>11.4</v>
      </c>
      <c r="C1121" s="1" t="str">
        <f t="shared" si="36"/>
        <v>0</v>
      </c>
      <c r="D1121" s="1" t="str">
        <f t="shared" si="37"/>
        <v>0</v>
      </c>
    </row>
    <row r="1122" spans="1:4" x14ac:dyDescent="0.3">
      <c r="A1122" s="1">
        <v>46046.25</v>
      </c>
      <c r="B1122" s="2">
        <v>11.4</v>
      </c>
      <c r="C1122" s="1" t="str">
        <f t="shared" si="36"/>
        <v>0</v>
      </c>
      <c r="D1122" s="1" t="str">
        <f t="shared" si="37"/>
        <v>0</v>
      </c>
    </row>
    <row r="1123" spans="1:4" x14ac:dyDescent="0.3">
      <c r="A1123" s="1">
        <v>46046.270833333336</v>
      </c>
      <c r="B1123" s="2">
        <v>11.1</v>
      </c>
      <c r="C1123" s="1" t="str">
        <f t="shared" si="36"/>
        <v>0</v>
      </c>
      <c r="D1123" s="1" t="str">
        <f t="shared" si="37"/>
        <v>0</v>
      </c>
    </row>
    <row r="1124" spans="1:4" x14ac:dyDescent="0.3">
      <c r="A1124" s="1">
        <v>46046.291666666664</v>
      </c>
      <c r="B1124" s="2">
        <v>10.8</v>
      </c>
      <c r="C1124" s="1" t="str">
        <f t="shared" si="36"/>
        <v>0</v>
      </c>
      <c r="D1124" s="1" t="str">
        <f t="shared" si="37"/>
        <v>0</v>
      </c>
    </row>
    <row r="1125" spans="1:4" x14ac:dyDescent="0.3">
      <c r="A1125" s="1">
        <v>46046.3125</v>
      </c>
      <c r="B1125" s="2">
        <v>10.7</v>
      </c>
      <c r="C1125" s="1" t="str">
        <f t="shared" si="36"/>
        <v>0</v>
      </c>
      <c r="D1125" s="1" t="str">
        <f t="shared" si="37"/>
        <v>0</v>
      </c>
    </row>
    <row r="1126" spans="1:4" x14ac:dyDescent="0.3">
      <c r="A1126" s="1">
        <v>46046.333333333336</v>
      </c>
      <c r="B1126" s="2">
        <v>10.8</v>
      </c>
      <c r="C1126" s="1" t="str">
        <f t="shared" si="36"/>
        <v>0</v>
      </c>
      <c r="D1126" s="1" t="str">
        <f t="shared" si="37"/>
        <v>0</v>
      </c>
    </row>
    <row r="1127" spans="1:4" x14ac:dyDescent="0.3">
      <c r="A1127" s="1">
        <v>46046.354166666664</v>
      </c>
      <c r="B1127" s="2">
        <v>10.9</v>
      </c>
      <c r="C1127" s="1" t="str">
        <f t="shared" si="36"/>
        <v>0</v>
      </c>
      <c r="D1127" s="1" t="str">
        <f t="shared" si="37"/>
        <v>0</v>
      </c>
    </row>
    <row r="1128" spans="1:4" x14ac:dyDescent="0.3">
      <c r="A1128" s="1">
        <v>46046.375</v>
      </c>
      <c r="B1128" s="2">
        <v>11.9</v>
      </c>
      <c r="C1128" s="1" t="str">
        <f t="shared" si="36"/>
        <v>0</v>
      </c>
      <c r="D1128" s="1" t="str">
        <f t="shared" si="37"/>
        <v>0</v>
      </c>
    </row>
    <row r="1129" spans="1:4" x14ac:dyDescent="0.3">
      <c r="A1129" s="1">
        <v>46046.395833333336</v>
      </c>
      <c r="B1129" s="2">
        <v>12.3</v>
      </c>
      <c r="C1129" s="1" t="str">
        <f t="shared" si="36"/>
        <v>0</v>
      </c>
      <c r="D1129" s="1" t="str">
        <f t="shared" si="37"/>
        <v>0</v>
      </c>
    </row>
    <row r="1130" spans="1:4" x14ac:dyDescent="0.3">
      <c r="A1130" s="1">
        <v>46046.416666666664</v>
      </c>
      <c r="B1130" s="2">
        <v>13</v>
      </c>
      <c r="C1130" s="1" t="str">
        <f t="shared" si="36"/>
        <v>0</v>
      </c>
      <c r="D1130" s="1" t="str">
        <f t="shared" si="37"/>
        <v>0</v>
      </c>
    </row>
    <row r="1131" spans="1:4" x14ac:dyDescent="0.3">
      <c r="A1131" s="1">
        <v>46046.4375</v>
      </c>
      <c r="B1131" s="2">
        <v>13.3</v>
      </c>
      <c r="C1131" s="1" t="str">
        <f t="shared" si="36"/>
        <v>0</v>
      </c>
      <c r="D1131" s="1" t="str">
        <f t="shared" si="37"/>
        <v>0</v>
      </c>
    </row>
    <row r="1132" spans="1:4" x14ac:dyDescent="0.3">
      <c r="A1132" s="1">
        <v>46046.458333333336</v>
      </c>
      <c r="B1132" s="2">
        <v>13.8</v>
      </c>
      <c r="C1132" s="1" t="str">
        <f t="shared" si="36"/>
        <v>0</v>
      </c>
      <c r="D1132" s="1" t="str">
        <f t="shared" si="37"/>
        <v>0</v>
      </c>
    </row>
    <row r="1133" spans="1:4" x14ac:dyDescent="0.3">
      <c r="A1133" s="1">
        <v>46046.479166666664</v>
      </c>
      <c r="B1133" s="2">
        <v>14.8</v>
      </c>
      <c r="C1133" s="1" t="str">
        <f t="shared" si="36"/>
        <v>0</v>
      </c>
      <c r="D1133" s="1" t="str">
        <f t="shared" si="37"/>
        <v>0</v>
      </c>
    </row>
    <row r="1134" spans="1:4" x14ac:dyDescent="0.3">
      <c r="A1134" s="1">
        <v>46046.5</v>
      </c>
      <c r="B1134" s="2">
        <v>15</v>
      </c>
      <c r="C1134" s="1" t="str">
        <f t="shared" si="36"/>
        <v>0</v>
      </c>
      <c r="D1134" s="1" t="str">
        <f t="shared" si="37"/>
        <v>0</v>
      </c>
    </row>
    <row r="1135" spans="1:4" x14ac:dyDescent="0.3">
      <c r="A1135" s="1">
        <v>46046.520833333336</v>
      </c>
      <c r="B1135" s="2">
        <v>15</v>
      </c>
      <c r="C1135" s="1" t="str">
        <f t="shared" si="36"/>
        <v>0</v>
      </c>
      <c r="D1135" s="1" t="str">
        <f t="shared" si="37"/>
        <v>0</v>
      </c>
    </row>
    <row r="1136" spans="1:4" x14ac:dyDescent="0.3">
      <c r="A1136" s="1">
        <v>46046.541666666664</v>
      </c>
      <c r="B1136" s="2">
        <v>15.2</v>
      </c>
      <c r="C1136" s="1" t="str">
        <f t="shared" si="36"/>
        <v>0</v>
      </c>
      <c r="D1136" s="1" t="str">
        <f t="shared" si="37"/>
        <v>0</v>
      </c>
    </row>
    <row r="1137" spans="1:4" x14ac:dyDescent="0.3">
      <c r="A1137" s="1">
        <v>46046.5625</v>
      </c>
      <c r="B1137" s="2">
        <v>15.6</v>
      </c>
      <c r="C1137" s="1" t="str">
        <f t="shared" si="36"/>
        <v>0</v>
      </c>
      <c r="D1137" s="1" t="str">
        <f t="shared" si="37"/>
        <v>0</v>
      </c>
    </row>
    <row r="1138" spans="1:4" x14ac:dyDescent="0.3">
      <c r="A1138" s="1">
        <v>46046.583333333336</v>
      </c>
      <c r="B1138" s="2">
        <v>15.7</v>
      </c>
      <c r="C1138" s="1" t="str">
        <f t="shared" si="36"/>
        <v>0</v>
      </c>
      <c r="D1138" s="1" t="str">
        <f t="shared" si="37"/>
        <v>0</v>
      </c>
    </row>
    <row r="1139" spans="1:4" x14ac:dyDescent="0.3">
      <c r="A1139" s="1">
        <v>46046.604166666664</v>
      </c>
      <c r="B1139" s="2">
        <v>15.6</v>
      </c>
      <c r="C1139" s="1" t="str">
        <f t="shared" si="36"/>
        <v>0</v>
      </c>
      <c r="D1139" s="1" t="str">
        <f t="shared" si="37"/>
        <v>0</v>
      </c>
    </row>
    <row r="1140" spans="1:4" x14ac:dyDescent="0.3">
      <c r="A1140" s="1">
        <v>46046.625</v>
      </c>
      <c r="B1140" s="2">
        <v>15.3</v>
      </c>
      <c r="C1140" s="1" t="str">
        <f t="shared" si="36"/>
        <v>0</v>
      </c>
      <c r="D1140" s="1" t="str">
        <f t="shared" si="37"/>
        <v>0</v>
      </c>
    </row>
    <row r="1141" spans="1:4" x14ac:dyDescent="0.3">
      <c r="A1141" s="1">
        <v>46046.645833333336</v>
      </c>
      <c r="B1141" s="2">
        <v>14.9</v>
      </c>
      <c r="C1141" s="1" t="str">
        <f t="shared" si="36"/>
        <v>0</v>
      </c>
      <c r="D1141" s="1" t="str">
        <f t="shared" si="37"/>
        <v>0</v>
      </c>
    </row>
    <row r="1142" spans="1:4" x14ac:dyDescent="0.3">
      <c r="A1142" s="1">
        <v>46046.666666666664</v>
      </c>
      <c r="B1142" s="2">
        <v>14.1</v>
      </c>
      <c r="C1142" s="1" t="str">
        <f t="shared" si="36"/>
        <v>0</v>
      </c>
      <c r="D1142" s="1" t="str">
        <f t="shared" si="37"/>
        <v>0</v>
      </c>
    </row>
    <row r="1143" spans="1:4" x14ac:dyDescent="0.3">
      <c r="A1143" s="1">
        <v>46046.6875</v>
      </c>
      <c r="B1143" s="2">
        <v>13.5</v>
      </c>
      <c r="C1143" s="1" t="str">
        <f t="shared" si="36"/>
        <v>0</v>
      </c>
      <c r="D1143" s="1" t="str">
        <f t="shared" si="37"/>
        <v>0</v>
      </c>
    </row>
    <row r="1144" spans="1:4" x14ac:dyDescent="0.3">
      <c r="A1144" s="1">
        <v>46046.708333333336</v>
      </c>
      <c r="B1144" s="2">
        <v>13.6</v>
      </c>
      <c r="C1144" s="1" t="str">
        <f t="shared" si="36"/>
        <v>0</v>
      </c>
      <c r="D1144" s="1" t="str">
        <f t="shared" si="37"/>
        <v>0</v>
      </c>
    </row>
    <row r="1145" spans="1:4" x14ac:dyDescent="0.3">
      <c r="A1145" s="1">
        <v>46046.729166666664</v>
      </c>
      <c r="B1145" s="2">
        <v>13.4</v>
      </c>
      <c r="C1145" s="1" t="str">
        <f t="shared" si="36"/>
        <v>0</v>
      </c>
      <c r="D1145" s="1" t="str">
        <f t="shared" si="37"/>
        <v>0</v>
      </c>
    </row>
    <row r="1146" spans="1:4" x14ac:dyDescent="0.3">
      <c r="A1146" s="1">
        <v>46046.75</v>
      </c>
      <c r="B1146" s="2">
        <v>13.3</v>
      </c>
      <c r="C1146" s="1" t="str">
        <f t="shared" si="36"/>
        <v>0</v>
      </c>
      <c r="D1146" s="1" t="str">
        <f t="shared" si="37"/>
        <v>0</v>
      </c>
    </row>
    <row r="1147" spans="1:4" x14ac:dyDescent="0.3">
      <c r="A1147" s="1">
        <v>46046.770833333336</v>
      </c>
      <c r="B1147" s="2">
        <v>13</v>
      </c>
      <c r="C1147" s="1" t="str">
        <f t="shared" si="36"/>
        <v>0</v>
      </c>
      <c r="D1147" s="1" t="str">
        <f t="shared" si="37"/>
        <v>0</v>
      </c>
    </row>
    <row r="1148" spans="1:4" x14ac:dyDescent="0.3">
      <c r="A1148" s="1">
        <v>46046.791666666664</v>
      </c>
      <c r="B1148" s="2">
        <v>13.1</v>
      </c>
      <c r="C1148" s="1" t="str">
        <f t="shared" si="36"/>
        <v>0</v>
      </c>
      <c r="D1148" s="1" t="str">
        <f t="shared" si="37"/>
        <v>0</v>
      </c>
    </row>
    <row r="1149" spans="1:4" x14ac:dyDescent="0.3">
      <c r="A1149" s="1">
        <v>46046.8125</v>
      </c>
      <c r="B1149" s="2">
        <v>13.3</v>
      </c>
      <c r="C1149" s="1" t="str">
        <f t="shared" si="36"/>
        <v>0</v>
      </c>
      <c r="D1149" s="1" t="str">
        <f t="shared" si="37"/>
        <v>0</v>
      </c>
    </row>
    <row r="1150" spans="1:4" x14ac:dyDescent="0.3">
      <c r="A1150" s="1">
        <v>46046.833333333336</v>
      </c>
      <c r="B1150" s="2">
        <v>13.5</v>
      </c>
      <c r="C1150" s="1" t="str">
        <f t="shared" si="36"/>
        <v>0</v>
      </c>
      <c r="D1150" s="1" t="str">
        <f t="shared" si="37"/>
        <v>0</v>
      </c>
    </row>
    <row r="1151" spans="1:4" x14ac:dyDescent="0.3">
      <c r="A1151" s="1">
        <v>46046.854166666664</v>
      </c>
      <c r="B1151" s="2">
        <v>13.8</v>
      </c>
      <c r="C1151" s="1" t="str">
        <f t="shared" si="36"/>
        <v>0</v>
      </c>
      <c r="D1151" s="1" t="str">
        <f t="shared" si="37"/>
        <v>0</v>
      </c>
    </row>
    <row r="1152" spans="1:4" x14ac:dyDescent="0.3">
      <c r="A1152" s="1">
        <v>46046.875</v>
      </c>
      <c r="B1152" s="2">
        <v>13.9</v>
      </c>
      <c r="C1152" s="1" t="str">
        <f t="shared" si="36"/>
        <v>0</v>
      </c>
      <c r="D1152" s="1" t="str">
        <f t="shared" si="37"/>
        <v>0</v>
      </c>
    </row>
    <row r="1153" spans="1:4" x14ac:dyDescent="0.3">
      <c r="A1153" s="1">
        <v>46046.895833333336</v>
      </c>
      <c r="B1153" s="2">
        <v>14</v>
      </c>
      <c r="C1153" s="1" t="str">
        <f t="shared" si="36"/>
        <v>0</v>
      </c>
      <c r="D1153" s="1" t="str">
        <f t="shared" si="37"/>
        <v>0</v>
      </c>
    </row>
    <row r="1154" spans="1:4" x14ac:dyDescent="0.3">
      <c r="A1154" s="1">
        <v>46046.916666666664</v>
      </c>
      <c r="B1154" s="2">
        <v>12.1</v>
      </c>
      <c r="C1154" s="1" t="str">
        <f t="shared" si="36"/>
        <v>0</v>
      </c>
      <c r="D1154" s="1" t="str">
        <f t="shared" si="37"/>
        <v>0</v>
      </c>
    </row>
    <row r="1155" spans="1:4" x14ac:dyDescent="0.3">
      <c r="A1155" s="1">
        <v>46046.9375</v>
      </c>
      <c r="B1155" s="2">
        <v>12</v>
      </c>
      <c r="C1155" s="1" t="str">
        <f t="shared" ref="C1155:C1218" si="38">IF(B1155=$P$13,A1155,"0")</f>
        <v>0</v>
      </c>
      <c r="D1155" s="1" t="str">
        <f t="shared" ref="D1155:D1218" si="39">IF(B1155=$M$13,A1155,"0")</f>
        <v>0</v>
      </c>
    </row>
    <row r="1156" spans="1:4" x14ac:dyDescent="0.3">
      <c r="A1156" s="1">
        <v>46046.958333333336</v>
      </c>
      <c r="B1156" s="2">
        <v>12</v>
      </c>
      <c r="C1156" s="1" t="str">
        <f t="shared" si="38"/>
        <v>0</v>
      </c>
      <c r="D1156" s="1" t="str">
        <f t="shared" si="39"/>
        <v>0</v>
      </c>
    </row>
    <row r="1157" spans="1:4" x14ac:dyDescent="0.3">
      <c r="A1157" s="1">
        <v>46046.979166666664</v>
      </c>
      <c r="B1157" s="2">
        <v>11.7</v>
      </c>
      <c r="C1157" s="1" t="str">
        <f t="shared" si="38"/>
        <v>0</v>
      </c>
      <c r="D1157" s="1" t="str">
        <f t="shared" si="39"/>
        <v>0</v>
      </c>
    </row>
    <row r="1158" spans="1:4" x14ac:dyDescent="0.3">
      <c r="A1158" s="1">
        <v>46047</v>
      </c>
      <c r="B1158" s="2">
        <v>11.8</v>
      </c>
      <c r="C1158" s="1" t="str">
        <f t="shared" si="38"/>
        <v>0</v>
      </c>
      <c r="D1158" s="1" t="str">
        <f t="shared" si="39"/>
        <v>0</v>
      </c>
    </row>
    <row r="1159" spans="1:4" x14ac:dyDescent="0.3">
      <c r="A1159" s="1">
        <v>46047.020833333336</v>
      </c>
      <c r="B1159" s="2">
        <v>11.5</v>
      </c>
      <c r="C1159" s="1" t="str">
        <f t="shared" si="38"/>
        <v>0</v>
      </c>
      <c r="D1159" s="1" t="str">
        <f t="shared" si="39"/>
        <v>0</v>
      </c>
    </row>
    <row r="1160" spans="1:4" x14ac:dyDescent="0.3">
      <c r="A1160" s="1">
        <v>46047.041666666664</v>
      </c>
      <c r="B1160" s="2">
        <v>11.1</v>
      </c>
      <c r="C1160" s="1" t="str">
        <f t="shared" si="38"/>
        <v>0</v>
      </c>
      <c r="D1160" s="1" t="str">
        <f t="shared" si="39"/>
        <v>0</v>
      </c>
    </row>
    <row r="1161" spans="1:4" x14ac:dyDescent="0.3">
      <c r="A1161" s="1">
        <v>46047.0625</v>
      </c>
      <c r="B1161" s="2">
        <v>11.1</v>
      </c>
      <c r="C1161" s="1" t="str">
        <f t="shared" si="38"/>
        <v>0</v>
      </c>
      <c r="D1161" s="1" t="str">
        <f t="shared" si="39"/>
        <v>0</v>
      </c>
    </row>
    <row r="1162" spans="1:4" x14ac:dyDescent="0.3">
      <c r="A1162" s="1">
        <v>46047.083333333336</v>
      </c>
      <c r="B1162" s="2">
        <v>10.8</v>
      </c>
      <c r="C1162" s="1" t="str">
        <f t="shared" si="38"/>
        <v>0</v>
      </c>
      <c r="D1162" s="1" t="str">
        <f t="shared" si="39"/>
        <v>0</v>
      </c>
    </row>
    <row r="1163" spans="1:4" x14ac:dyDescent="0.3">
      <c r="A1163" s="1">
        <v>46047.104166666664</v>
      </c>
      <c r="B1163" s="2">
        <v>10.4</v>
      </c>
      <c r="C1163" s="1" t="str">
        <f t="shared" si="38"/>
        <v>0</v>
      </c>
      <c r="D1163" s="1" t="str">
        <f t="shared" si="39"/>
        <v>0</v>
      </c>
    </row>
    <row r="1164" spans="1:4" x14ac:dyDescent="0.3">
      <c r="A1164" s="1">
        <v>46047.125</v>
      </c>
      <c r="B1164" s="2">
        <v>9.9</v>
      </c>
      <c r="C1164" s="1" t="str">
        <f t="shared" si="38"/>
        <v>0</v>
      </c>
      <c r="D1164" s="1" t="str">
        <f t="shared" si="39"/>
        <v>0</v>
      </c>
    </row>
    <row r="1165" spans="1:4" x14ac:dyDescent="0.3">
      <c r="A1165" s="1">
        <v>46047.145833333336</v>
      </c>
      <c r="B1165" s="2">
        <v>9.1</v>
      </c>
      <c r="C1165" s="1" t="str">
        <f t="shared" si="38"/>
        <v>0</v>
      </c>
      <c r="D1165" s="1" t="str">
        <f t="shared" si="39"/>
        <v>0</v>
      </c>
    </row>
    <row r="1166" spans="1:4" x14ac:dyDescent="0.3">
      <c r="A1166" s="1">
        <v>46047.166666666664</v>
      </c>
      <c r="B1166" s="2">
        <v>8.6999999999999993</v>
      </c>
      <c r="C1166" s="1" t="str">
        <f t="shared" si="38"/>
        <v>0</v>
      </c>
      <c r="D1166" s="1" t="str">
        <f t="shared" si="39"/>
        <v>0</v>
      </c>
    </row>
    <row r="1167" spans="1:4" x14ac:dyDescent="0.3">
      <c r="A1167" s="1">
        <v>46047.1875</v>
      </c>
      <c r="B1167" s="2">
        <v>8.5</v>
      </c>
      <c r="C1167" s="1" t="str">
        <f t="shared" si="38"/>
        <v>0</v>
      </c>
      <c r="D1167" s="1" t="str">
        <f t="shared" si="39"/>
        <v>0</v>
      </c>
    </row>
    <row r="1168" spans="1:4" x14ac:dyDescent="0.3">
      <c r="A1168" s="1">
        <v>46047.208333333336</v>
      </c>
      <c r="B1168" s="2">
        <v>8.1999999999999993</v>
      </c>
      <c r="C1168" s="1" t="str">
        <f t="shared" si="38"/>
        <v>0</v>
      </c>
      <c r="D1168" s="1" t="str">
        <f t="shared" si="39"/>
        <v>0</v>
      </c>
    </row>
    <row r="1169" spans="1:4" x14ac:dyDescent="0.3">
      <c r="A1169" s="1">
        <v>46047.229166666664</v>
      </c>
      <c r="B1169" s="2">
        <v>8.4</v>
      </c>
      <c r="C1169" s="1" t="str">
        <f t="shared" si="38"/>
        <v>0</v>
      </c>
      <c r="D1169" s="1" t="str">
        <f t="shared" si="39"/>
        <v>0</v>
      </c>
    </row>
    <row r="1170" spans="1:4" x14ac:dyDescent="0.3">
      <c r="A1170" s="1">
        <v>46047.25</v>
      </c>
      <c r="B1170" s="2">
        <v>8.1999999999999993</v>
      </c>
      <c r="C1170" s="1" t="str">
        <f t="shared" si="38"/>
        <v>0</v>
      </c>
      <c r="D1170" s="1" t="str">
        <f t="shared" si="39"/>
        <v>0</v>
      </c>
    </row>
    <row r="1171" spans="1:4" x14ac:dyDescent="0.3">
      <c r="A1171" s="1">
        <v>46047.270833333336</v>
      </c>
      <c r="B1171" s="2">
        <v>8</v>
      </c>
      <c r="C1171" s="1" t="str">
        <f t="shared" si="38"/>
        <v>0</v>
      </c>
      <c r="D1171" s="1" t="str">
        <f t="shared" si="39"/>
        <v>0</v>
      </c>
    </row>
    <row r="1172" spans="1:4" x14ac:dyDescent="0.3">
      <c r="A1172" s="1">
        <v>46047.291666666664</v>
      </c>
      <c r="B1172" s="2">
        <v>8.1</v>
      </c>
      <c r="C1172" s="1" t="str">
        <f t="shared" si="38"/>
        <v>0</v>
      </c>
      <c r="D1172" s="1" t="str">
        <f t="shared" si="39"/>
        <v>0</v>
      </c>
    </row>
    <row r="1173" spans="1:4" x14ac:dyDescent="0.3">
      <c r="A1173" s="1">
        <v>46047.3125</v>
      </c>
      <c r="B1173" s="2">
        <v>7.9</v>
      </c>
      <c r="C1173" s="1" t="str">
        <f t="shared" si="38"/>
        <v>0</v>
      </c>
      <c r="D1173" s="1" t="str">
        <f t="shared" si="39"/>
        <v>0</v>
      </c>
    </row>
    <row r="1174" spans="1:4" x14ac:dyDescent="0.3">
      <c r="A1174" s="1">
        <v>46047.333333333336</v>
      </c>
      <c r="B1174" s="2">
        <v>8</v>
      </c>
      <c r="C1174" s="1" t="str">
        <f t="shared" si="38"/>
        <v>0</v>
      </c>
      <c r="D1174" s="1" t="str">
        <f t="shared" si="39"/>
        <v>0</v>
      </c>
    </row>
    <row r="1175" spans="1:4" x14ac:dyDescent="0.3">
      <c r="A1175" s="1">
        <v>46047.354166666664</v>
      </c>
      <c r="B1175" s="2">
        <v>8</v>
      </c>
      <c r="C1175" s="1" t="str">
        <f t="shared" si="38"/>
        <v>0</v>
      </c>
      <c r="D1175" s="1" t="str">
        <f t="shared" si="39"/>
        <v>0</v>
      </c>
    </row>
    <row r="1176" spans="1:4" x14ac:dyDescent="0.3">
      <c r="A1176" s="1">
        <v>46047.375</v>
      </c>
      <c r="B1176" s="2">
        <v>8.1999999999999993</v>
      </c>
      <c r="C1176" s="1" t="str">
        <f t="shared" si="38"/>
        <v>0</v>
      </c>
      <c r="D1176" s="1" t="str">
        <f t="shared" si="39"/>
        <v>0</v>
      </c>
    </row>
    <row r="1177" spans="1:4" x14ac:dyDescent="0.3">
      <c r="A1177" s="1">
        <v>46047.395833333336</v>
      </c>
      <c r="B1177" s="2">
        <v>8.8000000000000007</v>
      </c>
      <c r="C1177" s="1" t="str">
        <f t="shared" si="38"/>
        <v>0</v>
      </c>
      <c r="D1177" s="1" t="str">
        <f t="shared" si="39"/>
        <v>0</v>
      </c>
    </row>
    <row r="1178" spans="1:4" x14ac:dyDescent="0.3">
      <c r="A1178" s="1">
        <v>46047.416666666664</v>
      </c>
      <c r="B1178" s="2">
        <v>9.6</v>
      </c>
      <c r="C1178" s="1" t="str">
        <f t="shared" si="38"/>
        <v>0</v>
      </c>
      <c r="D1178" s="1" t="str">
        <f t="shared" si="39"/>
        <v>0</v>
      </c>
    </row>
    <row r="1179" spans="1:4" x14ac:dyDescent="0.3">
      <c r="A1179" s="1">
        <v>46047.4375</v>
      </c>
      <c r="B1179" s="2">
        <v>10.4</v>
      </c>
      <c r="C1179" s="1" t="str">
        <f t="shared" si="38"/>
        <v>0</v>
      </c>
      <c r="D1179" s="1" t="str">
        <f t="shared" si="39"/>
        <v>0</v>
      </c>
    </row>
    <row r="1180" spans="1:4" x14ac:dyDescent="0.3">
      <c r="A1180" s="1">
        <v>46047.458333333336</v>
      </c>
      <c r="B1180" s="2">
        <v>11.1</v>
      </c>
      <c r="C1180" s="1" t="str">
        <f t="shared" si="38"/>
        <v>0</v>
      </c>
      <c r="D1180" s="1" t="str">
        <f t="shared" si="39"/>
        <v>0</v>
      </c>
    </row>
    <row r="1181" spans="1:4" x14ac:dyDescent="0.3">
      <c r="A1181" s="1">
        <v>46047.479166666664</v>
      </c>
      <c r="B1181" s="2">
        <v>12</v>
      </c>
      <c r="C1181" s="1" t="str">
        <f t="shared" si="38"/>
        <v>0</v>
      </c>
      <c r="D1181" s="1" t="str">
        <f t="shared" si="39"/>
        <v>0</v>
      </c>
    </row>
    <row r="1182" spans="1:4" x14ac:dyDescent="0.3">
      <c r="A1182" s="1">
        <v>46047.5</v>
      </c>
      <c r="B1182" s="2">
        <v>12.5</v>
      </c>
      <c r="C1182" s="1" t="str">
        <f t="shared" si="38"/>
        <v>0</v>
      </c>
      <c r="D1182" s="1" t="str">
        <f t="shared" si="39"/>
        <v>0</v>
      </c>
    </row>
    <row r="1183" spans="1:4" x14ac:dyDescent="0.3">
      <c r="A1183" s="1">
        <v>46047.520833333336</v>
      </c>
      <c r="B1183" s="2">
        <v>12.7</v>
      </c>
      <c r="C1183" s="1" t="str">
        <f t="shared" si="38"/>
        <v>0</v>
      </c>
      <c r="D1183" s="1" t="str">
        <f t="shared" si="39"/>
        <v>0</v>
      </c>
    </row>
    <row r="1184" spans="1:4" x14ac:dyDescent="0.3">
      <c r="A1184" s="1">
        <v>46047.541666666664</v>
      </c>
      <c r="B1184" s="2">
        <v>13.1</v>
      </c>
      <c r="C1184" s="1" t="str">
        <f t="shared" si="38"/>
        <v>0</v>
      </c>
      <c r="D1184" s="1" t="str">
        <f t="shared" si="39"/>
        <v>0</v>
      </c>
    </row>
    <row r="1185" spans="1:4" x14ac:dyDescent="0.3">
      <c r="A1185" s="1">
        <v>46047.5625</v>
      </c>
      <c r="B1185" s="2">
        <v>13</v>
      </c>
      <c r="C1185" s="1" t="str">
        <f t="shared" si="38"/>
        <v>0</v>
      </c>
      <c r="D1185" s="1" t="str">
        <f t="shared" si="39"/>
        <v>0</v>
      </c>
    </row>
    <row r="1186" spans="1:4" x14ac:dyDescent="0.3">
      <c r="A1186" s="1">
        <v>46047.583333333336</v>
      </c>
      <c r="B1186" s="2">
        <v>12.6</v>
      </c>
      <c r="C1186" s="1" t="str">
        <f t="shared" si="38"/>
        <v>0</v>
      </c>
      <c r="D1186" s="1" t="str">
        <f t="shared" si="39"/>
        <v>0</v>
      </c>
    </row>
    <row r="1187" spans="1:4" x14ac:dyDescent="0.3">
      <c r="A1187" s="1">
        <v>46047.604166666664</v>
      </c>
      <c r="B1187" s="2">
        <v>12.1</v>
      </c>
      <c r="C1187" s="1" t="str">
        <f t="shared" si="38"/>
        <v>0</v>
      </c>
      <c r="D1187" s="1" t="str">
        <f t="shared" si="39"/>
        <v>0</v>
      </c>
    </row>
    <row r="1188" spans="1:4" x14ac:dyDescent="0.3">
      <c r="A1188" s="1">
        <v>46047.625</v>
      </c>
      <c r="B1188" s="2">
        <v>11.4</v>
      </c>
      <c r="C1188" s="1" t="str">
        <f t="shared" si="38"/>
        <v>0</v>
      </c>
      <c r="D1188" s="1" t="str">
        <f t="shared" si="39"/>
        <v>0</v>
      </c>
    </row>
    <row r="1189" spans="1:4" x14ac:dyDescent="0.3">
      <c r="A1189" s="1">
        <v>46047.645833333336</v>
      </c>
      <c r="B1189" s="2">
        <v>11.2</v>
      </c>
      <c r="C1189" s="1" t="str">
        <f t="shared" si="38"/>
        <v>0</v>
      </c>
      <c r="D1189" s="1" t="str">
        <f t="shared" si="39"/>
        <v>0</v>
      </c>
    </row>
    <row r="1190" spans="1:4" x14ac:dyDescent="0.3">
      <c r="A1190" s="1">
        <v>46047.666666666664</v>
      </c>
      <c r="B1190" s="2">
        <v>10.7</v>
      </c>
      <c r="C1190" s="1" t="str">
        <f t="shared" si="38"/>
        <v>0</v>
      </c>
      <c r="D1190" s="1" t="str">
        <f t="shared" si="39"/>
        <v>0</v>
      </c>
    </row>
    <row r="1191" spans="1:4" x14ac:dyDescent="0.3">
      <c r="A1191" s="1">
        <v>46047.6875</v>
      </c>
      <c r="B1191" s="2">
        <v>10.4</v>
      </c>
      <c r="C1191" s="1" t="str">
        <f t="shared" si="38"/>
        <v>0</v>
      </c>
      <c r="D1191" s="1" t="str">
        <f t="shared" si="39"/>
        <v>0</v>
      </c>
    </row>
    <row r="1192" spans="1:4" x14ac:dyDescent="0.3">
      <c r="A1192" s="1">
        <v>46047.708333333336</v>
      </c>
      <c r="B1192" s="2">
        <v>10.3</v>
      </c>
      <c r="C1192" s="1" t="str">
        <f t="shared" si="38"/>
        <v>0</v>
      </c>
      <c r="D1192" s="1" t="str">
        <f t="shared" si="39"/>
        <v>0</v>
      </c>
    </row>
    <row r="1193" spans="1:4" x14ac:dyDescent="0.3">
      <c r="A1193" s="1">
        <v>46047.729166666664</v>
      </c>
      <c r="B1193" s="2">
        <v>10.4</v>
      </c>
      <c r="C1193" s="1" t="str">
        <f t="shared" si="38"/>
        <v>0</v>
      </c>
      <c r="D1193" s="1" t="str">
        <f t="shared" si="39"/>
        <v>0</v>
      </c>
    </row>
    <row r="1194" spans="1:4" x14ac:dyDescent="0.3">
      <c r="A1194" s="1">
        <v>46047.75</v>
      </c>
      <c r="B1194" s="2">
        <v>9.6</v>
      </c>
      <c r="C1194" s="1" t="str">
        <f t="shared" si="38"/>
        <v>0</v>
      </c>
      <c r="D1194" s="1" t="str">
        <f t="shared" si="39"/>
        <v>0</v>
      </c>
    </row>
    <row r="1195" spans="1:4" x14ac:dyDescent="0.3">
      <c r="A1195" s="1">
        <v>46047.770833333336</v>
      </c>
      <c r="B1195" s="2">
        <v>9.6999999999999993</v>
      </c>
      <c r="C1195" s="1" t="str">
        <f t="shared" si="38"/>
        <v>0</v>
      </c>
      <c r="D1195" s="1" t="str">
        <f t="shared" si="39"/>
        <v>0</v>
      </c>
    </row>
    <row r="1196" spans="1:4" x14ac:dyDescent="0.3">
      <c r="A1196" s="1">
        <v>46047.791666666664</v>
      </c>
      <c r="B1196" s="2">
        <v>9.6</v>
      </c>
      <c r="C1196" s="1" t="str">
        <f t="shared" si="38"/>
        <v>0</v>
      </c>
      <c r="D1196" s="1" t="str">
        <f t="shared" si="39"/>
        <v>0</v>
      </c>
    </row>
    <row r="1197" spans="1:4" x14ac:dyDescent="0.3">
      <c r="A1197" s="1">
        <v>46047.8125</v>
      </c>
      <c r="B1197" s="2">
        <v>9.6</v>
      </c>
      <c r="C1197" s="1" t="str">
        <f t="shared" si="38"/>
        <v>0</v>
      </c>
      <c r="D1197" s="1" t="str">
        <f t="shared" si="39"/>
        <v>0</v>
      </c>
    </row>
    <row r="1198" spans="1:4" x14ac:dyDescent="0.3">
      <c r="A1198" s="1">
        <v>46047.833333333336</v>
      </c>
      <c r="B1198" s="2">
        <v>9.5</v>
      </c>
      <c r="C1198" s="1" t="str">
        <f t="shared" si="38"/>
        <v>0</v>
      </c>
      <c r="D1198" s="1" t="str">
        <f t="shared" si="39"/>
        <v>0</v>
      </c>
    </row>
    <row r="1199" spans="1:4" x14ac:dyDescent="0.3">
      <c r="A1199" s="1">
        <v>46047.854166666664</v>
      </c>
      <c r="B1199" s="2">
        <v>9.4</v>
      </c>
      <c r="C1199" s="1" t="str">
        <f t="shared" si="38"/>
        <v>0</v>
      </c>
      <c r="D1199" s="1" t="str">
        <f t="shared" si="39"/>
        <v>0</v>
      </c>
    </row>
    <row r="1200" spans="1:4" x14ac:dyDescent="0.3">
      <c r="A1200" s="1">
        <v>46047.875</v>
      </c>
      <c r="B1200" s="2">
        <v>9.3000000000000007</v>
      </c>
      <c r="C1200" s="1" t="str">
        <f t="shared" si="38"/>
        <v>0</v>
      </c>
      <c r="D1200" s="1" t="str">
        <f t="shared" si="39"/>
        <v>0</v>
      </c>
    </row>
    <row r="1201" spans="1:4" x14ac:dyDescent="0.3">
      <c r="A1201" s="1">
        <v>46047.895833333336</v>
      </c>
      <c r="B1201" s="2">
        <v>9.3000000000000007</v>
      </c>
      <c r="C1201" s="1" t="str">
        <f t="shared" si="38"/>
        <v>0</v>
      </c>
      <c r="D1201" s="1" t="str">
        <f t="shared" si="39"/>
        <v>0</v>
      </c>
    </row>
    <row r="1202" spans="1:4" x14ac:dyDescent="0.3">
      <c r="A1202" s="1">
        <v>46047.916666666664</v>
      </c>
      <c r="B1202" s="2">
        <v>9.1</v>
      </c>
      <c r="C1202" s="1" t="str">
        <f t="shared" si="38"/>
        <v>0</v>
      </c>
      <c r="D1202" s="1" t="str">
        <f t="shared" si="39"/>
        <v>0</v>
      </c>
    </row>
    <row r="1203" spans="1:4" x14ac:dyDescent="0.3">
      <c r="A1203" s="1">
        <v>46047.9375</v>
      </c>
      <c r="B1203" s="2">
        <v>8.9</v>
      </c>
      <c r="C1203" s="1" t="str">
        <f t="shared" si="38"/>
        <v>0</v>
      </c>
      <c r="D1203" s="1" t="str">
        <f t="shared" si="39"/>
        <v>0</v>
      </c>
    </row>
    <row r="1204" spans="1:4" x14ac:dyDescent="0.3">
      <c r="A1204" s="1">
        <v>46047.958333333336</v>
      </c>
      <c r="B1204" s="2">
        <v>8.6</v>
      </c>
      <c r="C1204" s="1" t="str">
        <f t="shared" si="38"/>
        <v>0</v>
      </c>
      <c r="D1204" s="1" t="str">
        <f t="shared" si="39"/>
        <v>0</v>
      </c>
    </row>
    <row r="1205" spans="1:4" x14ac:dyDescent="0.3">
      <c r="A1205" s="1">
        <v>46047.979166666664</v>
      </c>
      <c r="B1205" s="2">
        <v>8.4</v>
      </c>
      <c r="C1205" s="1" t="str">
        <f t="shared" si="38"/>
        <v>0</v>
      </c>
      <c r="D1205" s="1" t="str">
        <f t="shared" si="39"/>
        <v>0</v>
      </c>
    </row>
    <row r="1206" spans="1:4" x14ac:dyDescent="0.3">
      <c r="A1206" s="1">
        <v>46048</v>
      </c>
      <c r="B1206" s="2">
        <v>8.3000000000000007</v>
      </c>
      <c r="C1206" s="1" t="str">
        <f t="shared" si="38"/>
        <v>0</v>
      </c>
      <c r="D1206" s="1" t="str">
        <f t="shared" si="39"/>
        <v>0</v>
      </c>
    </row>
    <row r="1207" spans="1:4" x14ac:dyDescent="0.3">
      <c r="A1207" s="1">
        <v>46048.020833333336</v>
      </c>
      <c r="B1207" s="2">
        <v>8.1999999999999993</v>
      </c>
      <c r="C1207" s="1" t="str">
        <f t="shared" si="38"/>
        <v>0</v>
      </c>
      <c r="D1207" s="1" t="str">
        <f t="shared" si="39"/>
        <v>0</v>
      </c>
    </row>
    <row r="1208" spans="1:4" x14ac:dyDescent="0.3">
      <c r="A1208" s="1">
        <v>46048.041666666664</v>
      </c>
      <c r="B1208" s="2">
        <v>8.3000000000000007</v>
      </c>
      <c r="C1208" s="1" t="str">
        <f t="shared" si="38"/>
        <v>0</v>
      </c>
      <c r="D1208" s="1" t="str">
        <f t="shared" si="39"/>
        <v>0</v>
      </c>
    </row>
    <row r="1209" spans="1:4" x14ac:dyDescent="0.3">
      <c r="A1209" s="1">
        <v>46048.0625</v>
      </c>
      <c r="B1209" s="2">
        <v>8.3000000000000007</v>
      </c>
      <c r="C1209" s="1" t="str">
        <f t="shared" si="38"/>
        <v>0</v>
      </c>
      <c r="D1209" s="1" t="str">
        <f t="shared" si="39"/>
        <v>0</v>
      </c>
    </row>
    <row r="1210" spans="1:4" x14ac:dyDescent="0.3">
      <c r="A1210" s="1">
        <v>46048.083333333336</v>
      </c>
      <c r="B1210" s="2">
        <v>8</v>
      </c>
      <c r="C1210" s="1" t="str">
        <f t="shared" si="38"/>
        <v>0</v>
      </c>
      <c r="D1210" s="1" t="str">
        <f t="shared" si="39"/>
        <v>0</v>
      </c>
    </row>
    <row r="1211" spans="1:4" x14ac:dyDescent="0.3">
      <c r="A1211" s="1">
        <v>46048.104166666664</v>
      </c>
      <c r="B1211" s="2">
        <v>7.6</v>
      </c>
      <c r="C1211" s="1" t="str">
        <f t="shared" si="38"/>
        <v>0</v>
      </c>
      <c r="D1211" s="1" t="str">
        <f t="shared" si="39"/>
        <v>0</v>
      </c>
    </row>
    <row r="1212" spans="1:4" x14ac:dyDescent="0.3">
      <c r="A1212" s="1">
        <v>46048.125</v>
      </c>
      <c r="B1212" s="2">
        <v>7.4</v>
      </c>
      <c r="C1212" s="1" t="str">
        <f t="shared" si="38"/>
        <v>0</v>
      </c>
      <c r="D1212" s="1" t="str">
        <f t="shared" si="39"/>
        <v>0</v>
      </c>
    </row>
    <row r="1213" spans="1:4" x14ac:dyDescent="0.3">
      <c r="A1213" s="1">
        <v>46048.145833333336</v>
      </c>
      <c r="B1213" s="2">
        <v>6.9</v>
      </c>
      <c r="C1213" s="1" t="str">
        <f t="shared" si="38"/>
        <v>0</v>
      </c>
      <c r="D1213" s="1" t="str">
        <f t="shared" si="39"/>
        <v>0</v>
      </c>
    </row>
    <row r="1214" spans="1:4" x14ac:dyDescent="0.3">
      <c r="A1214" s="1">
        <v>46048.166666666664</v>
      </c>
      <c r="B1214" s="2">
        <v>6.5</v>
      </c>
      <c r="C1214" s="1" t="str">
        <f t="shared" si="38"/>
        <v>0</v>
      </c>
      <c r="D1214" s="1" t="str">
        <f t="shared" si="39"/>
        <v>0</v>
      </c>
    </row>
    <row r="1215" spans="1:4" x14ac:dyDescent="0.3">
      <c r="A1215" s="1">
        <v>46048.1875</v>
      </c>
      <c r="B1215" s="2">
        <v>6.6</v>
      </c>
      <c r="C1215" s="1" t="str">
        <f t="shared" si="38"/>
        <v>0</v>
      </c>
      <c r="D1215" s="1" t="str">
        <f t="shared" si="39"/>
        <v>0</v>
      </c>
    </row>
    <row r="1216" spans="1:4" x14ac:dyDescent="0.3">
      <c r="A1216" s="1">
        <v>46048.208333333336</v>
      </c>
      <c r="B1216" s="2">
        <v>5.8</v>
      </c>
      <c r="C1216" s="1" t="str">
        <f t="shared" si="38"/>
        <v>0</v>
      </c>
      <c r="D1216" s="1" t="str">
        <f t="shared" si="39"/>
        <v>0</v>
      </c>
    </row>
    <row r="1217" spans="1:4" x14ac:dyDescent="0.3">
      <c r="A1217" s="1">
        <v>46048.229166666664</v>
      </c>
      <c r="B1217" s="2">
        <v>5.6</v>
      </c>
      <c r="C1217" s="1" t="str">
        <f t="shared" si="38"/>
        <v>0</v>
      </c>
      <c r="D1217" s="1" t="str">
        <f t="shared" si="39"/>
        <v>0</v>
      </c>
    </row>
    <row r="1218" spans="1:4" x14ac:dyDescent="0.3">
      <c r="A1218" s="1">
        <v>46048.25</v>
      </c>
      <c r="B1218" s="2">
        <v>5.9</v>
      </c>
      <c r="C1218" s="1" t="str">
        <f t="shared" si="38"/>
        <v>0</v>
      </c>
      <c r="D1218" s="1" t="str">
        <f t="shared" si="39"/>
        <v>0</v>
      </c>
    </row>
    <row r="1219" spans="1:4" x14ac:dyDescent="0.3">
      <c r="A1219" s="1">
        <v>46048.270833333336</v>
      </c>
      <c r="B1219" s="2">
        <v>6.5</v>
      </c>
      <c r="C1219" s="1" t="str">
        <f t="shared" ref="C1219:C1282" si="40">IF(B1219=$P$13,A1219,"0")</f>
        <v>0</v>
      </c>
      <c r="D1219" s="1" t="str">
        <f t="shared" ref="D1219:D1282" si="41">IF(B1219=$M$13,A1219,"0")</f>
        <v>0</v>
      </c>
    </row>
    <row r="1220" spans="1:4" x14ac:dyDescent="0.3">
      <c r="A1220" s="1">
        <v>46048.291666666664</v>
      </c>
      <c r="B1220" s="2">
        <v>6.6</v>
      </c>
      <c r="C1220" s="1" t="str">
        <f t="shared" si="40"/>
        <v>0</v>
      </c>
      <c r="D1220" s="1" t="str">
        <f t="shared" si="41"/>
        <v>0</v>
      </c>
    </row>
    <row r="1221" spans="1:4" x14ac:dyDescent="0.3">
      <c r="A1221" s="1">
        <v>46048.3125</v>
      </c>
      <c r="B1221" s="2">
        <v>7.6</v>
      </c>
      <c r="C1221" s="1" t="str">
        <f t="shared" si="40"/>
        <v>0</v>
      </c>
      <c r="D1221" s="1" t="str">
        <f t="shared" si="41"/>
        <v>0</v>
      </c>
    </row>
    <row r="1222" spans="1:4" x14ac:dyDescent="0.3">
      <c r="A1222" s="1">
        <v>46048.333333333336</v>
      </c>
      <c r="B1222" s="2">
        <v>8</v>
      </c>
      <c r="C1222" s="1" t="str">
        <f t="shared" si="40"/>
        <v>0</v>
      </c>
      <c r="D1222" s="1" t="str">
        <f t="shared" si="41"/>
        <v>0</v>
      </c>
    </row>
    <row r="1223" spans="1:4" x14ac:dyDescent="0.3">
      <c r="A1223" s="1">
        <v>46048.354166666664</v>
      </c>
      <c r="B1223" s="2">
        <v>8.4</v>
      </c>
      <c r="C1223" s="1" t="str">
        <f t="shared" si="40"/>
        <v>0</v>
      </c>
      <c r="D1223" s="1" t="str">
        <f t="shared" si="41"/>
        <v>0</v>
      </c>
    </row>
    <row r="1224" spans="1:4" x14ac:dyDescent="0.3">
      <c r="A1224" s="1">
        <v>46048.375</v>
      </c>
      <c r="B1224" s="2">
        <v>8.6999999999999993</v>
      </c>
      <c r="C1224" s="1" t="str">
        <f t="shared" si="40"/>
        <v>0</v>
      </c>
      <c r="D1224" s="1" t="str">
        <f t="shared" si="41"/>
        <v>0</v>
      </c>
    </row>
    <row r="1225" spans="1:4" x14ac:dyDescent="0.3">
      <c r="A1225" s="1">
        <v>46048.395833333336</v>
      </c>
      <c r="B1225" s="2">
        <v>8.6</v>
      </c>
      <c r="C1225" s="1" t="str">
        <f t="shared" si="40"/>
        <v>0</v>
      </c>
      <c r="D1225" s="1" t="str">
        <f t="shared" si="41"/>
        <v>0</v>
      </c>
    </row>
    <row r="1226" spans="1:4" x14ac:dyDescent="0.3">
      <c r="A1226" s="1">
        <v>46048.416666666664</v>
      </c>
      <c r="B1226" s="2">
        <v>8.9</v>
      </c>
      <c r="C1226" s="1" t="str">
        <f t="shared" si="40"/>
        <v>0</v>
      </c>
      <c r="D1226" s="1" t="str">
        <f t="shared" si="41"/>
        <v>0</v>
      </c>
    </row>
    <row r="1227" spans="1:4" x14ac:dyDescent="0.3">
      <c r="A1227" s="1">
        <v>46048.4375</v>
      </c>
      <c r="B1227" s="2">
        <v>8.8000000000000007</v>
      </c>
      <c r="C1227" s="1" t="str">
        <f t="shared" si="40"/>
        <v>0</v>
      </c>
      <c r="D1227" s="1" t="str">
        <f t="shared" si="41"/>
        <v>0</v>
      </c>
    </row>
    <row r="1228" spans="1:4" x14ac:dyDescent="0.3">
      <c r="A1228" s="1">
        <v>46048.458333333336</v>
      </c>
      <c r="B1228" s="2">
        <v>9.3000000000000007</v>
      </c>
      <c r="C1228" s="1" t="str">
        <f t="shared" si="40"/>
        <v>0</v>
      </c>
      <c r="D1228" s="1" t="str">
        <f t="shared" si="41"/>
        <v>0</v>
      </c>
    </row>
    <row r="1229" spans="1:4" x14ac:dyDescent="0.3">
      <c r="A1229" s="1">
        <v>46048.479166666664</v>
      </c>
      <c r="B1229" s="2">
        <v>9.6</v>
      </c>
      <c r="C1229" s="1" t="str">
        <f t="shared" si="40"/>
        <v>0</v>
      </c>
      <c r="D1229" s="1" t="str">
        <f t="shared" si="41"/>
        <v>0</v>
      </c>
    </row>
    <row r="1230" spans="1:4" x14ac:dyDescent="0.3">
      <c r="A1230" s="1">
        <v>46048.5</v>
      </c>
      <c r="B1230" s="2">
        <v>10.1</v>
      </c>
      <c r="C1230" s="1" t="str">
        <f t="shared" si="40"/>
        <v>0</v>
      </c>
      <c r="D1230" s="1" t="str">
        <f t="shared" si="41"/>
        <v>0</v>
      </c>
    </row>
    <row r="1231" spans="1:4" x14ac:dyDescent="0.3">
      <c r="A1231" s="1">
        <v>46048.520833333336</v>
      </c>
      <c r="B1231" s="2">
        <v>10.4</v>
      </c>
      <c r="C1231" s="1" t="str">
        <f t="shared" si="40"/>
        <v>0</v>
      </c>
      <c r="D1231" s="1" t="str">
        <f t="shared" si="41"/>
        <v>0</v>
      </c>
    </row>
    <row r="1232" spans="1:4" x14ac:dyDescent="0.3">
      <c r="A1232" s="1">
        <v>46048.541666666664</v>
      </c>
      <c r="B1232" s="2">
        <v>9.8000000000000007</v>
      </c>
      <c r="C1232" s="1" t="str">
        <f t="shared" si="40"/>
        <v>0</v>
      </c>
      <c r="D1232" s="1" t="str">
        <f t="shared" si="41"/>
        <v>0</v>
      </c>
    </row>
    <row r="1233" spans="1:4" x14ac:dyDescent="0.3">
      <c r="A1233" s="1">
        <v>46048.5625</v>
      </c>
      <c r="B1233" s="2">
        <v>9.5</v>
      </c>
      <c r="C1233" s="1" t="str">
        <f t="shared" si="40"/>
        <v>0</v>
      </c>
      <c r="D1233" s="1" t="str">
        <f t="shared" si="41"/>
        <v>0</v>
      </c>
    </row>
    <row r="1234" spans="1:4" x14ac:dyDescent="0.3">
      <c r="A1234" s="1">
        <v>46048.583333333336</v>
      </c>
      <c r="B1234" s="2">
        <v>9.9</v>
      </c>
      <c r="C1234" s="1" t="str">
        <f t="shared" si="40"/>
        <v>0</v>
      </c>
      <c r="D1234" s="1" t="str">
        <f t="shared" si="41"/>
        <v>0</v>
      </c>
    </row>
    <row r="1235" spans="1:4" x14ac:dyDescent="0.3">
      <c r="A1235" s="1">
        <v>46048.604166666664</v>
      </c>
      <c r="B1235" s="2">
        <v>9.9</v>
      </c>
      <c r="C1235" s="1" t="str">
        <f t="shared" si="40"/>
        <v>0</v>
      </c>
      <c r="D1235" s="1" t="str">
        <f t="shared" si="41"/>
        <v>0</v>
      </c>
    </row>
    <row r="1236" spans="1:4" x14ac:dyDescent="0.3">
      <c r="A1236" s="1">
        <v>46048.625</v>
      </c>
      <c r="B1236" s="2">
        <v>10</v>
      </c>
      <c r="C1236" s="1" t="str">
        <f t="shared" si="40"/>
        <v>0</v>
      </c>
      <c r="D1236" s="1" t="str">
        <f t="shared" si="41"/>
        <v>0</v>
      </c>
    </row>
    <row r="1237" spans="1:4" x14ac:dyDescent="0.3">
      <c r="A1237" s="1">
        <v>46048.645833333336</v>
      </c>
      <c r="B1237" s="2">
        <v>10.1</v>
      </c>
      <c r="C1237" s="1" t="str">
        <f t="shared" si="40"/>
        <v>0</v>
      </c>
      <c r="D1237" s="1" t="str">
        <f t="shared" si="41"/>
        <v>0</v>
      </c>
    </row>
    <row r="1238" spans="1:4" x14ac:dyDescent="0.3">
      <c r="A1238" s="1">
        <v>46048.666666666664</v>
      </c>
      <c r="B1238" s="2">
        <v>10.199999999999999</v>
      </c>
      <c r="C1238" s="1" t="str">
        <f t="shared" si="40"/>
        <v>0</v>
      </c>
      <c r="D1238" s="1" t="str">
        <f t="shared" si="41"/>
        <v>0</v>
      </c>
    </row>
    <row r="1239" spans="1:4" x14ac:dyDescent="0.3">
      <c r="A1239" s="1">
        <v>46048.6875</v>
      </c>
      <c r="B1239" s="2">
        <v>10.1</v>
      </c>
      <c r="C1239" s="1" t="str">
        <f t="shared" si="40"/>
        <v>0</v>
      </c>
      <c r="D1239" s="1" t="str">
        <f t="shared" si="41"/>
        <v>0</v>
      </c>
    </row>
    <row r="1240" spans="1:4" x14ac:dyDescent="0.3">
      <c r="A1240" s="1">
        <v>46048.708333333336</v>
      </c>
      <c r="B1240" s="2">
        <v>10.199999999999999</v>
      </c>
      <c r="C1240" s="1" t="str">
        <f t="shared" si="40"/>
        <v>0</v>
      </c>
      <c r="D1240" s="1" t="str">
        <f t="shared" si="41"/>
        <v>0</v>
      </c>
    </row>
    <row r="1241" spans="1:4" x14ac:dyDescent="0.3">
      <c r="A1241" s="1">
        <v>46048.729166666664</v>
      </c>
      <c r="B1241" s="2">
        <v>10.199999999999999</v>
      </c>
      <c r="C1241" s="1" t="str">
        <f t="shared" si="40"/>
        <v>0</v>
      </c>
      <c r="D1241" s="1" t="str">
        <f t="shared" si="41"/>
        <v>0</v>
      </c>
    </row>
    <row r="1242" spans="1:4" x14ac:dyDescent="0.3">
      <c r="A1242" s="1">
        <v>46048.75</v>
      </c>
      <c r="B1242" s="2">
        <v>10.1</v>
      </c>
      <c r="C1242" s="1" t="str">
        <f t="shared" si="40"/>
        <v>0</v>
      </c>
      <c r="D1242" s="1" t="str">
        <f t="shared" si="41"/>
        <v>0</v>
      </c>
    </row>
    <row r="1243" spans="1:4" x14ac:dyDescent="0.3">
      <c r="A1243" s="1">
        <v>46048.770833333336</v>
      </c>
      <c r="B1243" s="2">
        <v>9.8000000000000007</v>
      </c>
      <c r="C1243" s="1" t="str">
        <f t="shared" si="40"/>
        <v>0</v>
      </c>
      <c r="D1243" s="1" t="str">
        <f t="shared" si="41"/>
        <v>0</v>
      </c>
    </row>
    <row r="1244" spans="1:4" x14ac:dyDescent="0.3">
      <c r="A1244" s="1">
        <v>46048.791666666664</v>
      </c>
      <c r="B1244" s="2">
        <v>9.6</v>
      </c>
      <c r="C1244" s="1" t="str">
        <f t="shared" si="40"/>
        <v>0</v>
      </c>
      <c r="D1244" s="1" t="str">
        <f t="shared" si="41"/>
        <v>0</v>
      </c>
    </row>
    <row r="1245" spans="1:4" x14ac:dyDescent="0.3">
      <c r="A1245" s="1">
        <v>46048.8125</v>
      </c>
      <c r="B1245" s="2">
        <v>9.3000000000000007</v>
      </c>
      <c r="C1245" s="1" t="str">
        <f t="shared" si="40"/>
        <v>0</v>
      </c>
      <c r="D1245" s="1" t="str">
        <f t="shared" si="41"/>
        <v>0</v>
      </c>
    </row>
    <row r="1246" spans="1:4" x14ac:dyDescent="0.3">
      <c r="A1246" s="1">
        <v>46048.833333333336</v>
      </c>
      <c r="B1246" s="2">
        <v>9</v>
      </c>
      <c r="C1246" s="1" t="str">
        <f t="shared" si="40"/>
        <v>0</v>
      </c>
      <c r="D1246" s="1" t="str">
        <f t="shared" si="41"/>
        <v>0</v>
      </c>
    </row>
    <row r="1247" spans="1:4" x14ac:dyDescent="0.3">
      <c r="A1247" s="1">
        <v>46048.854166666664</v>
      </c>
      <c r="B1247" s="2">
        <v>9.1</v>
      </c>
      <c r="C1247" s="1" t="str">
        <f t="shared" si="40"/>
        <v>0</v>
      </c>
      <c r="D1247" s="1" t="str">
        <f t="shared" si="41"/>
        <v>0</v>
      </c>
    </row>
    <row r="1248" spans="1:4" x14ac:dyDescent="0.3">
      <c r="A1248" s="1">
        <v>46048.875</v>
      </c>
      <c r="B1248" s="2">
        <v>8.8000000000000007</v>
      </c>
      <c r="C1248" s="1" t="str">
        <f t="shared" si="40"/>
        <v>0</v>
      </c>
      <c r="D1248" s="1" t="str">
        <f t="shared" si="41"/>
        <v>0</v>
      </c>
    </row>
    <row r="1249" spans="1:4" x14ac:dyDescent="0.3">
      <c r="A1249" s="1">
        <v>46048.895833333336</v>
      </c>
      <c r="B1249" s="2">
        <v>8</v>
      </c>
      <c r="C1249" s="1" t="str">
        <f t="shared" si="40"/>
        <v>0</v>
      </c>
      <c r="D1249" s="1" t="str">
        <f t="shared" si="41"/>
        <v>0</v>
      </c>
    </row>
    <row r="1250" spans="1:4" x14ac:dyDescent="0.3">
      <c r="A1250" s="1">
        <v>46048.916666666664</v>
      </c>
      <c r="B1250" s="2">
        <v>7.6</v>
      </c>
      <c r="C1250" s="1" t="str">
        <f t="shared" si="40"/>
        <v>0</v>
      </c>
      <c r="D1250" s="1" t="str">
        <f t="shared" si="41"/>
        <v>0</v>
      </c>
    </row>
    <row r="1251" spans="1:4" x14ac:dyDescent="0.3">
      <c r="A1251" s="1">
        <v>46048.9375</v>
      </c>
      <c r="B1251" s="2">
        <v>7.5</v>
      </c>
      <c r="C1251" s="1" t="str">
        <f t="shared" si="40"/>
        <v>0</v>
      </c>
      <c r="D1251" s="1" t="str">
        <f t="shared" si="41"/>
        <v>0</v>
      </c>
    </row>
    <row r="1252" spans="1:4" x14ac:dyDescent="0.3">
      <c r="A1252" s="1">
        <v>46048.958333333336</v>
      </c>
      <c r="B1252" s="2">
        <v>7.8</v>
      </c>
      <c r="C1252" s="1" t="str">
        <f t="shared" si="40"/>
        <v>0</v>
      </c>
      <c r="D1252" s="1" t="str">
        <f t="shared" si="41"/>
        <v>0</v>
      </c>
    </row>
    <row r="1253" spans="1:4" x14ac:dyDescent="0.3">
      <c r="A1253" s="1">
        <v>46048.979166666664</v>
      </c>
      <c r="B1253" s="2">
        <v>7.3</v>
      </c>
      <c r="C1253" s="1" t="str">
        <f t="shared" si="40"/>
        <v>0</v>
      </c>
      <c r="D1253" s="1" t="str">
        <f t="shared" si="41"/>
        <v>0</v>
      </c>
    </row>
    <row r="1254" spans="1:4" x14ac:dyDescent="0.3">
      <c r="A1254" s="1">
        <v>46049</v>
      </c>
      <c r="B1254" s="2">
        <v>7.3</v>
      </c>
      <c r="C1254" s="1" t="str">
        <f t="shared" si="40"/>
        <v>0</v>
      </c>
      <c r="D1254" s="1" t="str">
        <f t="shared" si="41"/>
        <v>0</v>
      </c>
    </row>
    <row r="1255" spans="1:4" x14ac:dyDescent="0.3">
      <c r="A1255" s="1">
        <v>46049.020833333336</v>
      </c>
      <c r="B1255" s="2">
        <v>7</v>
      </c>
      <c r="C1255" s="1" t="str">
        <f t="shared" si="40"/>
        <v>0</v>
      </c>
      <c r="D1255" s="1" t="str">
        <f t="shared" si="41"/>
        <v>0</v>
      </c>
    </row>
    <row r="1256" spans="1:4" x14ac:dyDescent="0.3">
      <c r="A1256" s="1">
        <v>46049.041666666664</v>
      </c>
      <c r="B1256" s="2">
        <v>6.6</v>
      </c>
      <c r="C1256" s="1" t="str">
        <f t="shared" si="40"/>
        <v>0</v>
      </c>
      <c r="D1256" s="1" t="str">
        <f t="shared" si="41"/>
        <v>0</v>
      </c>
    </row>
    <row r="1257" spans="1:4" x14ac:dyDescent="0.3">
      <c r="A1257" s="1">
        <v>46049.0625</v>
      </c>
      <c r="B1257" s="2">
        <v>6.3</v>
      </c>
      <c r="C1257" s="1" t="str">
        <f t="shared" si="40"/>
        <v>0</v>
      </c>
      <c r="D1257" s="1" t="str">
        <f t="shared" si="41"/>
        <v>0</v>
      </c>
    </row>
    <row r="1258" spans="1:4" x14ac:dyDescent="0.3">
      <c r="A1258" s="1">
        <v>46049.083333333336</v>
      </c>
      <c r="B1258" s="2">
        <v>6.4</v>
      </c>
      <c r="C1258" s="1" t="str">
        <f t="shared" si="40"/>
        <v>0</v>
      </c>
      <c r="D1258" s="1" t="str">
        <f t="shared" si="41"/>
        <v>0</v>
      </c>
    </row>
    <row r="1259" spans="1:4" x14ac:dyDescent="0.3">
      <c r="A1259" s="1">
        <v>46049.104166666664</v>
      </c>
      <c r="B1259" s="2">
        <v>6.4</v>
      </c>
      <c r="C1259" s="1" t="str">
        <f t="shared" si="40"/>
        <v>0</v>
      </c>
      <c r="D1259" s="1" t="str">
        <f t="shared" si="41"/>
        <v>0</v>
      </c>
    </row>
    <row r="1260" spans="1:4" x14ac:dyDescent="0.3">
      <c r="A1260" s="1">
        <v>46049.125</v>
      </c>
      <c r="B1260" s="2">
        <v>6.3</v>
      </c>
      <c r="C1260" s="1" t="str">
        <f t="shared" si="40"/>
        <v>0</v>
      </c>
      <c r="D1260" s="1" t="str">
        <f t="shared" si="41"/>
        <v>0</v>
      </c>
    </row>
    <row r="1261" spans="1:4" x14ac:dyDescent="0.3">
      <c r="A1261" s="1">
        <v>46049.145833333336</v>
      </c>
      <c r="B1261" s="2">
        <v>6.1</v>
      </c>
      <c r="C1261" s="1" t="str">
        <f t="shared" si="40"/>
        <v>0</v>
      </c>
      <c r="D1261" s="1" t="str">
        <f t="shared" si="41"/>
        <v>0</v>
      </c>
    </row>
    <row r="1262" spans="1:4" x14ac:dyDescent="0.3">
      <c r="A1262" s="1">
        <v>46049.166666666664</v>
      </c>
      <c r="B1262" s="2">
        <v>6.1</v>
      </c>
      <c r="C1262" s="1" t="str">
        <f t="shared" si="40"/>
        <v>0</v>
      </c>
      <c r="D1262" s="1" t="str">
        <f t="shared" si="41"/>
        <v>0</v>
      </c>
    </row>
    <row r="1263" spans="1:4" x14ac:dyDescent="0.3">
      <c r="A1263" s="1">
        <v>46049.1875</v>
      </c>
      <c r="B1263" s="2">
        <v>5.9</v>
      </c>
      <c r="C1263" s="1" t="str">
        <f t="shared" si="40"/>
        <v>0</v>
      </c>
      <c r="D1263" s="1" t="str">
        <f t="shared" si="41"/>
        <v>0</v>
      </c>
    </row>
    <row r="1264" spans="1:4" x14ac:dyDescent="0.3">
      <c r="A1264" s="1">
        <v>46049.208333333336</v>
      </c>
      <c r="B1264" s="2">
        <v>5.2</v>
      </c>
      <c r="C1264" s="1" t="str">
        <f t="shared" si="40"/>
        <v>0</v>
      </c>
      <c r="D1264" s="1" t="str">
        <f t="shared" si="41"/>
        <v>0</v>
      </c>
    </row>
    <row r="1265" spans="1:4" x14ac:dyDescent="0.3">
      <c r="A1265" s="1">
        <v>46049.229166666664</v>
      </c>
      <c r="B1265" s="2">
        <v>5.4</v>
      </c>
      <c r="C1265" s="1" t="str">
        <f t="shared" si="40"/>
        <v>0</v>
      </c>
      <c r="D1265" s="1" t="str">
        <f t="shared" si="41"/>
        <v>0</v>
      </c>
    </row>
    <row r="1266" spans="1:4" x14ac:dyDescent="0.3">
      <c r="A1266" s="1">
        <v>46049.25</v>
      </c>
      <c r="B1266" s="2">
        <v>5.7</v>
      </c>
      <c r="C1266" s="1" t="str">
        <f t="shared" si="40"/>
        <v>0</v>
      </c>
      <c r="D1266" s="1" t="str">
        <f t="shared" si="41"/>
        <v>0</v>
      </c>
    </row>
    <row r="1267" spans="1:4" x14ac:dyDescent="0.3">
      <c r="A1267" s="1">
        <v>46049.270833333336</v>
      </c>
      <c r="B1267" s="2">
        <v>5.4</v>
      </c>
      <c r="C1267" s="1" t="str">
        <f t="shared" si="40"/>
        <v>0</v>
      </c>
      <c r="D1267" s="1" t="str">
        <f t="shared" si="41"/>
        <v>0</v>
      </c>
    </row>
    <row r="1268" spans="1:4" x14ac:dyDescent="0.3">
      <c r="A1268" s="1">
        <v>46049.291666666664</v>
      </c>
      <c r="B1268" s="2">
        <v>5.0999999999999996</v>
      </c>
      <c r="C1268" s="1" t="str">
        <f t="shared" si="40"/>
        <v>0</v>
      </c>
      <c r="D1268" s="1" t="str">
        <f t="shared" si="41"/>
        <v>0</v>
      </c>
    </row>
    <row r="1269" spans="1:4" x14ac:dyDescent="0.3">
      <c r="A1269" s="1">
        <v>46049.3125</v>
      </c>
      <c r="B1269" s="2">
        <v>5.4</v>
      </c>
      <c r="C1269" s="1" t="str">
        <f t="shared" si="40"/>
        <v>0</v>
      </c>
      <c r="D1269" s="1" t="str">
        <f t="shared" si="41"/>
        <v>0</v>
      </c>
    </row>
    <row r="1270" spans="1:4" x14ac:dyDescent="0.3">
      <c r="A1270" s="1">
        <v>46049.333333333336</v>
      </c>
      <c r="B1270" s="2">
        <v>5.8</v>
      </c>
      <c r="C1270" s="1" t="str">
        <f t="shared" si="40"/>
        <v>0</v>
      </c>
      <c r="D1270" s="1" t="str">
        <f t="shared" si="41"/>
        <v>0</v>
      </c>
    </row>
    <row r="1271" spans="1:4" x14ac:dyDescent="0.3">
      <c r="A1271" s="1">
        <v>46049.354166666664</v>
      </c>
      <c r="B1271" s="2">
        <v>6.3</v>
      </c>
      <c r="C1271" s="1" t="str">
        <f t="shared" si="40"/>
        <v>0</v>
      </c>
      <c r="D1271" s="1" t="str">
        <f t="shared" si="41"/>
        <v>0</v>
      </c>
    </row>
    <row r="1272" spans="1:4" x14ac:dyDescent="0.3">
      <c r="A1272" s="1">
        <v>46049.375</v>
      </c>
      <c r="B1272" s="2">
        <v>6.7</v>
      </c>
      <c r="C1272" s="1" t="str">
        <f t="shared" si="40"/>
        <v>0</v>
      </c>
      <c r="D1272" s="1" t="str">
        <f t="shared" si="41"/>
        <v>0</v>
      </c>
    </row>
    <row r="1273" spans="1:4" x14ac:dyDescent="0.3">
      <c r="A1273" s="1">
        <v>46049.395833333336</v>
      </c>
      <c r="B1273" s="2">
        <v>7.3</v>
      </c>
      <c r="C1273" s="1" t="str">
        <f t="shared" si="40"/>
        <v>0</v>
      </c>
      <c r="D1273" s="1" t="str">
        <f t="shared" si="41"/>
        <v>0</v>
      </c>
    </row>
    <row r="1274" spans="1:4" x14ac:dyDescent="0.3">
      <c r="A1274" s="1">
        <v>46049.416666666664</v>
      </c>
      <c r="B1274" s="2">
        <v>8.1</v>
      </c>
      <c r="C1274" s="1" t="str">
        <f t="shared" si="40"/>
        <v>0</v>
      </c>
      <c r="D1274" s="1" t="str">
        <f t="shared" si="41"/>
        <v>0</v>
      </c>
    </row>
    <row r="1275" spans="1:4" x14ac:dyDescent="0.3">
      <c r="A1275" s="1">
        <v>46049.4375</v>
      </c>
      <c r="B1275" s="2">
        <v>9</v>
      </c>
      <c r="C1275" s="1" t="str">
        <f t="shared" si="40"/>
        <v>0</v>
      </c>
      <c r="D1275" s="1" t="str">
        <f t="shared" si="41"/>
        <v>0</v>
      </c>
    </row>
    <row r="1276" spans="1:4" x14ac:dyDescent="0.3">
      <c r="A1276" s="1">
        <v>46049.458333333336</v>
      </c>
      <c r="B1276" s="2">
        <v>9.6</v>
      </c>
      <c r="C1276" s="1" t="str">
        <f t="shared" si="40"/>
        <v>0</v>
      </c>
      <c r="D1276" s="1" t="str">
        <f t="shared" si="41"/>
        <v>0</v>
      </c>
    </row>
    <row r="1277" spans="1:4" x14ac:dyDescent="0.3">
      <c r="A1277" s="1">
        <v>46049.479166666664</v>
      </c>
      <c r="B1277" s="2">
        <v>10.4</v>
      </c>
      <c r="C1277" s="1" t="str">
        <f t="shared" si="40"/>
        <v>0</v>
      </c>
      <c r="D1277" s="1" t="str">
        <f t="shared" si="41"/>
        <v>0</v>
      </c>
    </row>
    <row r="1278" spans="1:4" x14ac:dyDescent="0.3">
      <c r="A1278" s="1">
        <v>46049.5</v>
      </c>
      <c r="B1278" s="2">
        <v>11.5</v>
      </c>
      <c r="C1278" s="1" t="str">
        <f t="shared" si="40"/>
        <v>0</v>
      </c>
      <c r="D1278" s="1" t="str">
        <f t="shared" si="41"/>
        <v>0</v>
      </c>
    </row>
    <row r="1279" spans="1:4" x14ac:dyDescent="0.3">
      <c r="A1279" s="1">
        <v>46049.520833333336</v>
      </c>
      <c r="B1279" s="2">
        <v>12</v>
      </c>
      <c r="C1279" s="1" t="str">
        <f t="shared" si="40"/>
        <v>0</v>
      </c>
      <c r="D1279" s="1" t="str">
        <f t="shared" si="41"/>
        <v>0</v>
      </c>
    </row>
    <row r="1280" spans="1:4" x14ac:dyDescent="0.3">
      <c r="A1280" s="1">
        <v>46049.541666666664</v>
      </c>
      <c r="B1280" s="2">
        <v>12.6</v>
      </c>
      <c r="C1280" s="1" t="str">
        <f t="shared" si="40"/>
        <v>0</v>
      </c>
      <c r="D1280" s="1" t="str">
        <f t="shared" si="41"/>
        <v>0</v>
      </c>
    </row>
    <row r="1281" spans="1:4" x14ac:dyDescent="0.3">
      <c r="A1281" s="1">
        <v>46049.5625</v>
      </c>
      <c r="B1281" s="2">
        <v>13.6</v>
      </c>
      <c r="C1281" s="1" t="str">
        <f t="shared" si="40"/>
        <v>0</v>
      </c>
      <c r="D1281" s="1" t="str">
        <f t="shared" si="41"/>
        <v>0</v>
      </c>
    </row>
    <row r="1282" spans="1:4" x14ac:dyDescent="0.3">
      <c r="A1282" s="1">
        <v>46049.583333333336</v>
      </c>
      <c r="B1282" s="2">
        <v>13.2</v>
      </c>
      <c r="C1282" s="1" t="str">
        <f t="shared" si="40"/>
        <v>0</v>
      </c>
      <c r="D1282" s="1" t="str">
        <f t="shared" si="41"/>
        <v>0</v>
      </c>
    </row>
    <row r="1283" spans="1:4" x14ac:dyDescent="0.3">
      <c r="A1283" s="1">
        <v>46049.604166666664</v>
      </c>
      <c r="B1283" s="2">
        <v>13.3</v>
      </c>
      <c r="C1283" s="1" t="str">
        <f t="shared" ref="C1283:C1346" si="42">IF(B1283=$P$13,A1283,"0")</f>
        <v>0</v>
      </c>
      <c r="D1283" s="1" t="str">
        <f t="shared" ref="D1283:D1346" si="43">IF(B1283=$M$13,A1283,"0")</f>
        <v>0</v>
      </c>
    </row>
    <row r="1284" spans="1:4" x14ac:dyDescent="0.3">
      <c r="A1284" s="1">
        <v>46049.625</v>
      </c>
      <c r="B1284" s="2">
        <v>12.8</v>
      </c>
      <c r="C1284" s="1" t="str">
        <f t="shared" si="42"/>
        <v>0</v>
      </c>
      <c r="D1284" s="1" t="str">
        <f t="shared" si="43"/>
        <v>0</v>
      </c>
    </row>
    <row r="1285" spans="1:4" x14ac:dyDescent="0.3">
      <c r="A1285" s="1">
        <v>46049.645833333336</v>
      </c>
      <c r="B1285" s="2">
        <v>12.5</v>
      </c>
      <c r="C1285" s="1" t="str">
        <f t="shared" si="42"/>
        <v>0</v>
      </c>
      <c r="D1285" s="1" t="str">
        <f t="shared" si="43"/>
        <v>0</v>
      </c>
    </row>
    <row r="1286" spans="1:4" x14ac:dyDescent="0.3">
      <c r="A1286" s="1">
        <v>46049.666666666664</v>
      </c>
      <c r="B1286" s="2">
        <v>12.4</v>
      </c>
      <c r="C1286" s="1" t="str">
        <f t="shared" si="42"/>
        <v>0</v>
      </c>
      <c r="D1286" s="1" t="str">
        <f t="shared" si="43"/>
        <v>0</v>
      </c>
    </row>
    <row r="1287" spans="1:4" x14ac:dyDescent="0.3">
      <c r="A1287" s="1">
        <v>46049.6875</v>
      </c>
      <c r="B1287" s="2">
        <v>12.3</v>
      </c>
      <c r="C1287" s="1" t="str">
        <f t="shared" si="42"/>
        <v>0</v>
      </c>
      <c r="D1287" s="1" t="str">
        <f t="shared" si="43"/>
        <v>0</v>
      </c>
    </row>
    <row r="1288" spans="1:4" x14ac:dyDescent="0.3">
      <c r="A1288" s="1">
        <v>46049.708333333336</v>
      </c>
      <c r="B1288" s="2">
        <v>12.1</v>
      </c>
      <c r="C1288" s="1" t="str">
        <f t="shared" si="42"/>
        <v>0</v>
      </c>
      <c r="D1288" s="1" t="str">
        <f t="shared" si="43"/>
        <v>0</v>
      </c>
    </row>
    <row r="1289" spans="1:4" x14ac:dyDescent="0.3">
      <c r="A1289" s="1">
        <v>46049.729166666664</v>
      </c>
      <c r="B1289" s="2">
        <v>12.1</v>
      </c>
      <c r="C1289" s="1" t="str">
        <f t="shared" si="42"/>
        <v>0</v>
      </c>
      <c r="D1289" s="1" t="str">
        <f t="shared" si="43"/>
        <v>0</v>
      </c>
    </row>
    <row r="1290" spans="1:4" x14ac:dyDescent="0.3">
      <c r="A1290" s="1">
        <v>46049.75</v>
      </c>
      <c r="B1290" s="2">
        <v>12</v>
      </c>
      <c r="C1290" s="1" t="str">
        <f t="shared" si="42"/>
        <v>0</v>
      </c>
      <c r="D1290" s="1" t="str">
        <f t="shared" si="43"/>
        <v>0</v>
      </c>
    </row>
    <row r="1291" spans="1:4" x14ac:dyDescent="0.3">
      <c r="A1291" s="1">
        <v>46049.770833333336</v>
      </c>
      <c r="B1291" s="2">
        <v>12.1</v>
      </c>
      <c r="C1291" s="1" t="str">
        <f t="shared" si="42"/>
        <v>0</v>
      </c>
      <c r="D1291" s="1" t="str">
        <f t="shared" si="43"/>
        <v>0</v>
      </c>
    </row>
    <row r="1292" spans="1:4" x14ac:dyDescent="0.3">
      <c r="A1292" s="1">
        <v>46049.791666666664</v>
      </c>
      <c r="B1292" s="2">
        <v>12.1</v>
      </c>
      <c r="C1292" s="1" t="str">
        <f t="shared" si="42"/>
        <v>0</v>
      </c>
      <c r="D1292" s="1" t="str">
        <f t="shared" si="43"/>
        <v>0</v>
      </c>
    </row>
    <row r="1293" spans="1:4" x14ac:dyDescent="0.3">
      <c r="A1293" s="1">
        <v>46049.8125</v>
      </c>
      <c r="B1293" s="2">
        <v>12.3</v>
      </c>
      <c r="C1293" s="1" t="str">
        <f t="shared" si="42"/>
        <v>0</v>
      </c>
      <c r="D1293" s="1" t="str">
        <f t="shared" si="43"/>
        <v>0</v>
      </c>
    </row>
    <row r="1294" spans="1:4" x14ac:dyDescent="0.3">
      <c r="A1294" s="1">
        <v>46049.833333333336</v>
      </c>
      <c r="B1294" s="2">
        <v>12.3</v>
      </c>
      <c r="C1294" s="1" t="str">
        <f t="shared" si="42"/>
        <v>0</v>
      </c>
      <c r="D1294" s="1" t="str">
        <f t="shared" si="43"/>
        <v>0</v>
      </c>
    </row>
    <row r="1295" spans="1:4" x14ac:dyDescent="0.3">
      <c r="A1295" s="1">
        <v>46049.854166666664</v>
      </c>
      <c r="B1295" s="2">
        <v>12.4</v>
      </c>
      <c r="C1295" s="1" t="str">
        <f t="shared" si="42"/>
        <v>0</v>
      </c>
      <c r="D1295" s="1" t="str">
        <f t="shared" si="43"/>
        <v>0</v>
      </c>
    </row>
    <row r="1296" spans="1:4" x14ac:dyDescent="0.3">
      <c r="A1296" s="1">
        <v>46049.875</v>
      </c>
      <c r="B1296" s="2">
        <v>12.4</v>
      </c>
      <c r="C1296" s="1" t="str">
        <f t="shared" si="42"/>
        <v>0</v>
      </c>
      <c r="D1296" s="1" t="str">
        <f t="shared" si="43"/>
        <v>0</v>
      </c>
    </row>
    <row r="1297" spans="1:4" x14ac:dyDescent="0.3">
      <c r="A1297" s="1">
        <v>46049.895833333336</v>
      </c>
      <c r="B1297" s="2">
        <v>12.5</v>
      </c>
      <c r="C1297" s="1" t="str">
        <f t="shared" si="42"/>
        <v>0</v>
      </c>
      <c r="D1297" s="1" t="str">
        <f t="shared" si="43"/>
        <v>0</v>
      </c>
    </row>
    <row r="1298" spans="1:4" x14ac:dyDescent="0.3">
      <c r="A1298" s="1">
        <v>46049.916666666664</v>
      </c>
      <c r="B1298" s="2">
        <v>12.1</v>
      </c>
      <c r="C1298" s="1" t="str">
        <f t="shared" si="42"/>
        <v>0</v>
      </c>
      <c r="D1298" s="1" t="str">
        <f t="shared" si="43"/>
        <v>0</v>
      </c>
    </row>
    <row r="1299" spans="1:4" x14ac:dyDescent="0.3">
      <c r="A1299" s="1">
        <v>46049.9375</v>
      </c>
      <c r="B1299" s="2">
        <v>12.1</v>
      </c>
      <c r="C1299" s="1" t="str">
        <f t="shared" si="42"/>
        <v>0</v>
      </c>
      <c r="D1299" s="1" t="str">
        <f t="shared" si="43"/>
        <v>0</v>
      </c>
    </row>
    <row r="1300" spans="1:4" x14ac:dyDescent="0.3">
      <c r="A1300" s="1">
        <v>46049.958333333336</v>
      </c>
      <c r="B1300" s="2">
        <v>11.9</v>
      </c>
      <c r="C1300" s="1" t="str">
        <f t="shared" si="42"/>
        <v>0</v>
      </c>
      <c r="D1300" s="1" t="str">
        <f t="shared" si="43"/>
        <v>0</v>
      </c>
    </row>
    <row r="1301" spans="1:4" x14ac:dyDescent="0.3">
      <c r="A1301" s="1">
        <v>46049.979166666664</v>
      </c>
      <c r="B1301" s="2">
        <v>11.5</v>
      </c>
      <c r="C1301" s="1" t="str">
        <f t="shared" si="42"/>
        <v>0</v>
      </c>
      <c r="D1301" s="1" t="str">
        <f t="shared" si="43"/>
        <v>0</v>
      </c>
    </row>
    <row r="1302" spans="1:4" x14ac:dyDescent="0.3">
      <c r="A1302" s="1">
        <v>46050</v>
      </c>
      <c r="B1302" s="2">
        <v>11.2</v>
      </c>
      <c r="C1302" s="1" t="str">
        <f t="shared" si="42"/>
        <v>0</v>
      </c>
      <c r="D1302" s="1" t="str">
        <f t="shared" si="43"/>
        <v>0</v>
      </c>
    </row>
    <row r="1303" spans="1:4" x14ac:dyDescent="0.3">
      <c r="A1303" s="1">
        <v>46050.020833333336</v>
      </c>
      <c r="B1303" s="2">
        <v>11</v>
      </c>
      <c r="C1303" s="1" t="str">
        <f t="shared" si="42"/>
        <v>0</v>
      </c>
      <c r="D1303" s="1" t="str">
        <f t="shared" si="43"/>
        <v>0</v>
      </c>
    </row>
    <row r="1304" spans="1:4" x14ac:dyDescent="0.3">
      <c r="A1304" s="1">
        <v>46050.041666666664</v>
      </c>
      <c r="B1304" s="2">
        <v>10.9</v>
      </c>
      <c r="C1304" s="1" t="str">
        <f t="shared" si="42"/>
        <v>0</v>
      </c>
      <c r="D1304" s="1" t="str">
        <f t="shared" si="43"/>
        <v>0</v>
      </c>
    </row>
    <row r="1305" spans="1:4" x14ac:dyDescent="0.3">
      <c r="A1305" s="1">
        <v>46050.0625</v>
      </c>
      <c r="B1305" s="2">
        <v>11.2</v>
      </c>
      <c r="C1305" s="1" t="str">
        <f t="shared" si="42"/>
        <v>0</v>
      </c>
      <c r="D1305" s="1" t="str">
        <f t="shared" si="43"/>
        <v>0</v>
      </c>
    </row>
    <row r="1306" spans="1:4" x14ac:dyDescent="0.3">
      <c r="A1306" s="1">
        <v>46050.083333333336</v>
      </c>
      <c r="B1306" s="2">
        <v>11.4</v>
      </c>
      <c r="C1306" s="1" t="str">
        <f t="shared" si="42"/>
        <v>0</v>
      </c>
      <c r="D1306" s="1" t="str">
        <f t="shared" si="43"/>
        <v>0</v>
      </c>
    </row>
    <row r="1307" spans="1:4" x14ac:dyDescent="0.3">
      <c r="A1307" s="1">
        <v>46050.104166666664</v>
      </c>
      <c r="B1307" s="2">
        <v>11.5</v>
      </c>
      <c r="C1307" s="1" t="str">
        <f t="shared" si="42"/>
        <v>0</v>
      </c>
      <c r="D1307" s="1" t="str">
        <f t="shared" si="43"/>
        <v>0</v>
      </c>
    </row>
    <row r="1308" spans="1:4" x14ac:dyDescent="0.3">
      <c r="A1308" s="1">
        <v>46050.125</v>
      </c>
      <c r="B1308" s="2">
        <v>11.5</v>
      </c>
      <c r="C1308" s="1" t="str">
        <f t="shared" si="42"/>
        <v>0</v>
      </c>
      <c r="D1308" s="1" t="str">
        <f t="shared" si="43"/>
        <v>0</v>
      </c>
    </row>
    <row r="1309" spans="1:4" x14ac:dyDescent="0.3">
      <c r="A1309" s="1">
        <v>46050.145833333336</v>
      </c>
      <c r="B1309" s="2">
        <v>11.9</v>
      </c>
      <c r="C1309" s="1" t="str">
        <f t="shared" si="42"/>
        <v>0</v>
      </c>
      <c r="D1309" s="1" t="str">
        <f t="shared" si="43"/>
        <v>0</v>
      </c>
    </row>
    <row r="1310" spans="1:4" x14ac:dyDescent="0.3">
      <c r="A1310" s="1">
        <v>46050.166666666664</v>
      </c>
      <c r="B1310" s="2">
        <v>12.4</v>
      </c>
      <c r="C1310" s="1" t="str">
        <f t="shared" si="42"/>
        <v>0</v>
      </c>
      <c r="D1310" s="1" t="str">
        <f t="shared" si="43"/>
        <v>0</v>
      </c>
    </row>
    <row r="1311" spans="1:4" x14ac:dyDescent="0.3">
      <c r="A1311" s="1">
        <v>46050.1875</v>
      </c>
      <c r="B1311" s="2">
        <v>13</v>
      </c>
      <c r="C1311" s="1" t="str">
        <f t="shared" si="42"/>
        <v>0</v>
      </c>
      <c r="D1311" s="1" t="str">
        <f t="shared" si="43"/>
        <v>0</v>
      </c>
    </row>
    <row r="1312" spans="1:4" x14ac:dyDescent="0.3">
      <c r="A1312" s="1">
        <v>46050.208333333336</v>
      </c>
      <c r="B1312" s="2">
        <v>13.1</v>
      </c>
      <c r="C1312" s="1" t="str">
        <f t="shared" si="42"/>
        <v>0</v>
      </c>
      <c r="D1312" s="1" t="str">
        <f t="shared" si="43"/>
        <v>0</v>
      </c>
    </row>
    <row r="1313" spans="1:4" x14ac:dyDescent="0.3">
      <c r="A1313" s="1">
        <v>46050.229166666664</v>
      </c>
      <c r="B1313" s="2">
        <v>13.1</v>
      </c>
      <c r="C1313" s="1" t="str">
        <f t="shared" si="42"/>
        <v>0</v>
      </c>
      <c r="D1313" s="1" t="str">
        <f t="shared" si="43"/>
        <v>0</v>
      </c>
    </row>
    <row r="1314" spans="1:4" x14ac:dyDescent="0.3">
      <c r="A1314" s="1">
        <v>46050.25</v>
      </c>
      <c r="B1314" s="2">
        <v>13.3</v>
      </c>
      <c r="C1314" s="1" t="str">
        <f t="shared" si="42"/>
        <v>0</v>
      </c>
      <c r="D1314" s="1" t="str">
        <f t="shared" si="43"/>
        <v>0</v>
      </c>
    </row>
    <row r="1315" spans="1:4" x14ac:dyDescent="0.3">
      <c r="A1315" s="1">
        <v>46050.270833333336</v>
      </c>
      <c r="B1315" s="2">
        <v>13.3</v>
      </c>
      <c r="C1315" s="1" t="str">
        <f t="shared" si="42"/>
        <v>0</v>
      </c>
      <c r="D1315" s="1" t="str">
        <f t="shared" si="43"/>
        <v>0</v>
      </c>
    </row>
    <row r="1316" spans="1:4" x14ac:dyDescent="0.3">
      <c r="A1316" s="1">
        <v>46050.291666666664</v>
      </c>
      <c r="B1316" s="2">
        <v>13.4</v>
      </c>
      <c r="C1316" s="1" t="str">
        <f t="shared" si="42"/>
        <v>0</v>
      </c>
      <c r="D1316" s="1" t="str">
        <f t="shared" si="43"/>
        <v>0</v>
      </c>
    </row>
    <row r="1317" spans="1:4" x14ac:dyDescent="0.3">
      <c r="A1317" s="1">
        <v>46050.3125</v>
      </c>
      <c r="B1317" s="2">
        <v>13.5</v>
      </c>
      <c r="C1317" s="1" t="str">
        <f t="shared" si="42"/>
        <v>0</v>
      </c>
      <c r="D1317" s="1" t="str">
        <f t="shared" si="43"/>
        <v>0</v>
      </c>
    </row>
    <row r="1318" spans="1:4" x14ac:dyDescent="0.3">
      <c r="A1318" s="1">
        <v>46050.333333333336</v>
      </c>
      <c r="B1318" s="2">
        <v>14</v>
      </c>
      <c r="C1318" s="1" t="str">
        <f t="shared" si="42"/>
        <v>0</v>
      </c>
      <c r="D1318" s="1" t="str">
        <f t="shared" si="43"/>
        <v>0</v>
      </c>
    </row>
    <row r="1319" spans="1:4" x14ac:dyDescent="0.3">
      <c r="A1319" s="1">
        <v>46050.354166666664</v>
      </c>
      <c r="B1319" s="2">
        <v>12.3</v>
      </c>
      <c r="C1319" s="1" t="str">
        <f t="shared" si="42"/>
        <v>0</v>
      </c>
      <c r="D1319" s="1" t="str">
        <f t="shared" si="43"/>
        <v>0</v>
      </c>
    </row>
    <row r="1320" spans="1:4" x14ac:dyDescent="0.3">
      <c r="A1320" s="1">
        <v>46050.375</v>
      </c>
      <c r="B1320" s="2">
        <v>12.8</v>
      </c>
      <c r="C1320" s="1" t="str">
        <f t="shared" si="42"/>
        <v>0</v>
      </c>
      <c r="D1320" s="1" t="str">
        <f t="shared" si="43"/>
        <v>0</v>
      </c>
    </row>
    <row r="1321" spans="1:4" x14ac:dyDescent="0.3">
      <c r="A1321" s="1">
        <v>46050.395833333336</v>
      </c>
      <c r="B1321" s="2">
        <v>13.2</v>
      </c>
      <c r="C1321" s="1" t="str">
        <f t="shared" si="42"/>
        <v>0</v>
      </c>
      <c r="D1321" s="1" t="str">
        <f t="shared" si="43"/>
        <v>0</v>
      </c>
    </row>
    <row r="1322" spans="1:4" x14ac:dyDescent="0.3">
      <c r="A1322" s="1">
        <v>46050.416666666664</v>
      </c>
      <c r="B1322" s="2">
        <v>12.8</v>
      </c>
      <c r="C1322" s="1" t="str">
        <f t="shared" si="42"/>
        <v>0</v>
      </c>
      <c r="D1322" s="1" t="str">
        <f t="shared" si="43"/>
        <v>0</v>
      </c>
    </row>
    <row r="1323" spans="1:4" x14ac:dyDescent="0.3">
      <c r="A1323" s="1">
        <v>46050.4375</v>
      </c>
      <c r="B1323" s="2">
        <v>12.5</v>
      </c>
      <c r="C1323" s="1" t="str">
        <f t="shared" si="42"/>
        <v>0</v>
      </c>
      <c r="D1323" s="1" t="str">
        <f t="shared" si="43"/>
        <v>0</v>
      </c>
    </row>
    <row r="1324" spans="1:4" x14ac:dyDescent="0.3">
      <c r="A1324" s="1">
        <v>46050.458333333336</v>
      </c>
      <c r="B1324" s="2">
        <v>12.4</v>
      </c>
      <c r="C1324" s="1" t="str">
        <f t="shared" si="42"/>
        <v>0</v>
      </c>
      <c r="D1324" s="1" t="str">
        <f t="shared" si="43"/>
        <v>0</v>
      </c>
    </row>
    <row r="1325" spans="1:4" x14ac:dyDescent="0.3">
      <c r="A1325" s="1">
        <v>46050.479166666664</v>
      </c>
      <c r="B1325" s="2">
        <v>12.7</v>
      </c>
      <c r="C1325" s="1" t="str">
        <f t="shared" si="42"/>
        <v>0</v>
      </c>
      <c r="D1325" s="1" t="str">
        <f t="shared" si="43"/>
        <v>0</v>
      </c>
    </row>
    <row r="1326" spans="1:4" x14ac:dyDescent="0.3">
      <c r="A1326" s="1">
        <v>46050.5</v>
      </c>
      <c r="B1326" s="2">
        <v>12.9</v>
      </c>
      <c r="C1326" s="1" t="str">
        <f t="shared" si="42"/>
        <v>0</v>
      </c>
      <c r="D1326" s="1" t="str">
        <f t="shared" si="43"/>
        <v>0</v>
      </c>
    </row>
    <row r="1327" spans="1:4" x14ac:dyDescent="0.3">
      <c r="A1327" s="1">
        <v>46050.520833333336</v>
      </c>
      <c r="B1327" s="2">
        <v>13.1</v>
      </c>
      <c r="C1327" s="1" t="str">
        <f t="shared" si="42"/>
        <v>0</v>
      </c>
      <c r="D1327" s="1" t="str">
        <f t="shared" si="43"/>
        <v>0</v>
      </c>
    </row>
    <row r="1328" spans="1:4" x14ac:dyDescent="0.3">
      <c r="A1328" s="1">
        <v>46050.541666666664</v>
      </c>
      <c r="B1328" s="2">
        <v>13.5</v>
      </c>
      <c r="C1328" s="1" t="str">
        <f t="shared" si="42"/>
        <v>0</v>
      </c>
      <c r="D1328" s="1" t="str">
        <f t="shared" si="43"/>
        <v>0</v>
      </c>
    </row>
    <row r="1329" spans="1:4" x14ac:dyDescent="0.3">
      <c r="A1329" s="1">
        <v>46050.5625</v>
      </c>
      <c r="B1329" s="2">
        <v>13</v>
      </c>
      <c r="C1329" s="1" t="str">
        <f t="shared" si="42"/>
        <v>0</v>
      </c>
      <c r="D1329" s="1" t="str">
        <f t="shared" si="43"/>
        <v>0</v>
      </c>
    </row>
    <row r="1330" spans="1:4" x14ac:dyDescent="0.3">
      <c r="A1330" s="1">
        <v>46050.583333333336</v>
      </c>
      <c r="B1330" s="2">
        <v>13.1</v>
      </c>
      <c r="C1330" s="1" t="str">
        <f t="shared" si="42"/>
        <v>0</v>
      </c>
      <c r="D1330" s="1" t="str">
        <f t="shared" si="43"/>
        <v>0</v>
      </c>
    </row>
    <row r="1331" spans="1:4" x14ac:dyDescent="0.3">
      <c r="A1331" s="1">
        <v>46050.604166666664</v>
      </c>
      <c r="B1331" s="2">
        <v>12.9</v>
      </c>
      <c r="C1331" s="1" t="str">
        <f t="shared" si="42"/>
        <v>0</v>
      </c>
      <c r="D1331" s="1" t="str">
        <f t="shared" si="43"/>
        <v>0</v>
      </c>
    </row>
    <row r="1332" spans="1:4" x14ac:dyDescent="0.3">
      <c r="A1332" s="1">
        <v>46050.625</v>
      </c>
      <c r="B1332" s="2">
        <v>13</v>
      </c>
      <c r="C1332" s="1" t="str">
        <f t="shared" si="42"/>
        <v>0</v>
      </c>
      <c r="D1332" s="1" t="str">
        <f t="shared" si="43"/>
        <v>0</v>
      </c>
    </row>
    <row r="1333" spans="1:4" x14ac:dyDescent="0.3">
      <c r="A1333" s="1">
        <v>46050.645833333336</v>
      </c>
      <c r="B1333" s="2">
        <v>12.8</v>
      </c>
      <c r="C1333" s="1" t="str">
        <f t="shared" si="42"/>
        <v>0</v>
      </c>
      <c r="D1333" s="1" t="str">
        <f t="shared" si="43"/>
        <v>0</v>
      </c>
    </row>
    <row r="1334" spans="1:4" x14ac:dyDescent="0.3">
      <c r="A1334" s="1">
        <v>46050.666666666664</v>
      </c>
      <c r="B1334" s="2">
        <v>12.8</v>
      </c>
      <c r="C1334" s="1" t="str">
        <f t="shared" si="42"/>
        <v>0</v>
      </c>
      <c r="D1334" s="1" t="str">
        <f t="shared" si="43"/>
        <v>0</v>
      </c>
    </row>
    <row r="1335" spans="1:4" x14ac:dyDescent="0.3">
      <c r="A1335" s="1">
        <v>46050.6875</v>
      </c>
      <c r="B1335" s="2">
        <v>12.5</v>
      </c>
      <c r="C1335" s="1" t="str">
        <f t="shared" si="42"/>
        <v>0</v>
      </c>
      <c r="D1335" s="1" t="str">
        <f t="shared" si="43"/>
        <v>0</v>
      </c>
    </row>
    <row r="1336" spans="1:4" x14ac:dyDescent="0.3">
      <c r="A1336" s="1">
        <v>46050.708333333336</v>
      </c>
      <c r="B1336" s="2">
        <v>12.4</v>
      </c>
      <c r="C1336" s="1" t="str">
        <f t="shared" si="42"/>
        <v>0</v>
      </c>
      <c r="D1336" s="1" t="str">
        <f t="shared" si="43"/>
        <v>0</v>
      </c>
    </row>
    <row r="1337" spans="1:4" x14ac:dyDescent="0.3">
      <c r="A1337" s="1">
        <v>46050.729166666664</v>
      </c>
      <c r="B1337" s="2">
        <v>12.4</v>
      </c>
      <c r="C1337" s="1" t="str">
        <f t="shared" si="42"/>
        <v>0</v>
      </c>
      <c r="D1337" s="1" t="str">
        <f t="shared" si="43"/>
        <v>0</v>
      </c>
    </row>
    <row r="1338" spans="1:4" x14ac:dyDescent="0.3">
      <c r="A1338" s="1">
        <v>46050.75</v>
      </c>
      <c r="B1338" s="2">
        <v>12.4</v>
      </c>
      <c r="C1338" s="1" t="str">
        <f t="shared" si="42"/>
        <v>0</v>
      </c>
      <c r="D1338" s="1" t="str">
        <f t="shared" si="43"/>
        <v>0</v>
      </c>
    </row>
    <row r="1339" spans="1:4" x14ac:dyDescent="0.3">
      <c r="A1339" s="1">
        <v>46050.770833333336</v>
      </c>
      <c r="B1339" s="2">
        <v>12.2</v>
      </c>
      <c r="C1339" s="1" t="str">
        <f t="shared" si="42"/>
        <v>0</v>
      </c>
      <c r="D1339" s="1" t="str">
        <f t="shared" si="43"/>
        <v>0</v>
      </c>
    </row>
    <row r="1340" spans="1:4" x14ac:dyDescent="0.3">
      <c r="A1340" s="1">
        <v>46050.791666666664</v>
      </c>
      <c r="B1340" s="2">
        <v>12</v>
      </c>
      <c r="C1340" s="1" t="str">
        <f t="shared" si="42"/>
        <v>0</v>
      </c>
      <c r="D1340" s="1" t="str">
        <f t="shared" si="43"/>
        <v>0</v>
      </c>
    </row>
    <row r="1341" spans="1:4" x14ac:dyDescent="0.3">
      <c r="A1341" s="1">
        <v>46050.8125</v>
      </c>
      <c r="B1341" s="2">
        <v>11.8</v>
      </c>
      <c r="C1341" s="1" t="str">
        <f t="shared" si="42"/>
        <v>0</v>
      </c>
      <c r="D1341" s="1" t="str">
        <f t="shared" si="43"/>
        <v>0</v>
      </c>
    </row>
    <row r="1342" spans="1:4" x14ac:dyDescent="0.3">
      <c r="A1342" s="1">
        <v>46050.833333333336</v>
      </c>
      <c r="B1342" s="2">
        <v>11.7</v>
      </c>
      <c r="C1342" s="1" t="str">
        <f t="shared" si="42"/>
        <v>0</v>
      </c>
      <c r="D1342" s="1" t="str">
        <f t="shared" si="43"/>
        <v>0</v>
      </c>
    </row>
    <row r="1343" spans="1:4" x14ac:dyDescent="0.3">
      <c r="A1343" s="1">
        <v>46050.854166666664</v>
      </c>
      <c r="B1343" s="2">
        <v>11.5</v>
      </c>
      <c r="C1343" s="1" t="str">
        <f t="shared" si="42"/>
        <v>0</v>
      </c>
      <c r="D1343" s="1" t="str">
        <f t="shared" si="43"/>
        <v>0</v>
      </c>
    </row>
    <row r="1344" spans="1:4" x14ac:dyDescent="0.3">
      <c r="A1344" s="1">
        <v>46050.875</v>
      </c>
      <c r="B1344" s="2">
        <v>11.3</v>
      </c>
      <c r="C1344" s="1" t="str">
        <f t="shared" si="42"/>
        <v>0</v>
      </c>
      <c r="D1344" s="1" t="str">
        <f t="shared" si="43"/>
        <v>0</v>
      </c>
    </row>
    <row r="1345" spans="1:4" x14ac:dyDescent="0.3">
      <c r="A1345" s="1">
        <v>46050.895833333336</v>
      </c>
      <c r="B1345" s="2">
        <v>11</v>
      </c>
      <c r="C1345" s="1" t="str">
        <f t="shared" si="42"/>
        <v>0</v>
      </c>
      <c r="D1345" s="1" t="str">
        <f t="shared" si="43"/>
        <v>0</v>
      </c>
    </row>
    <row r="1346" spans="1:4" x14ac:dyDescent="0.3">
      <c r="A1346" s="1">
        <v>46050.916666666664</v>
      </c>
      <c r="B1346" s="2">
        <v>10.9</v>
      </c>
      <c r="C1346" s="1" t="str">
        <f t="shared" si="42"/>
        <v>0</v>
      </c>
      <c r="D1346" s="1" t="str">
        <f t="shared" si="43"/>
        <v>0</v>
      </c>
    </row>
    <row r="1347" spans="1:4" x14ac:dyDescent="0.3">
      <c r="A1347" s="1">
        <v>46050.9375</v>
      </c>
      <c r="B1347" s="2">
        <v>10.7</v>
      </c>
      <c r="C1347" s="1" t="str">
        <f t="shared" ref="C1347:C1410" si="44">IF(B1347=$P$13,A1347,"0")</f>
        <v>0</v>
      </c>
      <c r="D1347" s="1" t="str">
        <f t="shared" ref="D1347:D1410" si="45">IF(B1347=$M$13,A1347,"0")</f>
        <v>0</v>
      </c>
    </row>
    <row r="1348" spans="1:4" x14ac:dyDescent="0.3">
      <c r="A1348" s="1">
        <v>46050.958333333336</v>
      </c>
      <c r="B1348" s="2">
        <v>10.199999999999999</v>
      </c>
      <c r="C1348" s="1" t="str">
        <f t="shared" si="44"/>
        <v>0</v>
      </c>
      <c r="D1348" s="1" t="str">
        <f t="shared" si="45"/>
        <v>0</v>
      </c>
    </row>
    <row r="1349" spans="1:4" x14ac:dyDescent="0.3">
      <c r="A1349" s="1">
        <v>46050.979166666664</v>
      </c>
      <c r="B1349" s="2">
        <v>10</v>
      </c>
      <c r="C1349" s="1" t="str">
        <f t="shared" si="44"/>
        <v>0</v>
      </c>
      <c r="D1349" s="1" t="str">
        <f t="shared" si="45"/>
        <v>0</v>
      </c>
    </row>
    <row r="1350" spans="1:4" x14ac:dyDescent="0.3">
      <c r="A1350" s="1">
        <v>46051</v>
      </c>
      <c r="B1350" s="2">
        <v>10.199999999999999</v>
      </c>
      <c r="C1350" s="1" t="str">
        <f t="shared" si="44"/>
        <v>0</v>
      </c>
      <c r="D1350" s="1" t="str">
        <f t="shared" si="45"/>
        <v>0</v>
      </c>
    </row>
    <row r="1351" spans="1:4" x14ac:dyDescent="0.3">
      <c r="A1351" s="1">
        <v>46051.020833333336</v>
      </c>
      <c r="B1351" s="2">
        <v>10.199999999999999</v>
      </c>
      <c r="C1351" s="1" t="str">
        <f t="shared" si="44"/>
        <v>0</v>
      </c>
      <c r="D1351" s="1" t="str">
        <f t="shared" si="45"/>
        <v>0</v>
      </c>
    </row>
    <row r="1352" spans="1:4" x14ac:dyDescent="0.3">
      <c r="A1352" s="1">
        <v>46051.041666666664</v>
      </c>
      <c r="B1352" s="2">
        <v>10.199999999999999</v>
      </c>
      <c r="C1352" s="1" t="str">
        <f t="shared" si="44"/>
        <v>0</v>
      </c>
      <c r="D1352" s="1" t="str">
        <f t="shared" si="45"/>
        <v>0</v>
      </c>
    </row>
    <row r="1353" spans="1:4" x14ac:dyDescent="0.3">
      <c r="A1353" s="1">
        <v>46051.0625</v>
      </c>
      <c r="B1353" s="2">
        <v>9.9</v>
      </c>
      <c r="C1353" s="1" t="str">
        <f t="shared" si="44"/>
        <v>0</v>
      </c>
      <c r="D1353" s="1" t="str">
        <f t="shared" si="45"/>
        <v>0</v>
      </c>
    </row>
    <row r="1354" spans="1:4" x14ac:dyDescent="0.3">
      <c r="A1354" s="1">
        <v>46051.083333333336</v>
      </c>
      <c r="B1354" s="2">
        <v>9.6</v>
      </c>
      <c r="C1354" s="1" t="str">
        <f t="shared" si="44"/>
        <v>0</v>
      </c>
      <c r="D1354" s="1" t="str">
        <f t="shared" si="45"/>
        <v>0</v>
      </c>
    </row>
    <row r="1355" spans="1:4" x14ac:dyDescent="0.3">
      <c r="A1355" s="1">
        <v>46051.104166666664</v>
      </c>
      <c r="B1355" s="2">
        <v>8.6999999999999993</v>
      </c>
      <c r="C1355" s="1" t="str">
        <f t="shared" si="44"/>
        <v>0</v>
      </c>
      <c r="D1355" s="1" t="str">
        <f t="shared" si="45"/>
        <v>0</v>
      </c>
    </row>
    <row r="1356" spans="1:4" x14ac:dyDescent="0.3">
      <c r="A1356" s="1">
        <v>46051.125</v>
      </c>
      <c r="B1356" s="2">
        <v>8.6999999999999993</v>
      </c>
      <c r="C1356" s="1" t="str">
        <f t="shared" si="44"/>
        <v>0</v>
      </c>
      <c r="D1356" s="1" t="str">
        <f t="shared" si="45"/>
        <v>0</v>
      </c>
    </row>
    <row r="1357" spans="1:4" x14ac:dyDescent="0.3">
      <c r="A1357" s="1">
        <v>46051.145833333336</v>
      </c>
      <c r="B1357" s="2">
        <v>8.6</v>
      </c>
      <c r="C1357" s="1" t="str">
        <f t="shared" si="44"/>
        <v>0</v>
      </c>
      <c r="D1357" s="1" t="str">
        <f t="shared" si="45"/>
        <v>0</v>
      </c>
    </row>
    <row r="1358" spans="1:4" x14ac:dyDescent="0.3">
      <c r="A1358" s="1">
        <v>46051.166666666664</v>
      </c>
      <c r="B1358" s="2">
        <v>8.6</v>
      </c>
      <c r="C1358" s="1" t="str">
        <f t="shared" si="44"/>
        <v>0</v>
      </c>
      <c r="D1358" s="1" t="str">
        <f t="shared" si="45"/>
        <v>0</v>
      </c>
    </row>
    <row r="1359" spans="1:4" x14ac:dyDescent="0.3">
      <c r="A1359" s="1">
        <v>46051.1875</v>
      </c>
      <c r="B1359" s="2">
        <v>8.9</v>
      </c>
      <c r="C1359" s="1" t="str">
        <f t="shared" si="44"/>
        <v>0</v>
      </c>
      <c r="D1359" s="1" t="str">
        <f t="shared" si="45"/>
        <v>0</v>
      </c>
    </row>
    <row r="1360" spans="1:4" x14ac:dyDescent="0.3">
      <c r="A1360" s="1">
        <v>46051.208333333336</v>
      </c>
      <c r="B1360" s="2">
        <v>8.8000000000000007</v>
      </c>
      <c r="C1360" s="1" t="str">
        <f t="shared" si="44"/>
        <v>0</v>
      </c>
      <c r="D1360" s="1" t="str">
        <f t="shared" si="45"/>
        <v>0</v>
      </c>
    </row>
    <row r="1361" spans="1:4" x14ac:dyDescent="0.3">
      <c r="A1361" s="1">
        <v>46051.229166666664</v>
      </c>
      <c r="B1361" s="2">
        <v>8.8000000000000007</v>
      </c>
      <c r="C1361" s="1" t="str">
        <f t="shared" si="44"/>
        <v>0</v>
      </c>
      <c r="D1361" s="1" t="str">
        <f t="shared" si="45"/>
        <v>0</v>
      </c>
    </row>
    <row r="1362" spans="1:4" x14ac:dyDescent="0.3">
      <c r="A1362" s="1">
        <v>46051.25</v>
      </c>
      <c r="B1362" s="2">
        <v>9</v>
      </c>
      <c r="C1362" s="1" t="str">
        <f t="shared" si="44"/>
        <v>0</v>
      </c>
      <c r="D1362" s="1" t="str">
        <f t="shared" si="45"/>
        <v>0</v>
      </c>
    </row>
    <row r="1363" spans="1:4" x14ac:dyDescent="0.3">
      <c r="A1363" s="1">
        <v>46051.270833333336</v>
      </c>
      <c r="B1363" s="2">
        <v>9.1999999999999993</v>
      </c>
      <c r="C1363" s="1" t="str">
        <f t="shared" si="44"/>
        <v>0</v>
      </c>
      <c r="D1363" s="1" t="str">
        <f t="shared" si="45"/>
        <v>0</v>
      </c>
    </row>
    <row r="1364" spans="1:4" x14ac:dyDescent="0.3">
      <c r="A1364" s="1">
        <v>46051.291666666664</v>
      </c>
      <c r="B1364" s="2">
        <v>8.8000000000000007</v>
      </c>
      <c r="C1364" s="1" t="str">
        <f t="shared" si="44"/>
        <v>0</v>
      </c>
      <c r="D1364" s="1" t="str">
        <f t="shared" si="45"/>
        <v>0</v>
      </c>
    </row>
    <row r="1365" spans="1:4" x14ac:dyDescent="0.3">
      <c r="A1365" s="1">
        <v>46051.3125</v>
      </c>
      <c r="B1365" s="2">
        <v>8.9</v>
      </c>
      <c r="C1365" s="1" t="str">
        <f t="shared" si="44"/>
        <v>0</v>
      </c>
      <c r="D1365" s="1" t="str">
        <f t="shared" si="45"/>
        <v>0</v>
      </c>
    </row>
    <row r="1366" spans="1:4" x14ac:dyDescent="0.3">
      <c r="A1366" s="1">
        <v>46051.333333333336</v>
      </c>
      <c r="B1366" s="2">
        <v>9.3000000000000007</v>
      </c>
      <c r="C1366" s="1" t="str">
        <f t="shared" si="44"/>
        <v>0</v>
      </c>
      <c r="D1366" s="1" t="str">
        <f t="shared" si="45"/>
        <v>0</v>
      </c>
    </row>
    <row r="1367" spans="1:4" x14ac:dyDescent="0.3">
      <c r="A1367" s="1">
        <v>46051.354166666664</v>
      </c>
      <c r="B1367" s="2">
        <v>10</v>
      </c>
      <c r="C1367" s="1" t="str">
        <f t="shared" si="44"/>
        <v>0</v>
      </c>
      <c r="D1367" s="1" t="str">
        <f t="shared" si="45"/>
        <v>0</v>
      </c>
    </row>
    <row r="1368" spans="1:4" x14ac:dyDescent="0.3">
      <c r="A1368" s="1">
        <v>46051.375</v>
      </c>
      <c r="B1368" s="2">
        <v>10.9</v>
      </c>
      <c r="C1368" s="1" t="str">
        <f t="shared" si="44"/>
        <v>0</v>
      </c>
      <c r="D1368" s="1" t="str">
        <f t="shared" si="45"/>
        <v>0</v>
      </c>
    </row>
    <row r="1369" spans="1:4" x14ac:dyDescent="0.3">
      <c r="A1369" s="1">
        <v>46051.395833333336</v>
      </c>
      <c r="B1369" s="2">
        <v>11.2</v>
      </c>
      <c r="C1369" s="1" t="str">
        <f t="shared" si="44"/>
        <v>0</v>
      </c>
      <c r="D1369" s="1" t="str">
        <f t="shared" si="45"/>
        <v>0</v>
      </c>
    </row>
    <row r="1370" spans="1:4" x14ac:dyDescent="0.3">
      <c r="A1370" s="1">
        <v>46051.416666666664</v>
      </c>
      <c r="B1370" s="2">
        <v>11.7</v>
      </c>
      <c r="C1370" s="1" t="str">
        <f t="shared" si="44"/>
        <v>0</v>
      </c>
      <c r="D1370" s="1" t="str">
        <f t="shared" si="45"/>
        <v>0</v>
      </c>
    </row>
    <row r="1371" spans="1:4" x14ac:dyDescent="0.3">
      <c r="A1371" s="1">
        <v>46051.4375</v>
      </c>
      <c r="B1371" s="2">
        <v>12.2</v>
      </c>
      <c r="C1371" s="1" t="str">
        <f t="shared" si="44"/>
        <v>0</v>
      </c>
      <c r="D1371" s="1" t="str">
        <f t="shared" si="45"/>
        <v>0</v>
      </c>
    </row>
    <row r="1372" spans="1:4" x14ac:dyDescent="0.3">
      <c r="A1372" s="1">
        <v>46051.458333333336</v>
      </c>
      <c r="B1372" s="2">
        <v>12.8</v>
      </c>
      <c r="C1372" s="1" t="str">
        <f t="shared" si="44"/>
        <v>0</v>
      </c>
      <c r="D1372" s="1" t="str">
        <f t="shared" si="45"/>
        <v>0</v>
      </c>
    </row>
    <row r="1373" spans="1:4" x14ac:dyDescent="0.3">
      <c r="A1373" s="1">
        <v>46051.479166666664</v>
      </c>
      <c r="B1373" s="2">
        <v>12.9</v>
      </c>
      <c r="C1373" s="1" t="str">
        <f t="shared" si="44"/>
        <v>0</v>
      </c>
      <c r="D1373" s="1" t="str">
        <f t="shared" si="45"/>
        <v>0</v>
      </c>
    </row>
    <row r="1374" spans="1:4" x14ac:dyDescent="0.3">
      <c r="A1374" s="1">
        <v>46051.5</v>
      </c>
      <c r="B1374" s="2">
        <v>13.4</v>
      </c>
      <c r="C1374" s="1" t="str">
        <f t="shared" si="44"/>
        <v>0</v>
      </c>
      <c r="D1374" s="1" t="str">
        <f t="shared" si="45"/>
        <v>0</v>
      </c>
    </row>
    <row r="1375" spans="1:4" x14ac:dyDescent="0.3">
      <c r="A1375" s="1">
        <v>46051.520833333336</v>
      </c>
      <c r="B1375" s="2">
        <v>13.6</v>
      </c>
      <c r="C1375" s="1" t="str">
        <f t="shared" si="44"/>
        <v>0</v>
      </c>
      <c r="D1375" s="1" t="str">
        <f t="shared" si="45"/>
        <v>0</v>
      </c>
    </row>
    <row r="1376" spans="1:4" x14ac:dyDescent="0.3">
      <c r="A1376" s="1">
        <v>46051.541666666664</v>
      </c>
      <c r="B1376" s="2">
        <v>13.4</v>
      </c>
      <c r="C1376" s="1" t="str">
        <f t="shared" si="44"/>
        <v>0</v>
      </c>
      <c r="D1376" s="1" t="str">
        <f t="shared" si="45"/>
        <v>0</v>
      </c>
    </row>
    <row r="1377" spans="1:4" x14ac:dyDescent="0.3">
      <c r="A1377" s="1">
        <v>46051.5625</v>
      </c>
      <c r="B1377" s="2">
        <v>13.7</v>
      </c>
      <c r="C1377" s="1" t="str">
        <f t="shared" si="44"/>
        <v>0</v>
      </c>
      <c r="D1377" s="1" t="str">
        <f t="shared" si="45"/>
        <v>0</v>
      </c>
    </row>
    <row r="1378" spans="1:4" x14ac:dyDescent="0.3">
      <c r="A1378" s="1">
        <v>46051.583333333336</v>
      </c>
      <c r="B1378" s="2">
        <v>13.9</v>
      </c>
      <c r="C1378" s="1" t="str">
        <f t="shared" si="44"/>
        <v>0</v>
      </c>
      <c r="D1378" s="1" t="str">
        <f t="shared" si="45"/>
        <v>0</v>
      </c>
    </row>
    <row r="1379" spans="1:4" x14ac:dyDescent="0.3">
      <c r="A1379" s="1">
        <v>46051.604166666664</v>
      </c>
      <c r="B1379" s="2">
        <v>12.3</v>
      </c>
      <c r="C1379" s="1" t="str">
        <f t="shared" si="44"/>
        <v>0</v>
      </c>
      <c r="D1379" s="1" t="str">
        <f t="shared" si="45"/>
        <v>0</v>
      </c>
    </row>
    <row r="1380" spans="1:4" x14ac:dyDescent="0.3">
      <c r="A1380" s="1">
        <v>46051.625</v>
      </c>
      <c r="B1380" s="2">
        <v>12.9</v>
      </c>
      <c r="C1380" s="1" t="str">
        <f t="shared" si="44"/>
        <v>0</v>
      </c>
      <c r="D1380" s="1" t="str">
        <f t="shared" si="45"/>
        <v>0</v>
      </c>
    </row>
    <row r="1381" spans="1:4" x14ac:dyDescent="0.3">
      <c r="A1381" s="1">
        <v>46051.645833333336</v>
      </c>
      <c r="B1381" s="2">
        <v>11.6</v>
      </c>
      <c r="C1381" s="1" t="str">
        <f t="shared" si="44"/>
        <v>0</v>
      </c>
      <c r="D1381" s="1" t="str">
        <f t="shared" si="45"/>
        <v>0</v>
      </c>
    </row>
    <row r="1382" spans="1:4" x14ac:dyDescent="0.3">
      <c r="A1382" s="1">
        <v>46051.666666666664</v>
      </c>
      <c r="B1382" s="2">
        <v>11</v>
      </c>
      <c r="C1382" s="1" t="str">
        <f t="shared" si="44"/>
        <v>0</v>
      </c>
      <c r="D1382" s="1" t="str">
        <f t="shared" si="45"/>
        <v>0</v>
      </c>
    </row>
    <row r="1383" spans="1:4" x14ac:dyDescent="0.3">
      <c r="A1383" s="1">
        <v>46051.6875</v>
      </c>
      <c r="B1383" s="2">
        <v>10.6</v>
      </c>
      <c r="C1383" s="1" t="str">
        <f t="shared" si="44"/>
        <v>0</v>
      </c>
      <c r="D1383" s="1" t="str">
        <f t="shared" si="45"/>
        <v>0</v>
      </c>
    </row>
    <row r="1384" spans="1:4" x14ac:dyDescent="0.3">
      <c r="A1384" s="1">
        <v>46051.708333333336</v>
      </c>
      <c r="B1384" s="2">
        <v>10.3</v>
      </c>
      <c r="C1384" s="1" t="str">
        <f t="shared" si="44"/>
        <v>0</v>
      </c>
      <c r="D1384" s="1" t="str">
        <f t="shared" si="45"/>
        <v>0</v>
      </c>
    </row>
    <row r="1385" spans="1:4" x14ac:dyDescent="0.3">
      <c r="A1385" s="1">
        <v>46051.729166666664</v>
      </c>
      <c r="B1385" s="2">
        <v>10.3</v>
      </c>
      <c r="C1385" s="1" t="str">
        <f t="shared" si="44"/>
        <v>0</v>
      </c>
      <c r="D1385" s="1" t="str">
        <f t="shared" si="45"/>
        <v>0</v>
      </c>
    </row>
    <row r="1386" spans="1:4" x14ac:dyDescent="0.3">
      <c r="A1386" s="1">
        <v>46051.75</v>
      </c>
      <c r="B1386" s="2">
        <v>10.4</v>
      </c>
      <c r="C1386" s="1" t="str">
        <f t="shared" si="44"/>
        <v>0</v>
      </c>
      <c r="D1386" s="1" t="str">
        <f t="shared" si="45"/>
        <v>0</v>
      </c>
    </row>
    <row r="1387" spans="1:4" x14ac:dyDescent="0.3">
      <c r="A1387" s="1">
        <v>46051.770833333336</v>
      </c>
      <c r="B1387" s="2">
        <v>10.5</v>
      </c>
      <c r="C1387" s="1" t="str">
        <f t="shared" si="44"/>
        <v>0</v>
      </c>
      <c r="D1387" s="1" t="str">
        <f t="shared" si="45"/>
        <v>0</v>
      </c>
    </row>
    <row r="1388" spans="1:4" x14ac:dyDescent="0.3">
      <c r="A1388" s="1">
        <v>46051.791666666664</v>
      </c>
      <c r="B1388" s="2">
        <v>10.8</v>
      </c>
      <c r="C1388" s="1" t="str">
        <f t="shared" si="44"/>
        <v>0</v>
      </c>
      <c r="D1388" s="1" t="str">
        <f t="shared" si="45"/>
        <v>0</v>
      </c>
    </row>
    <row r="1389" spans="1:4" x14ac:dyDescent="0.3">
      <c r="A1389" s="1">
        <v>46051.8125</v>
      </c>
      <c r="B1389" s="2">
        <v>10.7</v>
      </c>
      <c r="C1389" s="1" t="str">
        <f t="shared" si="44"/>
        <v>0</v>
      </c>
      <c r="D1389" s="1" t="str">
        <f t="shared" si="45"/>
        <v>0</v>
      </c>
    </row>
    <row r="1390" spans="1:4" x14ac:dyDescent="0.3">
      <c r="A1390" s="1">
        <v>46051.833333333336</v>
      </c>
      <c r="B1390" s="2">
        <v>10.8</v>
      </c>
      <c r="C1390" s="1" t="str">
        <f t="shared" si="44"/>
        <v>0</v>
      </c>
      <c r="D1390" s="1" t="str">
        <f t="shared" si="45"/>
        <v>0</v>
      </c>
    </row>
    <row r="1391" spans="1:4" x14ac:dyDescent="0.3">
      <c r="A1391" s="1">
        <v>46051.854166666664</v>
      </c>
      <c r="B1391" s="2">
        <v>9.6</v>
      </c>
      <c r="C1391" s="1" t="str">
        <f t="shared" si="44"/>
        <v>0</v>
      </c>
      <c r="D1391" s="1" t="str">
        <f t="shared" si="45"/>
        <v>0</v>
      </c>
    </row>
    <row r="1392" spans="1:4" x14ac:dyDescent="0.3">
      <c r="A1392" s="1">
        <v>46051.875</v>
      </c>
      <c r="B1392" s="2">
        <v>9</v>
      </c>
      <c r="C1392" s="1" t="str">
        <f t="shared" si="44"/>
        <v>0</v>
      </c>
      <c r="D1392" s="1" t="str">
        <f t="shared" si="45"/>
        <v>0</v>
      </c>
    </row>
    <row r="1393" spans="1:4" x14ac:dyDescent="0.3">
      <c r="A1393" s="1">
        <v>46051.895833333336</v>
      </c>
      <c r="B1393" s="2">
        <v>9.1</v>
      </c>
      <c r="C1393" s="1" t="str">
        <f t="shared" si="44"/>
        <v>0</v>
      </c>
      <c r="D1393" s="1" t="str">
        <f t="shared" si="45"/>
        <v>0</v>
      </c>
    </row>
    <row r="1394" spans="1:4" x14ac:dyDescent="0.3">
      <c r="A1394" s="1">
        <v>46051.916666666664</v>
      </c>
      <c r="B1394" s="2">
        <v>9.1999999999999993</v>
      </c>
      <c r="C1394" s="1" t="str">
        <f t="shared" si="44"/>
        <v>0</v>
      </c>
      <c r="D1394" s="1" t="str">
        <f t="shared" si="45"/>
        <v>0</v>
      </c>
    </row>
    <row r="1395" spans="1:4" x14ac:dyDescent="0.3">
      <c r="A1395" s="1">
        <v>46051.9375</v>
      </c>
      <c r="B1395" s="2">
        <v>8.9</v>
      </c>
      <c r="C1395" s="1" t="str">
        <f t="shared" si="44"/>
        <v>0</v>
      </c>
      <c r="D1395" s="1" t="str">
        <f t="shared" si="45"/>
        <v>0</v>
      </c>
    </row>
    <row r="1396" spans="1:4" x14ac:dyDescent="0.3">
      <c r="A1396" s="1">
        <v>46051.958333333336</v>
      </c>
      <c r="B1396" s="2">
        <v>8.4</v>
      </c>
      <c r="C1396" s="1" t="str">
        <f t="shared" si="44"/>
        <v>0</v>
      </c>
      <c r="D1396" s="1" t="str">
        <f t="shared" si="45"/>
        <v>0</v>
      </c>
    </row>
    <row r="1397" spans="1:4" x14ac:dyDescent="0.3">
      <c r="A1397" s="1">
        <v>46051.979166666664</v>
      </c>
      <c r="B1397" s="2">
        <v>7.9</v>
      </c>
      <c r="C1397" s="1" t="str">
        <f t="shared" si="44"/>
        <v>0</v>
      </c>
      <c r="D1397" s="1" t="str">
        <f t="shared" si="45"/>
        <v>0</v>
      </c>
    </row>
    <row r="1398" spans="1:4" x14ac:dyDescent="0.3">
      <c r="A1398" s="1">
        <v>46052</v>
      </c>
      <c r="B1398" s="2">
        <v>7.4</v>
      </c>
      <c r="C1398" s="1" t="str">
        <f t="shared" si="44"/>
        <v>0</v>
      </c>
      <c r="D1398" s="1" t="str">
        <f t="shared" si="45"/>
        <v>0</v>
      </c>
    </row>
    <row r="1399" spans="1:4" x14ac:dyDescent="0.3">
      <c r="A1399" s="1">
        <v>46052.020833333336</v>
      </c>
      <c r="B1399" s="2">
        <v>7</v>
      </c>
      <c r="C1399" s="1" t="str">
        <f t="shared" si="44"/>
        <v>0</v>
      </c>
      <c r="D1399" s="1" t="str">
        <f t="shared" si="45"/>
        <v>0</v>
      </c>
    </row>
    <row r="1400" spans="1:4" x14ac:dyDescent="0.3">
      <c r="A1400" s="1">
        <v>46052.041666666664</v>
      </c>
      <c r="B1400" s="2">
        <v>6.6</v>
      </c>
      <c r="C1400" s="1" t="str">
        <f t="shared" si="44"/>
        <v>0</v>
      </c>
      <c r="D1400" s="1" t="str">
        <f t="shared" si="45"/>
        <v>0</v>
      </c>
    </row>
    <row r="1401" spans="1:4" x14ac:dyDescent="0.3">
      <c r="A1401" s="1">
        <v>46052.0625</v>
      </c>
      <c r="B1401" s="2">
        <v>6.5</v>
      </c>
      <c r="C1401" s="1" t="str">
        <f t="shared" si="44"/>
        <v>0</v>
      </c>
      <c r="D1401" s="1" t="str">
        <f t="shared" si="45"/>
        <v>0</v>
      </c>
    </row>
    <row r="1402" spans="1:4" x14ac:dyDescent="0.3">
      <c r="A1402" s="1">
        <v>46052.083333333336</v>
      </c>
      <c r="B1402" s="2">
        <v>6.5</v>
      </c>
      <c r="C1402" s="1" t="str">
        <f t="shared" si="44"/>
        <v>0</v>
      </c>
      <c r="D1402" s="1" t="str">
        <f t="shared" si="45"/>
        <v>0</v>
      </c>
    </row>
    <row r="1403" spans="1:4" x14ac:dyDescent="0.3">
      <c r="A1403" s="1">
        <v>46052.104166666664</v>
      </c>
      <c r="B1403" s="2">
        <v>6.2</v>
      </c>
      <c r="C1403" s="1" t="str">
        <f t="shared" si="44"/>
        <v>0</v>
      </c>
      <c r="D1403" s="1" t="str">
        <f t="shared" si="45"/>
        <v>0</v>
      </c>
    </row>
    <row r="1404" spans="1:4" x14ac:dyDescent="0.3">
      <c r="A1404" s="1">
        <v>46052.125</v>
      </c>
      <c r="B1404" s="2">
        <v>5.8</v>
      </c>
      <c r="C1404" s="1" t="str">
        <f t="shared" si="44"/>
        <v>0</v>
      </c>
      <c r="D1404" s="1" t="str">
        <f t="shared" si="45"/>
        <v>0</v>
      </c>
    </row>
    <row r="1405" spans="1:4" x14ac:dyDescent="0.3">
      <c r="A1405" s="1">
        <v>46052.145833333336</v>
      </c>
      <c r="B1405" s="2">
        <v>5.2</v>
      </c>
      <c r="C1405" s="1" t="str">
        <f t="shared" si="44"/>
        <v>0</v>
      </c>
      <c r="D1405" s="1" t="str">
        <f t="shared" si="45"/>
        <v>0</v>
      </c>
    </row>
    <row r="1406" spans="1:4" x14ac:dyDescent="0.3">
      <c r="A1406" s="1">
        <v>46052.166666666664</v>
      </c>
      <c r="B1406" s="2">
        <v>4.8</v>
      </c>
      <c r="C1406" s="1" t="str">
        <f t="shared" si="44"/>
        <v>0</v>
      </c>
      <c r="D1406" s="1" t="str">
        <f t="shared" si="45"/>
        <v>0</v>
      </c>
    </row>
    <row r="1407" spans="1:4" x14ac:dyDescent="0.3">
      <c r="A1407" s="1">
        <v>46052.1875</v>
      </c>
      <c r="B1407" s="2">
        <v>4.8</v>
      </c>
      <c r="C1407" s="1" t="str">
        <f t="shared" si="44"/>
        <v>0</v>
      </c>
      <c r="D1407" s="1" t="str">
        <f t="shared" si="45"/>
        <v>0</v>
      </c>
    </row>
    <row r="1408" spans="1:4" x14ac:dyDescent="0.3">
      <c r="A1408" s="1">
        <v>46052.208333333336</v>
      </c>
      <c r="B1408" s="2">
        <v>4.5999999999999996</v>
      </c>
      <c r="C1408" s="1" t="str">
        <f t="shared" si="44"/>
        <v>0</v>
      </c>
      <c r="D1408" s="1" t="str">
        <f t="shared" si="45"/>
        <v>0</v>
      </c>
    </row>
    <row r="1409" spans="1:4" x14ac:dyDescent="0.3">
      <c r="A1409" s="1">
        <v>46052.229166666664</v>
      </c>
      <c r="B1409" s="2">
        <v>4.7</v>
      </c>
      <c r="C1409" s="1" t="str">
        <f t="shared" si="44"/>
        <v>0</v>
      </c>
      <c r="D1409" s="1" t="str">
        <f t="shared" si="45"/>
        <v>0</v>
      </c>
    </row>
    <row r="1410" spans="1:4" x14ac:dyDescent="0.3">
      <c r="A1410" s="1">
        <v>46052.25</v>
      </c>
      <c r="B1410" s="2">
        <v>5</v>
      </c>
      <c r="C1410" s="1" t="str">
        <f t="shared" si="44"/>
        <v>0</v>
      </c>
      <c r="D1410" s="1" t="str">
        <f t="shared" si="45"/>
        <v>0</v>
      </c>
    </row>
    <row r="1411" spans="1:4" x14ac:dyDescent="0.3">
      <c r="A1411" s="1">
        <v>46052.270833333336</v>
      </c>
      <c r="B1411" s="2">
        <v>5.6</v>
      </c>
      <c r="C1411" s="1" t="str">
        <f t="shared" ref="C1411:C1474" si="46">IF(B1411=$P$13,A1411,"0")</f>
        <v>0</v>
      </c>
      <c r="D1411" s="1" t="str">
        <f t="shared" ref="D1411:D1474" si="47">IF(B1411=$M$13,A1411,"0")</f>
        <v>0</v>
      </c>
    </row>
    <row r="1412" spans="1:4" x14ac:dyDescent="0.3">
      <c r="A1412" s="1">
        <v>46052.291666666664</v>
      </c>
      <c r="B1412" s="2">
        <v>5.6</v>
      </c>
      <c r="C1412" s="1" t="str">
        <f t="shared" si="46"/>
        <v>0</v>
      </c>
      <c r="D1412" s="1" t="str">
        <f t="shared" si="47"/>
        <v>0</v>
      </c>
    </row>
    <row r="1413" spans="1:4" x14ac:dyDescent="0.3">
      <c r="A1413" s="1">
        <v>46052.3125</v>
      </c>
      <c r="B1413" s="2">
        <v>5.9</v>
      </c>
      <c r="C1413" s="1" t="str">
        <f t="shared" si="46"/>
        <v>0</v>
      </c>
      <c r="D1413" s="1" t="str">
        <f t="shared" si="47"/>
        <v>0</v>
      </c>
    </row>
    <row r="1414" spans="1:4" x14ac:dyDescent="0.3">
      <c r="A1414" s="1">
        <v>46052.333333333336</v>
      </c>
      <c r="B1414" s="2">
        <v>5.7</v>
      </c>
      <c r="C1414" s="1" t="str">
        <f t="shared" si="46"/>
        <v>0</v>
      </c>
      <c r="D1414" s="1" t="str">
        <f t="shared" si="47"/>
        <v>0</v>
      </c>
    </row>
    <row r="1415" spans="1:4" x14ac:dyDescent="0.3">
      <c r="A1415" s="1">
        <v>46052.354166666664</v>
      </c>
      <c r="B1415" s="2">
        <v>5.6</v>
      </c>
      <c r="C1415" s="1" t="str">
        <f t="shared" si="46"/>
        <v>0</v>
      </c>
      <c r="D1415" s="1" t="str">
        <f t="shared" si="47"/>
        <v>0</v>
      </c>
    </row>
    <row r="1416" spans="1:4" x14ac:dyDescent="0.3">
      <c r="A1416" s="1">
        <v>46052.375</v>
      </c>
      <c r="B1416" s="2">
        <v>6.3</v>
      </c>
      <c r="C1416" s="1" t="str">
        <f t="shared" si="46"/>
        <v>0</v>
      </c>
      <c r="D1416" s="1" t="str">
        <f t="shared" si="47"/>
        <v>0</v>
      </c>
    </row>
    <row r="1417" spans="1:4" x14ac:dyDescent="0.3">
      <c r="A1417" s="1">
        <v>46052.395833333336</v>
      </c>
      <c r="B1417" s="2">
        <v>7.5</v>
      </c>
      <c r="C1417" s="1" t="str">
        <f t="shared" si="46"/>
        <v>0</v>
      </c>
      <c r="D1417" s="1" t="str">
        <f t="shared" si="47"/>
        <v>0</v>
      </c>
    </row>
    <row r="1418" spans="1:4" x14ac:dyDescent="0.3">
      <c r="A1418" s="1">
        <v>46052.416666666664</v>
      </c>
      <c r="B1418" s="2">
        <v>8.3000000000000007</v>
      </c>
      <c r="C1418" s="1" t="str">
        <f t="shared" si="46"/>
        <v>0</v>
      </c>
      <c r="D1418" s="1" t="str">
        <f t="shared" si="47"/>
        <v>0</v>
      </c>
    </row>
    <row r="1419" spans="1:4" x14ac:dyDescent="0.3">
      <c r="A1419" s="1">
        <v>46052.4375</v>
      </c>
      <c r="B1419" s="2">
        <v>9.1999999999999993</v>
      </c>
      <c r="C1419" s="1" t="str">
        <f t="shared" si="46"/>
        <v>0</v>
      </c>
      <c r="D1419" s="1" t="str">
        <f t="shared" si="47"/>
        <v>0</v>
      </c>
    </row>
    <row r="1420" spans="1:4" x14ac:dyDescent="0.3">
      <c r="A1420" s="1">
        <v>46052.458333333336</v>
      </c>
      <c r="B1420" s="2">
        <v>10.1</v>
      </c>
      <c r="C1420" s="1" t="str">
        <f t="shared" si="46"/>
        <v>0</v>
      </c>
      <c r="D1420" s="1" t="str">
        <f t="shared" si="47"/>
        <v>0</v>
      </c>
    </row>
    <row r="1421" spans="1:4" x14ac:dyDescent="0.3">
      <c r="A1421" s="1">
        <v>46052.479166666664</v>
      </c>
      <c r="B1421" s="2">
        <v>10.6</v>
      </c>
      <c r="C1421" s="1" t="str">
        <f t="shared" si="46"/>
        <v>0</v>
      </c>
      <c r="D1421" s="1" t="str">
        <f t="shared" si="47"/>
        <v>0</v>
      </c>
    </row>
    <row r="1422" spans="1:4" x14ac:dyDescent="0.3">
      <c r="A1422" s="1">
        <v>46052.5</v>
      </c>
      <c r="B1422" s="2">
        <v>11.5</v>
      </c>
      <c r="C1422" s="1" t="str">
        <f t="shared" si="46"/>
        <v>0</v>
      </c>
      <c r="D1422" s="1" t="str">
        <f t="shared" si="47"/>
        <v>0</v>
      </c>
    </row>
    <row r="1423" spans="1:4" x14ac:dyDescent="0.3">
      <c r="A1423" s="1">
        <v>46052.520833333336</v>
      </c>
      <c r="B1423" s="2">
        <v>12</v>
      </c>
      <c r="C1423" s="1" t="str">
        <f t="shared" si="46"/>
        <v>0</v>
      </c>
      <c r="D1423" s="1" t="str">
        <f t="shared" si="47"/>
        <v>0</v>
      </c>
    </row>
    <row r="1424" spans="1:4" x14ac:dyDescent="0.3">
      <c r="A1424" s="1">
        <v>46052.541666666664</v>
      </c>
      <c r="B1424" s="2">
        <v>13</v>
      </c>
      <c r="C1424" s="1" t="str">
        <f t="shared" si="46"/>
        <v>0</v>
      </c>
      <c r="D1424" s="1" t="str">
        <f t="shared" si="47"/>
        <v>0</v>
      </c>
    </row>
    <row r="1425" spans="1:4" x14ac:dyDescent="0.3">
      <c r="A1425" s="1">
        <v>46052.5625</v>
      </c>
      <c r="B1425" s="2">
        <v>13.4</v>
      </c>
      <c r="C1425" s="1" t="str">
        <f t="shared" si="46"/>
        <v>0</v>
      </c>
      <c r="D1425" s="1" t="str">
        <f t="shared" si="47"/>
        <v>0</v>
      </c>
    </row>
    <row r="1426" spans="1:4" x14ac:dyDescent="0.3">
      <c r="A1426" s="1">
        <v>46052.583333333336</v>
      </c>
      <c r="B1426" s="2">
        <v>14</v>
      </c>
      <c r="C1426" s="1" t="str">
        <f t="shared" si="46"/>
        <v>0</v>
      </c>
      <c r="D1426" s="1" t="str">
        <f t="shared" si="47"/>
        <v>0</v>
      </c>
    </row>
    <row r="1427" spans="1:4" x14ac:dyDescent="0.3">
      <c r="A1427" s="1">
        <v>46052.604166666664</v>
      </c>
      <c r="B1427" s="2">
        <v>13.6</v>
      </c>
      <c r="C1427" s="1" t="str">
        <f t="shared" si="46"/>
        <v>0</v>
      </c>
      <c r="D1427" s="1" t="str">
        <f t="shared" si="47"/>
        <v>0</v>
      </c>
    </row>
    <row r="1428" spans="1:4" x14ac:dyDescent="0.3">
      <c r="A1428" s="1">
        <v>46052.625</v>
      </c>
      <c r="B1428" s="2">
        <v>13.5</v>
      </c>
      <c r="C1428" s="1" t="str">
        <f t="shared" si="46"/>
        <v>0</v>
      </c>
      <c r="D1428" s="1" t="str">
        <f t="shared" si="47"/>
        <v>0</v>
      </c>
    </row>
    <row r="1429" spans="1:4" x14ac:dyDescent="0.3">
      <c r="A1429" s="1">
        <v>46052.645833333336</v>
      </c>
      <c r="B1429" s="2">
        <v>13.2</v>
      </c>
      <c r="C1429" s="1" t="str">
        <f t="shared" si="46"/>
        <v>0</v>
      </c>
      <c r="D1429" s="1" t="str">
        <f t="shared" si="47"/>
        <v>0</v>
      </c>
    </row>
    <row r="1430" spans="1:4" x14ac:dyDescent="0.3">
      <c r="A1430" s="1">
        <v>46052.666666666664</v>
      </c>
      <c r="B1430" s="2">
        <v>13</v>
      </c>
      <c r="C1430" s="1" t="str">
        <f t="shared" si="46"/>
        <v>0</v>
      </c>
      <c r="D1430" s="1" t="str">
        <f t="shared" si="47"/>
        <v>0</v>
      </c>
    </row>
    <row r="1431" spans="1:4" x14ac:dyDescent="0.3">
      <c r="A1431" s="1">
        <v>46052.6875</v>
      </c>
      <c r="B1431" s="2">
        <v>11.7</v>
      </c>
      <c r="C1431" s="1" t="str">
        <f t="shared" si="46"/>
        <v>0</v>
      </c>
      <c r="D1431" s="1" t="str">
        <f t="shared" si="47"/>
        <v>0</v>
      </c>
    </row>
    <row r="1432" spans="1:4" x14ac:dyDescent="0.3">
      <c r="A1432" s="1">
        <v>46052.708333333336</v>
      </c>
      <c r="B1432" s="2">
        <v>11.9</v>
      </c>
      <c r="C1432" s="1" t="str">
        <f t="shared" si="46"/>
        <v>0</v>
      </c>
      <c r="D1432" s="1" t="str">
        <f t="shared" si="47"/>
        <v>0</v>
      </c>
    </row>
    <row r="1433" spans="1:4" x14ac:dyDescent="0.3">
      <c r="A1433" s="1">
        <v>46052.729166666664</v>
      </c>
      <c r="B1433" s="2">
        <v>11.7</v>
      </c>
      <c r="C1433" s="1" t="str">
        <f t="shared" si="46"/>
        <v>0</v>
      </c>
      <c r="D1433" s="1" t="str">
        <f t="shared" si="47"/>
        <v>0</v>
      </c>
    </row>
    <row r="1434" spans="1:4" x14ac:dyDescent="0.3">
      <c r="A1434" s="1">
        <v>46052.75</v>
      </c>
      <c r="B1434" s="2">
        <v>11.4</v>
      </c>
      <c r="C1434" s="1" t="str">
        <f t="shared" si="46"/>
        <v>0</v>
      </c>
      <c r="D1434" s="1" t="str">
        <f t="shared" si="47"/>
        <v>0</v>
      </c>
    </row>
    <row r="1435" spans="1:4" x14ac:dyDescent="0.3">
      <c r="A1435" s="1">
        <v>46052.770833333336</v>
      </c>
      <c r="B1435" s="2">
        <v>11.3</v>
      </c>
      <c r="C1435" s="1" t="str">
        <f t="shared" si="46"/>
        <v>0</v>
      </c>
      <c r="D1435" s="1" t="str">
        <f t="shared" si="47"/>
        <v>0</v>
      </c>
    </row>
    <row r="1436" spans="1:4" x14ac:dyDescent="0.3">
      <c r="A1436" s="1">
        <v>46052.791666666664</v>
      </c>
      <c r="B1436" s="2">
        <v>11.3</v>
      </c>
      <c r="C1436" s="1" t="str">
        <f t="shared" si="46"/>
        <v>0</v>
      </c>
      <c r="D1436" s="1" t="str">
        <f t="shared" si="47"/>
        <v>0</v>
      </c>
    </row>
    <row r="1437" spans="1:4" x14ac:dyDescent="0.3">
      <c r="A1437" s="1">
        <v>46052.8125</v>
      </c>
      <c r="B1437" s="2">
        <v>11.2</v>
      </c>
      <c r="C1437" s="1" t="str">
        <f t="shared" si="46"/>
        <v>0</v>
      </c>
      <c r="D1437" s="1" t="str">
        <f t="shared" si="47"/>
        <v>0</v>
      </c>
    </row>
    <row r="1438" spans="1:4" x14ac:dyDescent="0.3">
      <c r="A1438" s="1">
        <v>46052.833333333336</v>
      </c>
      <c r="B1438" s="2">
        <v>11.2</v>
      </c>
      <c r="C1438" s="1" t="str">
        <f t="shared" si="46"/>
        <v>0</v>
      </c>
      <c r="D1438" s="1" t="str">
        <f t="shared" si="47"/>
        <v>0</v>
      </c>
    </row>
    <row r="1439" spans="1:4" x14ac:dyDescent="0.3">
      <c r="A1439" s="1">
        <v>46052.854166666664</v>
      </c>
      <c r="B1439" s="2">
        <v>11</v>
      </c>
      <c r="C1439" s="1" t="str">
        <f t="shared" si="46"/>
        <v>0</v>
      </c>
      <c r="D1439" s="1" t="str">
        <f t="shared" si="47"/>
        <v>0</v>
      </c>
    </row>
    <row r="1440" spans="1:4" x14ac:dyDescent="0.3">
      <c r="A1440" s="1">
        <v>46052.875</v>
      </c>
      <c r="B1440" s="2">
        <v>10.9</v>
      </c>
      <c r="C1440" s="1" t="str">
        <f t="shared" si="46"/>
        <v>0</v>
      </c>
      <c r="D1440" s="1" t="str">
        <f t="shared" si="47"/>
        <v>0</v>
      </c>
    </row>
    <row r="1441" spans="1:4" x14ac:dyDescent="0.3">
      <c r="A1441" s="1">
        <v>46052.895833333336</v>
      </c>
      <c r="B1441" s="2">
        <v>10.7</v>
      </c>
      <c r="C1441" s="1" t="str">
        <f t="shared" si="46"/>
        <v>0</v>
      </c>
      <c r="D1441" s="1" t="str">
        <f t="shared" si="47"/>
        <v>0</v>
      </c>
    </row>
    <row r="1442" spans="1:4" x14ac:dyDescent="0.3">
      <c r="A1442" s="1">
        <v>46052.916666666664</v>
      </c>
      <c r="B1442" s="2">
        <v>11</v>
      </c>
      <c r="C1442" s="1" t="str">
        <f t="shared" si="46"/>
        <v>0</v>
      </c>
      <c r="D1442" s="1" t="str">
        <f t="shared" si="47"/>
        <v>0</v>
      </c>
    </row>
    <row r="1443" spans="1:4" x14ac:dyDescent="0.3">
      <c r="A1443" s="1">
        <v>46052.9375</v>
      </c>
      <c r="B1443" s="2">
        <v>10.9</v>
      </c>
      <c r="C1443" s="1" t="str">
        <f t="shared" si="46"/>
        <v>0</v>
      </c>
      <c r="D1443" s="1" t="str">
        <f t="shared" si="47"/>
        <v>0</v>
      </c>
    </row>
    <row r="1444" spans="1:4" x14ac:dyDescent="0.3">
      <c r="A1444" s="1">
        <v>46052.958333333336</v>
      </c>
      <c r="B1444" s="2">
        <v>9.9</v>
      </c>
      <c r="C1444" s="1" t="str">
        <f t="shared" si="46"/>
        <v>0</v>
      </c>
      <c r="D1444" s="1" t="str">
        <f t="shared" si="47"/>
        <v>0</v>
      </c>
    </row>
    <row r="1445" spans="1:4" x14ac:dyDescent="0.3">
      <c r="A1445" s="1">
        <v>46052.979166666664</v>
      </c>
      <c r="B1445" s="2">
        <v>9.1999999999999993</v>
      </c>
      <c r="C1445" s="1" t="str">
        <f t="shared" si="46"/>
        <v>0</v>
      </c>
      <c r="D1445" s="1" t="str">
        <f t="shared" si="47"/>
        <v>0</v>
      </c>
    </row>
    <row r="1446" spans="1:4" x14ac:dyDescent="0.3">
      <c r="A1446" s="1">
        <v>46053</v>
      </c>
      <c r="B1446" s="2">
        <v>8.9</v>
      </c>
      <c r="C1446" s="1" t="str">
        <f t="shared" si="46"/>
        <v>0</v>
      </c>
      <c r="D1446" s="1" t="str">
        <f t="shared" si="47"/>
        <v>0</v>
      </c>
    </row>
    <row r="1447" spans="1:4" x14ac:dyDescent="0.3">
      <c r="A1447" s="1">
        <v>46053.020833333336</v>
      </c>
      <c r="B1447" s="2">
        <v>8.6999999999999993</v>
      </c>
      <c r="C1447" s="1" t="str">
        <f t="shared" si="46"/>
        <v>0</v>
      </c>
      <c r="D1447" s="1" t="str">
        <f t="shared" si="47"/>
        <v>0</v>
      </c>
    </row>
    <row r="1448" spans="1:4" x14ac:dyDescent="0.3">
      <c r="A1448" s="1">
        <v>46053.041666666664</v>
      </c>
      <c r="B1448" s="2">
        <v>9</v>
      </c>
      <c r="C1448" s="1" t="str">
        <f t="shared" si="46"/>
        <v>0</v>
      </c>
      <c r="D1448" s="1" t="str">
        <f t="shared" si="47"/>
        <v>0</v>
      </c>
    </row>
    <row r="1449" spans="1:4" x14ac:dyDescent="0.3">
      <c r="A1449" s="1">
        <v>46053.0625</v>
      </c>
      <c r="B1449" s="2">
        <v>8.4</v>
      </c>
      <c r="C1449" s="1" t="str">
        <f t="shared" si="46"/>
        <v>0</v>
      </c>
      <c r="D1449" s="1" t="str">
        <f t="shared" si="47"/>
        <v>0</v>
      </c>
    </row>
    <row r="1450" spans="1:4" x14ac:dyDescent="0.3">
      <c r="A1450" s="1">
        <v>46053.083333333336</v>
      </c>
      <c r="B1450" s="2">
        <v>8.1999999999999993</v>
      </c>
      <c r="C1450" s="1" t="str">
        <f t="shared" si="46"/>
        <v>0</v>
      </c>
      <c r="D1450" s="1" t="str">
        <f t="shared" si="47"/>
        <v>0</v>
      </c>
    </row>
    <row r="1451" spans="1:4" x14ac:dyDescent="0.3">
      <c r="A1451" s="1">
        <v>46053.104166666664</v>
      </c>
      <c r="B1451" s="2">
        <v>8.1</v>
      </c>
      <c r="C1451" s="1" t="str">
        <f t="shared" si="46"/>
        <v>0</v>
      </c>
      <c r="D1451" s="1" t="str">
        <f t="shared" si="47"/>
        <v>0</v>
      </c>
    </row>
    <row r="1452" spans="1:4" x14ac:dyDescent="0.3">
      <c r="A1452" s="1">
        <v>46053.125</v>
      </c>
      <c r="B1452" s="2">
        <v>8</v>
      </c>
      <c r="C1452" s="1" t="str">
        <f t="shared" si="46"/>
        <v>0</v>
      </c>
      <c r="D1452" s="1" t="str">
        <f t="shared" si="47"/>
        <v>0</v>
      </c>
    </row>
    <row r="1453" spans="1:4" x14ac:dyDescent="0.3">
      <c r="A1453" s="1">
        <v>46053.145833333336</v>
      </c>
      <c r="B1453" s="2">
        <v>7.8</v>
      </c>
      <c r="C1453" s="1" t="str">
        <f t="shared" si="46"/>
        <v>0</v>
      </c>
      <c r="D1453" s="1" t="str">
        <f t="shared" si="47"/>
        <v>0</v>
      </c>
    </row>
    <row r="1454" spans="1:4" x14ac:dyDescent="0.3">
      <c r="A1454" s="1">
        <v>46053.166666666664</v>
      </c>
      <c r="B1454" s="2">
        <v>7.9</v>
      </c>
      <c r="C1454" s="1" t="str">
        <f t="shared" si="46"/>
        <v>0</v>
      </c>
      <c r="D1454" s="1" t="str">
        <f t="shared" si="47"/>
        <v>0</v>
      </c>
    </row>
    <row r="1455" spans="1:4" x14ac:dyDescent="0.3">
      <c r="A1455" s="1">
        <v>46053.1875</v>
      </c>
      <c r="B1455" s="2">
        <v>7.9</v>
      </c>
      <c r="C1455" s="1" t="str">
        <f t="shared" si="46"/>
        <v>0</v>
      </c>
      <c r="D1455" s="1" t="str">
        <f t="shared" si="47"/>
        <v>0</v>
      </c>
    </row>
    <row r="1456" spans="1:4" x14ac:dyDescent="0.3">
      <c r="A1456" s="1">
        <v>46053.208333333336</v>
      </c>
      <c r="B1456" s="2">
        <v>7.8</v>
      </c>
      <c r="C1456" s="1" t="str">
        <f t="shared" si="46"/>
        <v>0</v>
      </c>
      <c r="D1456" s="1" t="str">
        <f t="shared" si="47"/>
        <v>0</v>
      </c>
    </row>
    <row r="1457" spans="1:4" x14ac:dyDescent="0.3">
      <c r="A1457" s="1">
        <v>46053.229166666664</v>
      </c>
      <c r="B1457" s="2">
        <v>8</v>
      </c>
      <c r="C1457" s="1" t="str">
        <f t="shared" si="46"/>
        <v>0</v>
      </c>
      <c r="D1457" s="1" t="str">
        <f t="shared" si="47"/>
        <v>0</v>
      </c>
    </row>
    <row r="1458" spans="1:4" x14ac:dyDescent="0.3">
      <c r="A1458" s="1">
        <v>46053.25</v>
      </c>
      <c r="B1458" s="2">
        <v>7.9</v>
      </c>
      <c r="C1458" s="1" t="str">
        <f t="shared" si="46"/>
        <v>0</v>
      </c>
      <c r="D1458" s="1" t="str">
        <f t="shared" si="47"/>
        <v>0</v>
      </c>
    </row>
    <row r="1459" spans="1:4" x14ac:dyDescent="0.3">
      <c r="A1459" s="1">
        <v>46053.270833333336</v>
      </c>
      <c r="B1459" s="2">
        <v>7.5</v>
      </c>
      <c r="C1459" s="1" t="str">
        <f t="shared" si="46"/>
        <v>0</v>
      </c>
      <c r="D1459" s="1" t="str">
        <f t="shared" si="47"/>
        <v>0</v>
      </c>
    </row>
    <row r="1460" spans="1:4" x14ac:dyDescent="0.3">
      <c r="A1460" s="1">
        <v>46053.291666666664</v>
      </c>
      <c r="B1460" s="2">
        <v>7.3</v>
      </c>
      <c r="C1460" s="1" t="str">
        <f t="shared" si="46"/>
        <v>0</v>
      </c>
      <c r="D1460" s="1" t="str">
        <f t="shared" si="47"/>
        <v>0</v>
      </c>
    </row>
    <row r="1461" spans="1:4" x14ac:dyDescent="0.3">
      <c r="A1461" s="1">
        <v>46053.3125</v>
      </c>
      <c r="B1461" s="2">
        <v>7.8</v>
      </c>
      <c r="C1461" s="1" t="str">
        <f t="shared" si="46"/>
        <v>0</v>
      </c>
      <c r="D1461" s="1" t="str">
        <f t="shared" si="47"/>
        <v>0</v>
      </c>
    </row>
    <row r="1462" spans="1:4" x14ac:dyDescent="0.3">
      <c r="A1462" s="1">
        <v>46053.333333333336</v>
      </c>
      <c r="B1462" s="2">
        <v>8.9</v>
      </c>
      <c r="C1462" s="1" t="str">
        <f t="shared" si="46"/>
        <v>0</v>
      </c>
      <c r="D1462" s="1" t="str">
        <f t="shared" si="47"/>
        <v>0</v>
      </c>
    </row>
    <row r="1463" spans="1:4" x14ac:dyDescent="0.3">
      <c r="A1463" s="1">
        <v>46053.354166666664</v>
      </c>
      <c r="B1463" s="2">
        <v>9.5</v>
      </c>
      <c r="C1463" s="1" t="str">
        <f t="shared" si="46"/>
        <v>0</v>
      </c>
      <c r="D1463" s="1" t="str">
        <f t="shared" si="47"/>
        <v>0</v>
      </c>
    </row>
    <row r="1464" spans="1:4" x14ac:dyDescent="0.3">
      <c r="A1464" s="1">
        <v>46053.375</v>
      </c>
      <c r="B1464" s="2">
        <v>10.3</v>
      </c>
      <c r="C1464" s="1" t="str">
        <f t="shared" si="46"/>
        <v>0</v>
      </c>
      <c r="D1464" s="1" t="str">
        <f t="shared" si="47"/>
        <v>0</v>
      </c>
    </row>
    <row r="1465" spans="1:4" x14ac:dyDescent="0.3">
      <c r="A1465" s="1">
        <v>46053.395833333336</v>
      </c>
      <c r="B1465" s="2">
        <v>10.6</v>
      </c>
      <c r="C1465" s="1" t="str">
        <f t="shared" si="46"/>
        <v>0</v>
      </c>
      <c r="D1465" s="1" t="str">
        <f t="shared" si="47"/>
        <v>0</v>
      </c>
    </row>
    <row r="1466" spans="1:4" x14ac:dyDescent="0.3">
      <c r="A1466" s="1">
        <v>46053.416666666664</v>
      </c>
      <c r="B1466" s="2">
        <v>10.6</v>
      </c>
      <c r="C1466" s="1" t="str">
        <f t="shared" si="46"/>
        <v>0</v>
      </c>
      <c r="D1466" s="1" t="str">
        <f t="shared" si="47"/>
        <v>0</v>
      </c>
    </row>
    <row r="1467" spans="1:4" x14ac:dyDescent="0.3">
      <c r="A1467" s="1">
        <v>46053.4375</v>
      </c>
      <c r="B1467" s="2">
        <v>11.3</v>
      </c>
      <c r="C1467" s="1" t="str">
        <f t="shared" si="46"/>
        <v>0</v>
      </c>
      <c r="D1467" s="1" t="str">
        <f t="shared" si="47"/>
        <v>0</v>
      </c>
    </row>
    <row r="1468" spans="1:4" x14ac:dyDescent="0.3">
      <c r="A1468" s="1">
        <v>46053.458333333336</v>
      </c>
      <c r="B1468" s="2">
        <v>12.3</v>
      </c>
      <c r="C1468" s="1" t="str">
        <f t="shared" si="46"/>
        <v>0</v>
      </c>
      <c r="D1468" s="1" t="str">
        <f t="shared" si="47"/>
        <v>0</v>
      </c>
    </row>
    <row r="1469" spans="1:4" x14ac:dyDescent="0.3">
      <c r="A1469" s="1">
        <v>46053.479166666664</v>
      </c>
      <c r="B1469" s="2">
        <v>13.2</v>
      </c>
      <c r="C1469" s="1" t="str">
        <f t="shared" si="46"/>
        <v>0</v>
      </c>
      <c r="D1469" s="1" t="str">
        <f t="shared" si="47"/>
        <v>0</v>
      </c>
    </row>
    <row r="1470" spans="1:4" x14ac:dyDescent="0.3">
      <c r="A1470" s="1">
        <v>46053.5</v>
      </c>
      <c r="B1470" s="2">
        <v>13.6</v>
      </c>
      <c r="C1470" s="1" t="str">
        <f t="shared" si="46"/>
        <v>0</v>
      </c>
      <c r="D1470" s="1" t="str">
        <f t="shared" si="47"/>
        <v>0</v>
      </c>
    </row>
    <row r="1471" spans="1:4" x14ac:dyDescent="0.3">
      <c r="A1471" s="1">
        <v>46053.520833333336</v>
      </c>
      <c r="B1471" s="2">
        <v>13.3</v>
      </c>
      <c r="C1471" s="1" t="str">
        <f t="shared" si="46"/>
        <v>0</v>
      </c>
      <c r="D1471" s="1" t="str">
        <f t="shared" si="47"/>
        <v>0</v>
      </c>
    </row>
    <row r="1472" spans="1:4" x14ac:dyDescent="0.3">
      <c r="A1472" s="1">
        <v>46053.541666666664</v>
      </c>
      <c r="B1472" s="2">
        <v>13.3</v>
      </c>
      <c r="C1472" s="1" t="str">
        <f t="shared" si="46"/>
        <v>0</v>
      </c>
      <c r="D1472" s="1" t="str">
        <f t="shared" si="47"/>
        <v>0</v>
      </c>
    </row>
    <row r="1473" spans="1:4" x14ac:dyDescent="0.3">
      <c r="A1473" s="1">
        <v>46053.5625</v>
      </c>
      <c r="B1473" s="2">
        <v>13.5</v>
      </c>
      <c r="C1473" s="1" t="str">
        <f t="shared" si="46"/>
        <v>0</v>
      </c>
      <c r="D1473" s="1" t="str">
        <f t="shared" si="47"/>
        <v>0</v>
      </c>
    </row>
    <row r="1474" spans="1:4" x14ac:dyDescent="0.3">
      <c r="A1474" s="1">
        <v>46053.583333333336</v>
      </c>
      <c r="B1474" s="2">
        <v>13.8</v>
      </c>
      <c r="C1474" s="1" t="str">
        <f t="shared" si="46"/>
        <v>0</v>
      </c>
      <c r="D1474" s="1" t="str">
        <f t="shared" si="47"/>
        <v>0</v>
      </c>
    </row>
    <row r="1475" spans="1:4" x14ac:dyDescent="0.3">
      <c r="A1475" s="1">
        <v>46053.604166666664</v>
      </c>
      <c r="B1475" s="2">
        <v>13.6</v>
      </c>
      <c r="C1475" s="1" t="str">
        <f t="shared" ref="C1475:C1493" si="48">IF(B1475=$P$13,A1475,"0")</f>
        <v>0</v>
      </c>
      <c r="D1475" s="1" t="str">
        <f t="shared" ref="D1475:D1493" si="49">IF(B1475=$M$13,A1475,"0")</f>
        <v>0</v>
      </c>
    </row>
    <row r="1476" spans="1:4" x14ac:dyDescent="0.3">
      <c r="A1476" s="1">
        <v>46053.625</v>
      </c>
      <c r="B1476" s="2">
        <v>13.5</v>
      </c>
      <c r="C1476" s="1" t="str">
        <f t="shared" si="48"/>
        <v>0</v>
      </c>
      <c r="D1476" s="1" t="str">
        <f t="shared" si="49"/>
        <v>0</v>
      </c>
    </row>
    <row r="1477" spans="1:4" x14ac:dyDescent="0.3">
      <c r="A1477" s="1">
        <v>46053.645833333336</v>
      </c>
      <c r="B1477" s="2">
        <v>13.4</v>
      </c>
      <c r="C1477" s="1" t="str">
        <f t="shared" si="48"/>
        <v>0</v>
      </c>
      <c r="D1477" s="1" t="str">
        <f t="shared" si="49"/>
        <v>0</v>
      </c>
    </row>
    <row r="1478" spans="1:4" x14ac:dyDescent="0.3">
      <c r="A1478" s="1">
        <v>46053.666666666664</v>
      </c>
      <c r="B1478" s="2">
        <v>13.1</v>
      </c>
      <c r="C1478" s="1" t="str">
        <f t="shared" si="48"/>
        <v>0</v>
      </c>
      <c r="D1478" s="1" t="str">
        <f t="shared" si="49"/>
        <v>0</v>
      </c>
    </row>
    <row r="1479" spans="1:4" x14ac:dyDescent="0.3">
      <c r="A1479" s="1">
        <v>46053.6875</v>
      </c>
      <c r="B1479" s="2">
        <v>12.8</v>
      </c>
      <c r="C1479" s="1" t="str">
        <f t="shared" si="48"/>
        <v>0</v>
      </c>
      <c r="D1479" s="1" t="str">
        <f t="shared" si="49"/>
        <v>0</v>
      </c>
    </row>
    <row r="1480" spans="1:4" x14ac:dyDescent="0.3">
      <c r="A1480" s="1">
        <v>46053.708333333336</v>
      </c>
      <c r="B1480" s="2">
        <v>12.5</v>
      </c>
      <c r="C1480" s="1" t="str">
        <f t="shared" si="48"/>
        <v>0</v>
      </c>
      <c r="D1480" s="1" t="str">
        <f t="shared" si="49"/>
        <v>0</v>
      </c>
    </row>
    <row r="1481" spans="1:4" x14ac:dyDescent="0.3">
      <c r="A1481" s="1">
        <v>46053.729166666664</v>
      </c>
      <c r="B1481" s="2">
        <v>12.2</v>
      </c>
      <c r="C1481" s="1" t="str">
        <f t="shared" si="48"/>
        <v>0</v>
      </c>
      <c r="D1481" s="1" t="str">
        <f t="shared" si="49"/>
        <v>0</v>
      </c>
    </row>
    <row r="1482" spans="1:4" x14ac:dyDescent="0.3">
      <c r="A1482" s="1">
        <v>46053.75</v>
      </c>
      <c r="B1482" s="2">
        <v>11.9</v>
      </c>
      <c r="C1482" s="1" t="str">
        <f t="shared" si="48"/>
        <v>0</v>
      </c>
      <c r="D1482" s="1" t="str">
        <f t="shared" si="49"/>
        <v>0</v>
      </c>
    </row>
    <row r="1483" spans="1:4" x14ac:dyDescent="0.3">
      <c r="A1483" s="1">
        <v>46053.770833333336</v>
      </c>
      <c r="B1483" s="2">
        <v>11.9</v>
      </c>
      <c r="C1483" s="1" t="str">
        <f t="shared" si="48"/>
        <v>0</v>
      </c>
      <c r="D1483" s="1" t="str">
        <f t="shared" si="49"/>
        <v>0</v>
      </c>
    </row>
    <row r="1484" spans="1:4" x14ac:dyDescent="0.3">
      <c r="A1484" s="1">
        <v>46053.791666666664</v>
      </c>
      <c r="B1484" s="2">
        <v>11.3</v>
      </c>
      <c r="C1484" s="1" t="str">
        <f t="shared" si="48"/>
        <v>0</v>
      </c>
      <c r="D1484" s="1" t="str">
        <f t="shared" si="49"/>
        <v>0</v>
      </c>
    </row>
    <row r="1485" spans="1:4" x14ac:dyDescent="0.3">
      <c r="A1485" s="1">
        <v>46053.8125</v>
      </c>
      <c r="B1485" s="2">
        <v>10.8</v>
      </c>
      <c r="C1485" s="1" t="str">
        <f t="shared" si="48"/>
        <v>0</v>
      </c>
      <c r="D1485" s="1" t="str">
        <f t="shared" si="49"/>
        <v>0</v>
      </c>
    </row>
    <row r="1486" spans="1:4" x14ac:dyDescent="0.3">
      <c r="A1486" s="1">
        <v>46053.833333333336</v>
      </c>
      <c r="B1486" s="2">
        <v>10.3</v>
      </c>
      <c r="C1486" s="1" t="str">
        <f t="shared" si="48"/>
        <v>0</v>
      </c>
      <c r="D1486" s="1" t="str">
        <f t="shared" si="49"/>
        <v>0</v>
      </c>
    </row>
    <row r="1487" spans="1:4" x14ac:dyDescent="0.3">
      <c r="A1487" s="1">
        <v>46053.854166666664</v>
      </c>
      <c r="B1487" s="2">
        <v>9.8000000000000007</v>
      </c>
      <c r="C1487" s="1" t="str">
        <f t="shared" si="48"/>
        <v>0</v>
      </c>
      <c r="D1487" s="1" t="str">
        <f t="shared" si="49"/>
        <v>0</v>
      </c>
    </row>
    <row r="1488" spans="1:4" x14ac:dyDescent="0.3">
      <c r="A1488" s="1">
        <v>46053.875</v>
      </c>
      <c r="B1488" s="2">
        <v>9.3000000000000007</v>
      </c>
      <c r="C1488" s="1" t="str">
        <f t="shared" si="48"/>
        <v>0</v>
      </c>
      <c r="D1488" s="1" t="str">
        <f t="shared" si="49"/>
        <v>0</v>
      </c>
    </row>
    <row r="1489" spans="1:13" x14ac:dyDescent="0.3">
      <c r="A1489" s="1">
        <v>46053.895833333336</v>
      </c>
      <c r="B1489" s="2">
        <v>9.1</v>
      </c>
      <c r="C1489" s="1" t="str">
        <f t="shared" si="48"/>
        <v>0</v>
      </c>
      <c r="D1489" s="1" t="str">
        <f t="shared" si="49"/>
        <v>0</v>
      </c>
    </row>
    <row r="1490" spans="1:13" x14ac:dyDescent="0.3">
      <c r="A1490" s="1">
        <v>46053.916666666664</v>
      </c>
      <c r="B1490" s="2">
        <v>8.9</v>
      </c>
      <c r="C1490" s="1" t="str">
        <f t="shared" si="48"/>
        <v>0</v>
      </c>
      <c r="D1490" s="1" t="str">
        <f t="shared" si="49"/>
        <v>0</v>
      </c>
      <c r="M1490" s="26"/>
    </row>
    <row r="1491" spans="1:13" x14ac:dyDescent="0.3">
      <c r="A1491" s="1">
        <v>46053.9375</v>
      </c>
      <c r="B1491" s="2">
        <v>8.6999999999999993</v>
      </c>
      <c r="C1491" s="1" t="str">
        <f t="shared" si="48"/>
        <v>0</v>
      </c>
      <c r="D1491" s="1" t="str">
        <f t="shared" si="49"/>
        <v>0</v>
      </c>
      <c r="M1491" s="27"/>
    </row>
    <row r="1492" spans="1:13" x14ac:dyDescent="0.3">
      <c r="A1492" s="1">
        <v>46053.958333333336</v>
      </c>
      <c r="B1492" s="2">
        <v>8.6</v>
      </c>
      <c r="C1492" s="1" t="str">
        <f t="shared" si="48"/>
        <v>0</v>
      </c>
      <c r="D1492" s="1" t="str">
        <f t="shared" si="49"/>
        <v>0</v>
      </c>
    </row>
    <row r="1493" spans="1:13" x14ac:dyDescent="0.3">
      <c r="A1493" s="1">
        <v>46053.979166666664</v>
      </c>
      <c r="B1493" s="2">
        <v>8.4</v>
      </c>
      <c r="C1493" s="1" t="str">
        <f t="shared" si="48"/>
        <v>0</v>
      </c>
      <c r="D1493" s="1" t="str">
        <f t="shared" si="49"/>
        <v>0</v>
      </c>
    </row>
  </sheetData>
  <mergeCells count="11">
    <mergeCell ref="F1:G1"/>
    <mergeCell ref="H1:K1"/>
    <mergeCell ref="M4:N4"/>
    <mergeCell ref="M19:N19"/>
    <mergeCell ref="R19:S19"/>
    <mergeCell ref="M5:N5"/>
    <mergeCell ref="R5:S5"/>
    <mergeCell ref="M6:N6"/>
    <mergeCell ref="R6:S6"/>
    <mergeCell ref="M11:N11"/>
    <mergeCell ref="R11:S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B81D-9966-42CF-9D81-EB5C9A70CFD8}">
  <dimension ref="A1:R1493"/>
  <sheetViews>
    <sheetView tabSelected="1" workbookViewId="0">
      <selection activeCell="M19" sqref="M19"/>
    </sheetView>
  </sheetViews>
  <sheetFormatPr defaultRowHeight="14.4" x14ac:dyDescent="0.3"/>
  <cols>
    <col min="1" max="1" width="15.33203125" bestFit="1" customWidth="1"/>
    <col min="2" max="2" width="18.109375" customWidth="1"/>
    <col min="3" max="3" width="4" customWidth="1"/>
    <col min="9" max="9" width="2.5546875" customWidth="1"/>
    <col min="10" max="10" width="12.44140625" bestFit="1" customWidth="1"/>
    <col min="11" max="11" width="13.5546875" bestFit="1" customWidth="1"/>
    <col min="12" max="12" width="2.44140625" customWidth="1"/>
    <col min="14" max="14" width="13.21875" bestFit="1" customWidth="1"/>
    <col min="15" max="15" width="31.6640625" bestFit="1" customWidth="1"/>
  </cols>
  <sheetData>
    <row r="1" spans="1:18" ht="33.6" thickBot="1" x14ac:dyDescent="0.35">
      <c r="A1" s="53" t="s">
        <v>32</v>
      </c>
      <c r="B1" s="54" t="s">
        <v>33</v>
      </c>
      <c r="G1" s="57" t="s">
        <v>34</v>
      </c>
      <c r="H1" s="58"/>
    </row>
    <row r="2" spans="1:18" x14ac:dyDescent="0.3">
      <c r="A2" s="55">
        <v>46023</v>
      </c>
      <c r="B2" s="56">
        <v>4.4000000000000004</v>
      </c>
      <c r="D2" s="59" t="s">
        <v>35</v>
      </c>
      <c r="E2" s="59" t="s">
        <v>36</v>
      </c>
      <c r="F2" s="59" t="s">
        <v>37</v>
      </c>
      <c r="G2" s="60" t="s">
        <v>38</v>
      </c>
      <c r="H2" s="60" t="s">
        <v>39</v>
      </c>
    </row>
    <row r="3" spans="1:18" ht="15" thickBot="1" x14ac:dyDescent="0.35">
      <c r="A3" s="55">
        <v>46023.020833333336</v>
      </c>
      <c r="B3" s="56">
        <v>4.3</v>
      </c>
      <c r="D3" s="64">
        <v>46023</v>
      </c>
      <c r="E3" s="63">
        <v>6.9551020408163255</v>
      </c>
      <c r="F3" s="63">
        <v>340.79999999999995</v>
      </c>
      <c r="G3" s="62">
        <v>10.8</v>
      </c>
      <c r="H3" s="62">
        <v>2.6</v>
      </c>
    </row>
    <row r="4" spans="1:18" x14ac:dyDescent="0.3">
      <c r="A4" s="55">
        <v>46023.041666666664</v>
      </c>
      <c r="B4" s="56">
        <v>3.6</v>
      </c>
      <c r="D4" s="64">
        <v>46024</v>
      </c>
      <c r="E4" s="63">
        <v>10.404166666666667</v>
      </c>
      <c r="F4" s="63">
        <v>499.40000000000003</v>
      </c>
      <c r="G4" s="62">
        <v>14.1</v>
      </c>
      <c r="H4" s="62">
        <v>6.6</v>
      </c>
      <c r="J4" s="46" t="s">
        <v>18</v>
      </c>
      <c r="K4" s="47"/>
      <c r="O4" s="84"/>
      <c r="P4" s="76"/>
    </row>
    <row r="5" spans="1:18" ht="15" thickBot="1" x14ac:dyDescent="0.35">
      <c r="A5" s="55">
        <v>46023.0625</v>
      </c>
      <c r="B5" s="56">
        <v>3.6</v>
      </c>
      <c r="D5" s="64">
        <v>46025</v>
      </c>
      <c r="E5" s="73">
        <v>13.241666666666665</v>
      </c>
      <c r="F5" s="63">
        <v>635.59999999999991</v>
      </c>
      <c r="G5" s="62">
        <v>15.4</v>
      </c>
      <c r="H5" s="62">
        <v>11.2</v>
      </c>
      <c r="J5" s="49" t="s">
        <v>6</v>
      </c>
      <c r="K5" s="50"/>
      <c r="O5" s="85"/>
      <c r="P5" s="76"/>
    </row>
    <row r="6" spans="1:18" ht="15" thickBot="1" x14ac:dyDescent="0.35">
      <c r="A6" s="55">
        <v>46023.083333333336</v>
      </c>
      <c r="B6" s="56">
        <v>3.5</v>
      </c>
      <c r="D6" s="64">
        <v>46026</v>
      </c>
      <c r="E6" s="73">
        <v>13.172916666666667</v>
      </c>
      <c r="F6" s="63">
        <v>632.30000000000007</v>
      </c>
      <c r="G6" s="62">
        <v>14.6</v>
      </c>
      <c r="H6" s="62">
        <v>10.8</v>
      </c>
      <c r="J6" s="51" t="s">
        <v>7</v>
      </c>
      <c r="K6" s="52"/>
      <c r="O6" s="85"/>
      <c r="P6" s="76"/>
    </row>
    <row r="7" spans="1:18" x14ac:dyDescent="0.3">
      <c r="A7" s="55">
        <v>46023.104166666664</v>
      </c>
      <c r="B7" s="56">
        <v>3.6</v>
      </c>
      <c r="D7" s="64">
        <v>46027</v>
      </c>
      <c r="E7" s="63">
        <v>10.472916666666666</v>
      </c>
      <c r="F7" s="63">
        <v>502.7</v>
      </c>
      <c r="G7" s="62">
        <v>12.2</v>
      </c>
      <c r="H7" s="62">
        <v>9.1</v>
      </c>
      <c r="J7" s="9" t="s">
        <v>8</v>
      </c>
      <c r="K7" s="65">
        <v>13.241666666666665</v>
      </c>
      <c r="N7" s="40">
        <v>13.106451612903228</v>
      </c>
      <c r="O7" s="41" t="s">
        <v>28</v>
      </c>
    </row>
    <row r="8" spans="1:18" ht="15" thickBot="1" x14ac:dyDescent="0.35">
      <c r="A8" s="55">
        <v>46023.125</v>
      </c>
      <c r="B8" s="56">
        <v>3.4</v>
      </c>
      <c r="D8" s="64">
        <v>46028</v>
      </c>
      <c r="E8" s="63">
        <v>8.0666666666666682</v>
      </c>
      <c r="F8" s="63">
        <v>387.20000000000005</v>
      </c>
      <c r="G8" s="62">
        <v>11.4</v>
      </c>
      <c r="H8" s="62">
        <v>5.4</v>
      </c>
      <c r="J8" s="5" t="s">
        <v>9</v>
      </c>
      <c r="K8" s="7">
        <v>4.477083333333332</v>
      </c>
      <c r="N8" s="42">
        <v>6.6709677419354838</v>
      </c>
      <c r="O8" s="43" t="s">
        <v>29</v>
      </c>
    </row>
    <row r="9" spans="1:18" x14ac:dyDescent="0.3">
      <c r="A9" s="55">
        <v>46023.145833333336</v>
      </c>
      <c r="B9" s="56">
        <v>3.3</v>
      </c>
      <c r="D9" s="64">
        <v>46029</v>
      </c>
      <c r="E9" s="63">
        <v>5.1693877551020408</v>
      </c>
      <c r="F9" s="63">
        <v>253.29999999999998</v>
      </c>
      <c r="G9" s="62">
        <v>7.5</v>
      </c>
      <c r="H9" s="62">
        <v>2.9</v>
      </c>
      <c r="J9" s="11" t="s">
        <v>10</v>
      </c>
      <c r="K9" s="74">
        <v>9.8623313034891407</v>
      </c>
      <c r="O9" s="78"/>
      <c r="P9" s="76"/>
    </row>
    <row r="10" spans="1:18" ht="15" thickBot="1" x14ac:dyDescent="0.35">
      <c r="A10" s="55">
        <v>46023.166666666664</v>
      </c>
      <c r="B10" s="56">
        <v>3</v>
      </c>
      <c r="D10" s="64">
        <v>46030</v>
      </c>
      <c r="E10" s="61">
        <v>4.477083333333332</v>
      </c>
      <c r="F10" s="63">
        <v>214.89999999999995</v>
      </c>
      <c r="G10" s="62">
        <v>7.7</v>
      </c>
      <c r="H10" s="72">
        <v>0.8</v>
      </c>
    </row>
    <row r="11" spans="1:18" ht="15" thickBot="1" x14ac:dyDescent="0.35">
      <c r="A11" s="55">
        <v>46023.1875</v>
      </c>
      <c r="B11" s="56">
        <v>3.1</v>
      </c>
      <c r="D11" s="64">
        <v>46031</v>
      </c>
      <c r="E11" s="63">
        <v>11.971428571428568</v>
      </c>
      <c r="F11" s="63">
        <v>586.5999999999998</v>
      </c>
      <c r="G11" s="62">
        <v>14.9</v>
      </c>
      <c r="H11" s="62">
        <v>7.4</v>
      </c>
      <c r="J11" s="51" t="s">
        <v>11</v>
      </c>
      <c r="K11" s="66"/>
      <c r="L11" s="66"/>
      <c r="M11" s="66"/>
      <c r="N11" s="52"/>
      <c r="O11" s="77"/>
      <c r="P11" s="77"/>
      <c r="Q11" s="77"/>
      <c r="R11" s="76"/>
    </row>
    <row r="12" spans="1:18" x14ac:dyDescent="0.3">
      <c r="A12" s="55">
        <v>46023.208333333336</v>
      </c>
      <c r="B12" s="56">
        <v>2.7</v>
      </c>
      <c r="D12" s="64">
        <v>46032</v>
      </c>
      <c r="E12" s="63">
        <v>8.2551020408163271</v>
      </c>
      <c r="F12" s="63">
        <v>404.50000000000006</v>
      </c>
      <c r="G12" s="62">
        <v>11.8</v>
      </c>
      <c r="H12" s="62">
        <v>5.2</v>
      </c>
      <c r="J12" s="67" t="s">
        <v>12</v>
      </c>
      <c r="K12" s="68" t="s">
        <v>30</v>
      </c>
      <c r="M12" s="69" t="s">
        <v>14</v>
      </c>
      <c r="N12" s="86" t="s">
        <v>31</v>
      </c>
      <c r="O12" s="79"/>
      <c r="P12" s="76"/>
      <c r="Q12" s="80"/>
      <c r="R12" s="76"/>
    </row>
    <row r="13" spans="1:18" ht="15.6" x14ac:dyDescent="0.3">
      <c r="A13" s="55">
        <v>46023.229166666664</v>
      </c>
      <c r="B13" s="56">
        <v>3.1</v>
      </c>
      <c r="D13" s="64">
        <v>46033</v>
      </c>
      <c r="E13" s="63">
        <v>6.3041666666666663</v>
      </c>
      <c r="F13" s="63">
        <v>302.59999999999997</v>
      </c>
      <c r="G13" s="62">
        <v>11.4</v>
      </c>
      <c r="H13" s="62">
        <v>2.2999999999999998</v>
      </c>
      <c r="J13" s="70">
        <v>15.9</v>
      </c>
      <c r="K13" s="71">
        <v>46037.583333333336</v>
      </c>
      <c r="L13" s="19"/>
      <c r="M13" s="72">
        <v>0.8</v>
      </c>
      <c r="N13" s="71">
        <v>46030.229166666664</v>
      </c>
      <c r="O13" s="81"/>
      <c r="P13" s="82"/>
      <c r="Q13" s="83"/>
      <c r="R13" s="76"/>
    </row>
    <row r="14" spans="1:18" x14ac:dyDescent="0.3">
      <c r="A14" s="55">
        <v>46023.25</v>
      </c>
      <c r="B14" s="56">
        <v>2.8</v>
      </c>
      <c r="D14" s="64">
        <v>46034</v>
      </c>
      <c r="E14" s="63">
        <v>5.6020833333333337</v>
      </c>
      <c r="F14" s="63">
        <v>268.90000000000003</v>
      </c>
      <c r="G14" s="62">
        <v>10.5</v>
      </c>
      <c r="H14" s="62">
        <v>1.3</v>
      </c>
      <c r="K14" s="87"/>
      <c r="L14" s="19"/>
      <c r="M14" s="19"/>
      <c r="N14" s="21"/>
      <c r="O14" s="76"/>
      <c r="P14" s="82"/>
      <c r="Q14" s="82"/>
      <c r="R14" s="76"/>
    </row>
    <row r="15" spans="1:18" x14ac:dyDescent="0.3">
      <c r="A15" s="55">
        <v>46023.270833333336</v>
      </c>
      <c r="B15" s="56">
        <v>2.7</v>
      </c>
      <c r="D15" s="64">
        <v>46035</v>
      </c>
      <c r="E15" s="63">
        <v>9.7854166666666647</v>
      </c>
      <c r="F15" s="63">
        <v>469.69999999999987</v>
      </c>
      <c r="G15" s="62">
        <v>14.3</v>
      </c>
      <c r="H15" s="62">
        <v>5.7</v>
      </c>
      <c r="O15" s="76"/>
      <c r="P15" s="76"/>
      <c r="Q15" s="76"/>
      <c r="R15" s="76"/>
    </row>
    <row r="16" spans="1:18" x14ac:dyDescent="0.3">
      <c r="A16" s="55">
        <v>46023.291666666664</v>
      </c>
      <c r="B16" s="56">
        <v>2.6</v>
      </c>
      <c r="D16" s="64">
        <v>46036</v>
      </c>
      <c r="E16" s="63">
        <v>11.825000000000001</v>
      </c>
      <c r="F16" s="63">
        <v>567.6</v>
      </c>
      <c r="G16" s="62">
        <v>15.3</v>
      </c>
      <c r="H16" s="62">
        <v>8.5</v>
      </c>
    </row>
    <row r="17" spans="1:8" x14ac:dyDescent="0.3">
      <c r="A17" s="55">
        <v>46023.3125</v>
      </c>
      <c r="B17" s="56">
        <v>3.2</v>
      </c>
      <c r="D17" s="64">
        <v>46037</v>
      </c>
      <c r="E17" s="63">
        <v>13.0375</v>
      </c>
      <c r="F17" s="63">
        <v>625.79999999999995</v>
      </c>
      <c r="G17" s="75">
        <v>15.9</v>
      </c>
      <c r="H17" s="62">
        <v>10</v>
      </c>
    </row>
    <row r="18" spans="1:8" x14ac:dyDescent="0.3">
      <c r="A18" s="55">
        <v>46023.333333333336</v>
      </c>
      <c r="B18" s="56">
        <v>3.6</v>
      </c>
      <c r="D18" s="64">
        <v>46038</v>
      </c>
      <c r="E18" s="63">
        <v>9.8874999999999993</v>
      </c>
      <c r="F18" s="63">
        <v>474.59999999999997</v>
      </c>
      <c r="G18" s="62">
        <v>13.5</v>
      </c>
      <c r="H18" s="62">
        <v>6.7</v>
      </c>
    </row>
    <row r="19" spans="1:8" x14ac:dyDescent="0.3">
      <c r="A19" s="55">
        <v>46023.354166666664</v>
      </c>
      <c r="B19" s="56">
        <v>3.9</v>
      </c>
      <c r="D19" s="64">
        <v>46039</v>
      </c>
      <c r="E19" s="63">
        <v>10.310416666666667</v>
      </c>
      <c r="F19" s="63">
        <v>494.90000000000003</v>
      </c>
      <c r="G19" s="62">
        <v>15.8</v>
      </c>
      <c r="H19" s="62">
        <v>5.7</v>
      </c>
    </row>
    <row r="20" spans="1:8" x14ac:dyDescent="0.3">
      <c r="A20" s="55">
        <v>46023.375</v>
      </c>
      <c r="B20" s="56">
        <v>5.3</v>
      </c>
      <c r="D20" s="64">
        <v>46040</v>
      </c>
      <c r="E20" s="63">
        <v>11.272916666666669</v>
      </c>
      <c r="F20" s="63">
        <v>541.10000000000014</v>
      </c>
      <c r="G20" s="62">
        <v>14.8</v>
      </c>
      <c r="H20" s="62">
        <v>6.8</v>
      </c>
    </row>
    <row r="21" spans="1:8" x14ac:dyDescent="0.3">
      <c r="A21" s="55">
        <v>46023.395833333336</v>
      </c>
      <c r="B21" s="56">
        <v>5.5</v>
      </c>
      <c r="D21" s="64">
        <v>46041</v>
      </c>
      <c r="E21" s="63">
        <v>12.381250000000001</v>
      </c>
      <c r="F21" s="63">
        <v>594.30000000000007</v>
      </c>
      <c r="G21" s="62">
        <v>14.3</v>
      </c>
      <c r="H21" s="62">
        <v>10.9</v>
      </c>
    </row>
    <row r="22" spans="1:8" x14ac:dyDescent="0.3">
      <c r="A22" s="55">
        <v>46023.416666666664</v>
      </c>
      <c r="B22" s="56">
        <v>6</v>
      </c>
      <c r="D22" s="64">
        <v>46042</v>
      </c>
      <c r="E22" s="63">
        <v>11.891666666666667</v>
      </c>
      <c r="F22" s="63">
        <v>570.80000000000007</v>
      </c>
      <c r="G22" s="62">
        <v>14.5</v>
      </c>
      <c r="H22" s="62">
        <v>9.6</v>
      </c>
    </row>
    <row r="23" spans="1:8" x14ac:dyDescent="0.3">
      <c r="A23" s="55">
        <v>46023.4375</v>
      </c>
      <c r="B23" s="56">
        <v>7.1</v>
      </c>
      <c r="D23" s="64">
        <v>46043</v>
      </c>
      <c r="E23" s="63">
        <v>8.9499999999999993</v>
      </c>
      <c r="F23" s="63">
        <v>429.59999999999997</v>
      </c>
      <c r="G23" s="62">
        <v>9.8000000000000007</v>
      </c>
      <c r="H23" s="62">
        <v>7.8</v>
      </c>
    </row>
    <row r="24" spans="1:8" x14ac:dyDescent="0.3">
      <c r="A24" s="55">
        <v>46023.458333333336</v>
      </c>
      <c r="B24" s="56">
        <v>8.1</v>
      </c>
      <c r="D24" s="64">
        <v>46044</v>
      </c>
      <c r="E24" s="63">
        <v>9.4270833333333339</v>
      </c>
      <c r="F24" s="63">
        <v>452.5</v>
      </c>
      <c r="G24" s="62">
        <v>12.7</v>
      </c>
      <c r="H24" s="62">
        <v>6.6</v>
      </c>
    </row>
    <row r="25" spans="1:8" x14ac:dyDescent="0.3">
      <c r="A25" s="55">
        <v>46023.479166666664</v>
      </c>
      <c r="B25" s="56">
        <v>10</v>
      </c>
      <c r="D25" s="64">
        <v>46045</v>
      </c>
      <c r="E25" s="63">
        <v>9.8458333333333314</v>
      </c>
      <c r="F25" s="63">
        <v>472.59999999999991</v>
      </c>
      <c r="G25" s="62">
        <v>14.6</v>
      </c>
      <c r="H25" s="62">
        <v>3.8</v>
      </c>
    </row>
    <row r="26" spans="1:8" x14ac:dyDescent="0.3">
      <c r="A26" s="55">
        <v>46023.5</v>
      </c>
      <c r="B26" s="56">
        <v>10.8</v>
      </c>
      <c r="D26" s="64">
        <v>46046</v>
      </c>
      <c r="E26" s="63">
        <v>12.937500000000002</v>
      </c>
      <c r="F26" s="63">
        <v>621.00000000000011</v>
      </c>
      <c r="G26" s="62">
        <v>15.7</v>
      </c>
      <c r="H26" s="62">
        <v>10.7</v>
      </c>
    </row>
    <row r="27" spans="1:8" x14ac:dyDescent="0.3">
      <c r="A27" s="55">
        <v>46023.520833333336</v>
      </c>
      <c r="B27" s="56">
        <v>10.6</v>
      </c>
      <c r="D27" s="64">
        <v>46047</v>
      </c>
      <c r="E27" s="63">
        <v>9.9833333333333343</v>
      </c>
      <c r="F27" s="63">
        <v>479.20000000000005</v>
      </c>
      <c r="G27" s="62">
        <v>13.1</v>
      </c>
      <c r="H27" s="62">
        <v>7.9</v>
      </c>
    </row>
    <row r="28" spans="1:8" x14ac:dyDescent="0.3">
      <c r="A28" s="55">
        <v>46023.541666666664</v>
      </c>
      <c r="B28" s="56">
        <v>10.3</v>
      </c>
      <c r="D28" s="64">
        <v>46048</v>
      </c>
      <c r="E28" s="63">
        <v>8.5145833333333361</v>
      </c>
      <c r="F28" s="63">
        <v>408.70000000000016</v>
      </c>
      <c r="G28" s="62">
        <v>10.4</v>
      </c>
      <c r="H28" s="62">
        <v>5.6</v>
      </c>
    </row>
    <row r="29" spans="1:8" x14ac:dyDescent="0.3">
      <c r="A29" s="55">
        <v>46023.5625</v>
      </c>
      <c r="B29" s="56">
        <v>10.1</v>
      </c>
      <c r="D29" s="64">
        <v>46049</v>
      </c>
      <c r="E29" s="63">
        <v>9.4979166666666686</v>
      </c>
      <c r="F29" s="63">
        <v>455.90000000000009</v>
      </c>
      <c r="G29" s="62">
        <v>13.6</v>
      </c>
      <c r="H29" s="62">
        <v>5.0999999999999996</v>
      </c>
    </row>
    <row r="30" spans="1:8" x14ac:dyDescent="0.3">
      <c r="A30" s="55">
        <v>46023.583333333336</v>
      </c>
      <c r="B30" s="56">
        <v>10</v>
      </c>
      <c r="D30" s="64">
        <v>46050</v>
      </c>
      <c r="E30" s="63">
        <v>12.260416666666666</v>
      </c>
      <c r="F30" s="63">
        <v>588.5</v>
      </c>
      <c r="G30" s="62">
        <v>14</v>
      </c>
      <c r="H30" s="62">
        <v>10</v>
      </c>
    </row>
    <row r="31" spans="1:8" x14ac:dyDescent="0.3">
      <c r="A31" s="55">
        <v>46023.604166666664</v>
      </c>
      <c r="B31" s="56">
        <v>10</v>
      </c>
      <c r="D31" s="64">
        <v>46051</v>
      </c>
      <c r="E31" s="63">
        <v>10.424999999999999</v>
      </c>
      <c r="F31" s="63">
        <v>500.4</v>
      </c>
      <c r="G31" s="62">
        <v>13.9</v>
      </c>
      <c r="H31" s="62">
        <v>7.9</v>
      </c>
    </row>
    <row r="32" spans="1:8" x14ac:dyDescent="0.3">
      <c r="A32" s="55">
        <v>46023.625</v>
      </c>
      <c r="B32" s="56">
        <v>10</v>
      </c>
      <c r="D32" s="64">
        <v>46052</v>
      </c>
      <c r="E32" s="63">
        <v>9.1249999999999964</v>
      </c>
      <c r="F32" s="63">
        <v>437.99999999999983</v>
      </c>
      <c r="G32" s="62">
        <v>14</v>
      </c>
      <c r="H32" s="62">
        <v>4.5999999999999996</v>
      </c>
    </row>
    <row r="33" spans="1:8" x14ac:dyDescent="0.3">
      <c r="A33" s="55">
        <v>46023.645833333336</v>
      </c>
      <c r="B33" s="56">
        <v>9.6999999999999993</v>
      </c>
      <c r="D33" s="64">
        <v>46053</v>
      </c>
      <c r="E33" s="63">
        <v>10.281250000000002</v>
      </c>
      <c r="F33" s="63">
        <v>493.50000000000006</v>
      </c>
      <c r="G33" s="62">
        <v>13.8</v>
      </c>
      <c r="H33" s="62">
        <v>7.3</v>
      </c>
    </row>
    <row r="34" spans="1:8" x14ac:dyDescent="0.3">
      <c r="A34" s="55">
        <v>46023.666666666664</v>
      </c>
      <c r="B34" s="56">
        <v>9.3000000000000007</v>
      </c>
    </row>
    <row r="35" spans="1:8" x14ac:dyDescent="0.3">
      <c r="A35" s="55">
        <v>46023.672881944447</v>
      </c>
      <c r="B35" s="56">
        <v>9.3000000000000007</v>
      </c>
    </row>
    <row r="36" spans="1:8" x14ac:dyDescent="0.3">
      <c r="A36" s="55">
        <v>46023.6875</v>
      </c>
      <c r="B36" s="56">
        <v>9.1999999999999993</v>
      </c>
    </row>
    <row r="37" spans="1:8" x14ac:dyDescent="0.3">
      <c r="A37" s="55">
        <v>46023.708333333336</v>
      </c>
      <c r="B37" s="56">
        <v>9.4</v>
      </c>
    </row>
    <row r="38" spans="1:8" x14ac:dyDescent="0.3">
      <c r="A38" s="55">
        <v>46023.729166666664</v>
      </c>
      <c r="B38" s="56">
        <v>9.5</v>
      </c>
    </row>
    <row r="39" spans="1:8" x14ac:dyDescent="0.3">
      <c r="A39" s="55">
        <v>46023.75</v>
      </c>
      <c r="B39" s="56">
        <v>9.5</v>
      </c>
    </row>
    <row r="40" spans="1:8" x14ac:dyDescent="0.3">
      <c r="A40" s="55">
        <v>46023.770833333336</v>
      </c>
      <c r="B40" s="56">
        <v>9.1</v>
      </c>
    </row>
    <row r="41" spans="1:8" x14ac:dyDescent="0.3">
      <c r="A41" s="55">
        <v>46023.791666666664</v>
      </c>
      <c r="B41" s="56">
        <v>8.9</v>
      </c>
    </row>
    <row r="42" spans="1:8" x14ac:dyDescent="0.3">
      <c r="A42" s="55">
        <v>46023.8125</v>
      </c>
      <c r="B42" s="56">
        <v>8.9</v>
      </c>
    </row>
    <row r="43" spans="1:8" x14ac:dyDescent="0.3">
      <c r="A43" s="55">
        <v>46023.833333333336</v>
      </c>
      <c r="B43" s="56">
        <v>9.1</v>
      </c>
    </row>
    <row r="44" spans="1:8" x14ac:dyDescent="0.3">
      <c r="A44" s="55">
        <v>46023.854166666664</v>
      </c>
      <c r="B44" s="56">
        <v>9.4</v>
      </c>
    </row>
    <row r="45" spans="1:8" x14ac:dyDescent="0.3">
      <c r="A45" s="55">
        <v>46023.875</v>
      </c>
      <c r="B45" s="56">
        <v>10.5</v>
      </c>
    </row>
    <row r="46" spans="1:8" x14ac:dyDescent="0.3">
      <c r="A46" s="55">
        <v>46023.895833333336</v>
      </c>
      <c r="B46" s="56">
        <v>10.6</v>
      </c>
    </row>
    <row r="47" spans="1:8" x14ac:dyDescent="0.3">
      <c r="A47" s="55">
        <v>46023.916666666664</v>
      </c>
      <c r="B47" s="56">
        <v>9.5</v>
      </c>
    </row>
    <row r="48" spans="1:8" x14ac:dyDescent="0.3">
      <c r="A48" s="55">
        <v>46023.9375</v>
      </c>
      <c r="B48" s="56">
        <v>8.6999999999999993</v>
      </c>
    </row>
    <row r="49" spans="1:2" x14ac:dyDescent="0.3">
      <c r="A49" s="55">
        <v>46023.958333333336</v>
      </c>
      <c r="B49" s="56">
        <v>7.9</v>
      </c>
    </row>
    <row r="50" spans="1:2" x14ac:dyDescent="0.3">
      <c r="A50" s="55">
        <v>46023.979166666664</v>
      </c>
      <c r="B50" s="56">
        <v>8.1</v>
      </c>
    </row>
    <row r="51" spans="1:2" x14ac:dyDescent="0.3">
      <c r="A51" s="55">
        <v>46024</v>
      </c>
      <c r="B51" s="56">
        <v>8.1</v>
      </c>
    </row>
    <row r="52" spans="1:2" x14ac:dyDescent="0.3">
      <c r="A52" s="55">
        <v>46024.020833333336</v>
      </c>
      <c r="B52" s="56">
        <v>7.6</v>
      </c>
    </row>
    <row r="53" spans="1:2" x14ac:dyDescent="0.3">
      <c r="A53" s="55">
        <v>46024.041666666664</v>
      </c>
      <c r="B53" s="56">
        <v>7.4</v>
      </c>
    </row>
    <row r="54" spans="1:2" x14ac:dyDescent="0.3">
      <c r="A54" s="55">
        <v>46024.0625</v>
      </c>
      <c r="B54" s="56">
        <v>6.8</v>
      </c>
    </row>
    <row r="55" spans="1:2" x14ac:dyDescent="0.3">
      <c r="A55" s="55">
        <v>46024.083333333336</v>
      </c>
      <c r="B55" s="56">
        <v>6.6</v>
      </c>
    </row>
    <row r="56" spans="1:2" x14ac:dyDescent="0.3">
      <c r="A56" s="55">
        <v>46024.104166666664</v>
      </c>
      <c r="B56" s="56">
        <v>6.7</v>
      </c>
    </row>
    <row r="57" spans="1:2" x14ac:dyDescent="0.3">
      <c r="A57" s="55">
        <v>46024.125</v>
      </c>
      <c r="B57" s="56">
        <v>6.7</v>
      </c>
    </row>
    <row r="58" spans="1:2" x14ac:dyDescent="0.3">
      <c r="A58" s="55">
        <v>46024.145833333336</v>
      </c>
      <c r="B58" s="56">
        <v>7</v>
      </c>
    </row>
    <row r="59" spans="1:2" x14ac:dyDescent="0.3">
      <c r="A59" s="55">
        <v>46024.166666666664</v>
      </c>
      <c r="B59" s="56">
        <v>7.2</v>
      </c>
    </row>
    <row r="60" spans="1:2" x14ac:dyDescent="0.3">
      <c r="A60" s="55">
        <v>46024.1875</v>
      </c>
      <c r="B60" s="56">
        <v>7.2</v>
      </c>
    </row>
    <row r="61" spans="1:2" x14ac:dyDescent="0.3">
      <c r="A61" s="55">
        <v>46024.208333333336</v>
      </c>
      <c r="B61" s="56">
        <v>7.3</v>
      </c>
    </row>
    <row r="62" spans="1:2" x14ac:dyDescent="0.3">
      <c r="A62" s="55">
        <v>46024.229166666664</v>
      </c>
      <c r="B62" s="56">
        <v>7.6</v>
      </c>
    </row>
    <row r="63" spans="1:2" x14ac:dyDescent="0.3">
      <c r="A63" s="55">
        <v>46024.25</v>
      </c>
      <c r="B63" s="56">
        <v>7.8</v>
      </c>
    </row>
    <row r="64" spans="1:2" x14ac:dyDescent="0.3">
      <c r="A64" s="55">
        <v>46024.270833333336</v>
      </c>
      <c r="B64" s="56">
        <v>8.3000000000000007</v>
      </c>
    </row>
    <row r="65" spans="1:2" x14ac:dyDescent="0.3">
      <c r="A65" s="55">
        <v>46024.291666666664</v>
      </c>
      <c r="B65" s="56">
        <v>7.9</v>
      </c>
    </row>
    <row r="66" spans="1:2" x14ac:dyDescent="0.3">
      <c r="A66" s="55">
        <v>46024.3125</v>
      </c>
      <c r="B66" s="56">
        <v>8.3000000000000007</v>
      </c>
    </row>
    <row r="67" spans="1:2" x14ac:dyDescent="0.3">
      <c r="A67" s="55">
        <v>46024.333333333336</v>
      </c>
      <c r="B67" s="56">
        <v>8.8000000000000007</v>
      </c>
    </row>
    <row r="68" spans="1:2" x14ac:dyDescent="0.3">
      <c r="A68" s="55">
        <v>46024.354166666664</v>
      </c>
      <c r="B68" s="56">
        <v>9.6</v>
      </c>
    </row>
    <row r="69" spans="1:2" x14ac:dyDescent="0.3">
      <c r="A69" s="55">
        <v>46024.375</v>
      </c>
      <c r="B69" s="56">
        <v>10.4</v>
      </c>
    </row>
    <row r="70" spans="1:2" x14ac:dyDescent="0.3">
      <c r="A70" s="55">
        <v>46024.395833333336</v>
      </c>
      <c r="B70" s="56">
        <v>11.9</v>
      </c>
    </row>
    <row r="71" spans="1:2" x14ac:dyDescent="0.3">
      <c r="A71" s="55">
        <v>46024.416666666664</v>
      </c>
      <c r="B71" s="56">
        <v>12.7</v>
      </c>
    </row>
    <row r="72" spans="1:2" x14ac:dyDescent="0.3">
      <c r="A72" s="55">
        <v>46024.4375</v>
      </c>
      <c r="B72" s="56">
        <v>13.5</v>
      </c>
    </row>
    <row r="73" spans="1:2" x14ac:dyDescent="0.3">
      <c r="A73" s="55">
        <v>46024.458333333336</v>
      </c>
      <c r="B73" s="56">
        <v>14.1</v>
      </c>
    </row>
    <row r="74" spans="1:2" x14ac:dyDescent="0.3">
      <c r="A74" s="55">
        <v>46024.479166666664</v>
      </c>
      <c r="B74" s="56">
        <v>13.9</v>
      </c>
    </row>
    <row r="75" spans="1:2" x14ac:dyDescent="0.3">
      <c r="A75" s="55">
        <v>46024.5</v>
      </c>
      <c r="B75" s="56">
        <v>13.7</v>
      </c>
    </row>
    <row r="76" spans="1:2" x14ac:dyDescent="0.3">
      <c r="A76" s="55">
        <v>46024.520833333336</v>
      </c>
      <c r="B76" s="56">
        <v>13.7</v>
      </c>
    </row>
    <row r="77" spans="1:2" x14ac:dyDescent="0.3">
      <c r="A77" s="55">
        <v>46024.541666666664</v>
      </c>
      <c r="B77" s="56">
        <v>13.5</v>
      </c>
    </row>
    <row r="78" spans="1:2" x14ac:dyDescent="0.3">
      <c r="A78" s="55">
        <v>46024.5625</v>
      </c>
      <c r="B78" s="56">
        <v>13.5</v>
      </c>
    </row>
    <row r="79" spans="1:2" x14ac:dyDescent="0.3">
      <c r="A79" s="55">
        <v>46024.583333333336</v>
      </c>
      <c r="B79" s="56">
        <v>13.2</v>
      </c>
    </row>
    <row r="80" spans="1:2" x14ac:dyDescent="0.3">
      <c r="A80" s="55">
        <v>46024.604166666664</v>
      </c>
      <c r="B80" s="56">
        <v>12.6</v>
      </c>
    </row>
    <row r="81" spans="1:2" x14ac:dyDescent="0.3">
      <c r="A81" s="55">
        <v>46024.625</v>
      </c>
      <c r="B81" s="56">
        <v>12.3</v>
      </c>
    </row>
    <row r="82" spans="1:2" x14ac:dyDescent="0.3">
      <c r="A82" s="55">
        <v>46024.645833333336</v>
      </c>
      <c r="B82" s="56">
        <v>11.9</v>
      </c>
    </row>
    <row r="83" spans="1:2" x14ac:dyDescent="0.3">
      <c r="A83" s="55">
        <v>46024.666666666664</v>
      </c>
      <c r="B83" s="56">
        <v>11.6</v>
      </c>
    </row>
    <row r="84" spans="1:2" x14ac:dyDescent="0.3">
      <c r="A84" s="55">
        <v>46024.6875</v>
      </c>
      <c r="B84" s="56">
        <v>11.5</v>
      </c>
    </row>
    <row r="85" spans="1:2" x14ac:dyDescent="0.3">
      <c r="A85" s="55">
        <v>46024.708333333336</v>
      </c>
      <c r="B85" s="56">
        <v>11.6</v>
      </c>
    </row>
    <row r="86" spans="1:2" x14ac:dyDescent="0.3">
      <c r="A86" s="55">
        <v>46024.729166666664</v>
      </c>
      <c r="B86" s="56">
        <v>11.6</v>
      </c>
    </row>
    <row r="87" spans="1:2" x14ac:dyDescent="0.3">
      <c r="A87" s="55">
        <v>46024.75</v>
      </c>
      <c r="B87" s="56">
        <v>11.7</v>
      </c>
    </row>
    <row r="88" spans="1:2" x14ac:dyDescent="0.3">
      <c r="A88" s="55">
        <v>46024.770833333336</v>
      </c>
      <c r="B88" s="56">
        <v>11.5</v>
      </c>
    </row>
    <row r="89" spans="1:2" x14ac:dyDescent="0.3">
      <c r="A89" s="55">
        <v>46024.791666666664</v>
      </c>
      <c r="B89" s="56">
        <v>11.4</v>
      </c>
    </row>
    <row r="90" spans="1:2" x14ac:dyDescent="0.3">
      <c r="A90" s="55">
        <v>46024.8125</v>
      </c>
      <c r="B90" s="56">
        <v>11.1</v>
      </c>
    </row>
    <row r="91" spans="1:2" x14ac:dyDescent="0.3">
      <c r="A91" s="55">
        <v>46024.833333333336</v>
      </c>
      <c r="B91" s="56">
        <v>11.2</v>
      </c>
    </row>
    <row r="92" spans="1:2" x14ac:dyDescent="0.3">
      <c r="A92" s="55">
        <v>46024.854166666664</v>
      </c>
      <c r="B92" s="56">
        <v>11.1</v>
      </c>
    </row>
    <row r="93" spans="1:2" x14ac:dyDescent="0.3">
      <c r="A93" s="55">
        <v>46024.875</v>
      </c>
      <c r="B93" s="56">
        <v>11.1</v>
      </c>
    </row>
    <row r="94" spans="1:2" x14ac:dyDescent="0.3">
      <c r="A94" s="55">
        <v>46024.895833333336</v>
      </c>
      <c r="B94" s="56">
        <v>11.5</v>
      </c>
    </row>
    <row r="95" spans="1:2" x14ac:dyDescent="0.3">
      <c r="A95" s="55">
        <v>46024.916666666664</v>
      </c>
      <c r="B95" s="56">
        <v>11.5</v>
      </c>
    </row>
    <row r="96" spans="1:2" x14ac:dyDescent="0.3">
      <c r="A96" s="55">
        <v>46024.9375</v>
      </c>
      <c r="B96" s="56">
        <v>11</v>
      </c>
    </row>
    <row r="97" spans="1:2" x14ac:dyDescent="0.3">
      <c r="A97" s="55">
        <v>46024.958333333336</v>
      </c>
      <c r="B97" s="56">
        <v>11</v>
      </c>
    </row>
    <row r="98" spans="1:2" x14ac:dyDescent="0.3">
      <c r="A98" s="55">
        <v>46024.979166666664</v>
      </c>
      <c r="B98" s="56">
        <v>11.2</v>
      </c>
    </row>
    <row r="99" spans="1:2" x14ac:dyDescent="0.3">
      <c r="A99" s="55">
        <v>46025</v>
      </c>
      <c r="B99" s="56">
        <v>11.2</v>
      </c>
    </row>
    <row r="100" spans="1:2" x14ac:dyDescent="0.3">
      <c r="A100" s="55">
        <v>46025.020833333336</v>
      </c>
      <c r="B100" s="56">
        <v>11.4</v>
      </c>
    </row>
    <row r="101" spans="1:2" x14ac:dyDescent="0.3">
      <c r="A101" s="55">
        <v>46025.041666666664</v>
      </c>
      <c r="B101" s="56">
        <v>11.5</v>
      </c>
    </row>
    <row r="102" spans="1:2" x14ac:dyDescent="0.3">
      <c r="A102" s="55">
        <v>46025.0625</v>
      </c>
      <c r="B102" s="56">
        <v>11.7</v>
      </c>
    </row>
    <row r="103" spans="1:2" x14ac:dyDescent="0.3">
      <c r="A103" s="55">
        <v>46025.083333333336</v>
      </c>
      <c r="B103" s="56">
        <v>11.9</v>
      </c>
    </row>
    <row r="104" spans="1:2" x14ac:dyDescent="0.3">
      <c r="A104" s="55">
        <v>46025.104166666664</v>
      </c>
      <c r="B104" s="56">
        <v>11.9</v>
      </c>
    </row>
    <row r="105" spans="1:2" x14ac:dyDescent="0.3">
      <c r="A105" s="55">
        <v>46025.125</v>
      </c>
      <c r="B105" s="56">
        <v>12.1</v>
      </c>
    </row>
    <row r="106" spans="1:2" x14ac:dyDescent="0.3">
      <c r="A106" s="55">
        <v>46025.145833333336</v>
      </c>
      <c r="B106" s="56">
        <v>12.2</v>
      </c>
    </row>
    <row r="107" spans="1:2" x14ac:dyDescent="0.3">
      <c r="A107" s="55">
        <v>46025.166666666664</v>
      </c>
      <c r="B107" s="56">
        <v>12.2</v>
      </c>
    </row>
    <row r="108" spans="1:2" x14ac:dyDescent="0.3">
      <c r="A108" s="55">
        <v>46025.1875</v>
      </c>
      <c r="B108" s="56">
        <v>12.1</v>
      </c>
    </row>
    <row r="109" spans="1:2" x14ac:dyDescent="0.3">
      <c r="A109" s="55">
        <v>46025.208333333336</v>
      </c>
      <c r="B109" s="56">
        <v>12.3</v>
      </c>
    </row>
    <row r="110" spans="1:2" x14ac:dyDescent="0.3">
      <c r="A110" s="55">
        <v>46025.229166666664</v>
      </c>
      <c r="B110" s="56">
        <v>12.4</v>
      </c>
    </row>
    <row r="111" spans="1:2" x14ac:dyDescent="0.3">
      <c r="A111" s="55">
        <v>46025.25</v>
      </c>
      <c r="B111" s="56">
        <v>12.3</v>
      </c>
    </row>
    <row r="112" spans="1:2" x14ac:dyDescent="0.3">
      <c r="A112" s="55">
        <v>46025.270833333336</v>
      </c>
      <c r="B112" s="56">
        <v>12.6</v>
      </c>
    </row>
    <row r="113" spans="1:2" x14ac:dyDescent="0.3">
      <c r="A113" s="55">
        <v>46025.291666666664</v>
      </c>
      <c r="B113" s="56">
        <v>12.6</v>
      </c>
    </row>
    <row r="114" spans="1:2" x14ac:dyDescent="0.3">
      <c r="A114" s="55">
        <v>46025.3125</v>
      </c>
      <c r="B114" s="56">
        <v>12.6</v>
      </c>
    </row>
    <row r="115" spans="1:2" x14ac:dyDescent="0.3">
      <c r="A115" s="55">
        <v>46025.333333333336</v>
      </c>
      <c r="B115" s="56">
        <v>12.7</v>
      </c>
    </row>
    <row r="116" spans="1:2" x14ac:dyDescent="0.3">
      <c r="A116" s="55">
        <v>46025.354166666664</v>
      </c>
      <c r="B116" s="56">
        <v>13</v>
      </c>
    </row>
    <row r="117" spans="1:2" x14ac:dyDescent="0.3">
      <c r="A117" s="55">
        <v>46025.375</v>
      </c>
      <c r="B117" s="56">
        <v>13.1</v>
      </c>
    </row>
    <row r="118" spans="1:2" x14ac:dyDescent="0.3">
      <c r="A118" s="55">
        <v>46025.395833333336</v>
      </c>
      <c r="B118" s="56">
        <v>13.3</v>
      </c>
    </row>
    <row r="119" spans="1:2" x14ac:dyDescent="0.3">
      <c r="A119" s="55">
        <v>46025.416666666664</v>
      </c>
      <c r="B119" s="56">
        <v>13.5</v>
      </c>
    </row>
    <row r="120" spans="1:2" x14ac:dyDescent="0.3">
      <c r="A120" s="55">
        <v>46025.4375</v>
      </c>
      <c r="B120" s="56">
        <v>13.7</v>
      </c>
    </row>
    <row r="121" spans="1:2" x14ac:dyDescent="0.3">
      <c r="A121" s="55">
        <v>46025.458333333336</v>
      </c>
      <c r="B121" s="56">
        <v>14</v>
      </c>
    </row>
    <row r="122" spans="1:2" x14ac:dyDescent="0.3">
      <c r="A122" s="55">
        <v>46025.479166666664</v>
      </c>
      <c r="B122" s="56">
        <v>14.5</v>
      </c>
    </row>
    <row r="123" spans="1:2" x14ac:dyDescent="0.3">
      <c r="A123" s="55">
        <v>46025.5</v>
      </c>
      <c r="B123" s="56">
        <v>14.9</v>
      </c>
    </row>
    <row r="124" spans="1:2" x14ac:dyDescent="0.3">
      <c r="A124" s="55">
        <v>46025.520833333336</v>
      </c>
      <c r="B124" s="56">
        <v>15.4</v>
      </c>
    </row>
    <row r="125" spans="1:2" x14ac:dyDescent="0.3">
      <c r="A125" s="55">
        <v>46025.541666666664</v>
      </c>
      <c r="B125" s="56">
        <v>15.2</v>
      </c>
    </row>
    <row r="126" spans="1:2" x14ac:dyDescent="0.3">
      <c r="A126" s="55">
        <v>46025.5625</v>
      </c>
      <c r="B126" s="56">
        <v>15.2</v>
      </c>
    </row>
    <row r="127" spans="1:2" x14ac:dyDescent="0.3">
      <c r="A127" s="55">
        <v>46025.583333333336</v>
      </c>
      <c r="B127" s="56">
        <v>15.1</v>
      </c>
    </row>
    <row r="128" spans="1:2" x14ac:dyDescent="0.3">
      <c r="A128" s="55">
        <v>46025.604166666664</v>
      </c>
      <c r="B128" s="56">
        <v>14.8</v>
      </c>
    </row>
    <row r="129" spans="1:2" x14ac:dyDescent="0.3">
      <c r="A129" s="55">
        <v>46025.625</v>
      </c>
      <c r="B129" s="56">
        <v>14.6</v>
      </c>
    </row>
    <row r="130" spans="1:2" x14ac:dyDescent="0.3">
      <c r="A130" s="55">
        <v>46025.645833333336</v>
      </c>
      <c r="B130" s="56">
        <v>14.4</v>
      </c>
    </row>
    <row r="131" spans="1:2" x14ac:dyDescent="0.3">
      <c r="A131" s="55">
        <v>46025.666666666664</v>
      </c>
      <c r="B131" s="56">
        <v>14</v>
      </c>
    </row>
    <row r="132" spans="1:2" x14ac:dyDescent="0.3">
      <c r="A132" s="55">
        <v>46025.6875</v>
      </c>
      <c r="B132" s="56">
        <v>13.8</v>
      </c>
    </row>
    <row r="133" spans="1:2" x14ac:dyDescent="0.3">
      <c r="A133" s="55">
        <v>46025.708333333336</v>
      </c>
      <c r="B133" s="56">
        <v>13.7</v>
      </c>
    </row>
    <row r="134" spans="1:2" x14ac:dyDescent="0.3">
      <c r="A134" s="55">
        <v>46025.729166666664</v>
      </c>
      <c r="B134" s="56">
        <v>13.6</v>
      </c>
    </row>
    <row r="135" spans="1:2" x14ac:dyDescent="0.3">
      <c r="A135" s="55">
        <v>46025.75</v>
      </c>
      <c r="B135" s="56">
        <v>13.6</v>
      </c>
    </row>
    <row r="136" spans="1:2" x14ac:dyDescent="0.3">
      <c r="A136" s="55">
        <v>46025.770833333336</v>
      </c>
      <c r="B136" s="56">
        <v>13.5</v>
      </c>
    </row>
    <row r="137" spans="1:2" x14ac:dyDescent="0.3">
      <c r="A137" s="55">
        <v>46025.791666666664</v>
      </c>
      <c r="B137" s="56">
        <v>13.5</v>
      </c>
    </row>
    <row r="138" spans="1:2" x14ac:dyDescent="0.3">
      <c r="A138" s="55">
        <v>46025.8125</v>
      </c>
      <c r="B138" s="56">
        <v>13.3</v>
      </c>
    </row>
    <row r="139" spans="1:2" x14ac:dyDescent="0.3">
      <c r="A139" s="55">
        <v>46025.833333333336</v>
      </c>
      <c r="B139" s="56">
        <v>13.3</v>
      </c>
    </row>
    <row r="140" spans="1:2" x14ac:dyDescent="0.3">
      <c r="A140" s="55">
        <v>46025.854166666664</v>
      </c>
      <c r="B140" s="56">
        <v>13.3</v>
      </c>
    </row>
    <row r="141" spans="1:2" x14ac:dyDescent="0.3">
      <c r="A141" s="55">
        <v>46025.875</v>
      </c>
      <c r="B141" s="56">
        <v>13.2</v>
      </c>
    </row>
    <row r="142" spans="1:2" x14ac:dyDescent="0.3">
      <c r="A142" s="55">
        <v>46025.895833333336</v>
      </c>
      <c r="B142" s="56">
        <v>13.2</v>
      </c>
    </row>
    <row r="143" spans="1:2" x14ac:dyDescent="0.3">
      <c r="A143" s="55">
        <v>46025.916666666664</v>
      </c>
      <c r="B143" s="56">
        <v>13.2</v>
      </c>
    </row>
    <row r="144" spans="1:2" x14ac:dyDescent="0.3">
      <c r="A144" s="55">
        <v>46025.9375</v>
      </c>
      <c r="B144" s="56">
        <v>13.3</v>
      </c>
    </row>
    <row r="145" spans="1:2" x14ac:dyDescent="0.3">
      <c r="A145" s="55">
        <v>46025.958333333336</v>
      </c>
      <c r="B145" s="56">
        <v>13.3</v>
      </c>
    </row>
    <row r="146" spans="1:2" x14ac:dyDescent="0.3">
      <c r="A146" s="55">
        <v>46025.979166666664</v>
      </c>
      <c r="B146" s="56">
        <v>13.4</v>
      </c>
    </row>
    <row r="147" spans="1:2" x14ac:dyDescent="0.3">
      <c r="A147" s="55">
        <v>46026</v>
      </c>
      <c r="B147" s="56">
        <v>13.3</v>
      </c>
    </row>
    <row r="148" spans="1:2" x14ac:dyDescent="0.3">
      <c r="A148" s="55">
        <v>46026.020833333336</v>
      </c>
      <c r="B148" s="56">
        <v>13.4</v>
      </c>
    </row>
    <row r="149" spans="1:2" x14ac:dyDescent="0.3">
      <c r="A149" s="55">
        <v>46026.041666666664</v>
      </c>
      <c r="B149" s="56">
        <v>13.5</v>
      </c>
    </row>
    <row r="150" spans="1:2" x14ac:dyDescent="0.3">
      <c r="A150" s="55">
        <v>46026.0625</v>
      </c>
      <c r="B150" s="56">
        <v>13.5</v>
      </c>
    </row>
    <row r="151" spans="1:2" x14ac:dyDescent="0.3">
      <c r="A151" s="55">
        <v>46026.083333333336</v>
      </c>
      <c r="B151" s="56">
        <v>13.5</v>
      </c>
    </row>
    <row r="152" spans="1:2" x14ac:dyDescent="0.3">
      <c r="A152" s="55">
        <v>46026.104166666664</v>
      </c>
      <c r="B152" s="56">
        <v>13.4</v>
      </c>
    </row>
    <row r="153" spans="1:2" x14ac:dyDescent="0.3">
      <c r="A153" s="55">
        <v>46026.125</v>
      </c>
      <c r="B153" s="56">
        <v>13.4</v>
      </c>
    </row>
    <row r="154" spans="1:2" x14ac:dyDescent="0.3">
      <c r="A154" s="55">
        <v>46026.145833333336</v>
      </c>
      <c r="B154" s="56">
        <v>13.3</v>
      </c>
    </row>
    <row r="155" spans="1:2" x14ac:dyDescent="0.3">
      <c r="A155" s="55">
        <v>46026.166666666664</v>
      </c>
      <c r="B155" s="56">
        <v>13.4</v>
      </c>
    </row>
    <row r="156" spans="1:2" x14ac:dyDescent="0.3">
      <c r="A156" s="55">
        <v>46026.1875</v>
      </c>
      <c r="B156" s="56">
        <v>13.4</v>
      </c>
    </row>
    <row r="157" spans="1:2" x14ac:dyDescent="0.3">
      <c r="A157" s="55">
        <v>46026.208333333336</v>
      </c>
      <c r="B157" s="56">
        <v>13.3</v>
      </c>
    </row>
    <row r="158" spans="1:2" x14ac:dyDescent="0.3">
      <c r="A158" s="55">
        <v>46026.229166666664</v>
      </c>
      <c r="B158" s="56">
        <v>13</v>
      </c>
    </row>
    <row r="159" spans="1:2" x14ac:dyDescent="0.3">
      <c r="A159" s="55">
        <v>46026.25</v>
      </c>
      <c r="B159" s="56">
        <v>13.1</v>
      </c>
    </row>
    <row r="160" spans="1:2" x14ac:dyDescent="0.3">
      <c r="A160" s="55">
        <v>46026.270833333336</v>
      </c>
      <c r="B160" s="56">
        <v>13</v>
      </c>
    </row>
    <row r="161" spans="1:2" x14ac:dyDescent="0.3">
      <c r="A161" s="55">
        <v>46026.291666666664</v>
      </c>
      <c r="B161" s="56">
        <v>13.1</v>
      </c>
    </row>
    <row r="162" spans="1:2" x14ac:dyDescent="0.3">
      <c r="A162" s="55">
        <v>46026.3125</v>
      </c>
      <c r="B162" s="56">
        <v>13.1</v>
      </c>
    </row>
    <row r="163" spans="1:2" x14ac:dyDescent="0.3">
      <c r="A163" s="55">
        <v>46026.333333333336</v>
      </c>
      <c r="B163" s="56">
        <v>13.4</v>
      </c>
    </row>
    <row r="164" spans="1:2" x14ac:dyDescent="0.3">
      <c r="A164" s="55">
        <v>46026.354166666664</v>
      </c>
      <c r="B164" s="56">
        <v>13.7</v>
      </c>
    </row>
    <row r="165" spans="1:2" x14ac:dyDescent="0.3">
      <c r="A165" s="55">
        <v>46026.375</v>
      </c>
      <c r="B165" s="56">
        <v>13.7</v>
      </c>
    </row>
    <row r="166" spans="1:2" x14ac:dyDescent="0.3">
      <c r="A166" s="55">
        <v>46026.395833333336</v>
      </c>
      <c r="B166" s="56">
        <v>13.7</v>
      </c>
    </row>
    <row r="167" spans="1:2" x14ac:dyDescent="0.3">
      <c r="A167" s="55">
        <v>46026.416666666664</v>
      </c>
      <c r="B167" s="56">
        <v>13.9</v>
      </c>
    </row>
    <row r="168" spans="1:2" x14ac:dyDescent="0.3">
      <c r="A168" s="55">
        <v>46026.4375</v>
      </c>
      <c r="B168" s="56">
        <v>13.8</v>
      </c>
    </row>
    <row r="169" spans="1:2" x14ac:dyDescent="0.3">
      <c r="A169" s="55">
        <v>46026.458333333336</v>
      </c>
      <c r="B169" s="56">
        <v>14.5</v>
      </c>
    </row>
    <row r="170" spans="1:2" x14ac:dyDescent="0.3">
      <c r="A170" s="55">
        <v>46026.479166666664</v>
      </c>
      <c r="B170" s="56">
        <v>14.6</v>
      </c>
    </row>
    <row r="171" spans="1:2" x14ac:dyDescent="0.3">
      <c r="A171" s="55">
        <v>46026.5</v>
      </c>
      <c r="B171" s="56">
        <v>14.2</v>
      </c>
    </row>
    <row r="172" spans="1:2" x14ac:dyDescent="0.3">
      <c r="A172" s="55">
        <v>46026.520833333336</v>
      </c>
      <c r="B172" s="56">
        <v>14</v>
      </c>
    </row>
    <row r="173" spans="1:2" x14ac:dyDescent="0.3">
      <c r="A173" s="55">
        <v>46026.541666666664</v>
      </c>
      <c r="B173" s="56">
        <v>13.8</v>
      </c>
    </row>
    <row r="174" spans="1:2" x14ac:dyDescent="0.3">
      <c r="A174" s="55">
        <v>46026.5625</v>
      </c>
      <c r="B174" s="56">
        <v>13.7</v>
      </c>
    </row>
    <row r="175" spans="1:2" x14ac:dyDescent="0.3">
      <c r="A175" s="55">
        <v>46026.583333333336</v>
      </c>
      <c r="B175" s="56">
        <v>13.6</v>
      </c>
    </row>
    <row r="176" spans="1:2" x14ac:dyDescent="0.3">
      <c r="A176" s="55">
        <v>46026.604166666664</v>
      </c>
      <c r="B176" s="56">
        <v>13.3</v>
      </c>
    </row>
    <row r="177" spans="1:2" x14ac:dyDescent="0.3">
      <c r="A177" s="55">
        <v>46026.625</v>
      </c>
      <c r="B177" s="56">
        <v>13.2</v>
      </c>
    </row>
    <row r="178" spans="1:2" x14ac:dyDescent="0.3">
      <c r="A178" s="55">
        <v>46026.645833333336</v>
      </c>
      <c r="B178" s="56">
        <v>13.1</v>
      </c>
    </row>
    <row r="179" spans="1:2" x14ac:dyDescent="0.3">
      <c r="A179" s="55">
        <v>46026.666666666664</v>
      </c>
      <c r="B179" s="56">
        <v>13.1</v>
      </c>
    </row>
    <row r="180" spans="1:2" x14ac:dyDescent="0.3">
      <c r="A180" s="55">
        <v>46026.6875</v>
      </c>
      <c r="B180" s="56">
        <v>13</v>
      </c>
    </row>
    <row r="181" spans="1:2" x14ac:dyDescent="0.3">
      <c r="A181" s="55">
        <v>46026.708333333336</v>
      </c>
      <c r="B181" s="56">
        <v>12.8</v>
      </c>
    </row>
    <row r="182" spans="1:2" x14ac:dyDescent="0.3">
      <c r="A182" s="55">
        <v>46026.729166666664</v>
      </c>
      <c r="B182" s="56">
        <v>12.8</v>
      </c>
    </row>
    <row r="183" spans="1:2" x14ac:dyDescent="0.3">
      <c r="A183" s="55">
        <v>46026.75</v>
      </c>
      <c r="B183" s="56">
        <v>12.7</v>
      </c>
    </row>
    <row r="184" spans="1:2" x14ac:dyDescent="0.3">
      <c r="A184" s="55">
        <v>46026.770833333336</v>
      </c>
      <c r="B184" s="56">
        <v>12.7</v>
      </c>
    </row>
    <row r="185" spans="1:2" x14ac:dyDescent="0.3">
      <c r="A185" s="55">
        <v>46026.791666666664</v>
      </c>
      <c r="B185" s="56">
        <v>12.8</v>
      </c>
    </row>
    <row r="186" spans="1:2" x14ac:dyDescent="0.3">
      <c r="A186" s="55">
        <v>46026.8125</v>
      </c>
      <c r="B186" s="56">
        <v>12.8</v>
      </c>
    </row>
    <row r="187" spans="1:2" x14ac:dyDescent="0.3">
      <c r="A187" s="55">
        <v>46026.833333333336</v>
      </c>
      <c r="B187" s="56">
        <v>12.8</v>
      </c>
    </row>
    <row r="188" spans="1:2" x14ac:dyDescent="0.3">
      <c r="A188" s="55">
        <v>46026.854166666664</v>
      </c>
      <c r="B188" s="56">
        <v>12.6</v>
      </c>
    </row>
    <row r="189" spans="1:2" x14ac:dyDescent="0.3">
      <c r="A189" s="55">
        <v>46026.875</v>
      </c>
      <c r="B189" s="56">
        <v>12.7</v>
      </c>
    </row>
    <row r="190" spans="1:2" x14ac:dyDescent="0.3">
      <c r="A190" s="55">
        <v>46026.895833333336</v>
      </c>
      <c r="B190" s="56">
        <v>12.6</v>
      </c>
    </row>
    <row r="191" spans="1:2" x14ac:dyDescent="0.3">
      <c r="A191" s="55">
        <v>46026.916666666664</v>
      </c>
      <c r="B191" s="56">
        <v>12.1</v>
      </c>
    </row>
    <row r="192" spans="1:2" x14ac:dyDescent="0.3">
      <c r="A192" s="55">
        <v>46026.9375</v>
      </c>
      <c r="B192" s="56">
        <v>11.9</v>
      </c>
    </row>
    <row r="193" spans="1:2" x14ac:dyDescent="0.3">
      <c r="A193" s="55">
        <v>46026.958333333336</v>
      </c>
      <c r="B193" s="56">
        <v>11.2</v>
      </c>
    </row>
    <row r="194" spans="1:2" x14ac:dyDescent="0.3">
      <c r="A194" s="55">
        <v>46026.979166666664</v>
      </c>
      <c r="B194" s="56">
        <v>10.8</v>
      </c>
    </row>
    <row r="195" spans="1:2" x14ac:dyDescent="0.3">
      <c r="A195" s="55">
        <v>46027</v>
      </c>
      <c r="B195" s="56">
        <v>10.7</v>
      </c>
    </row>
    <row r="196" spans="1:2" x14ac:dyDescent="0.3">
      <c r="A196" s="55">
        <v>46027.020833333336</v>
      </c>
      <c r="B196" s="56">
        <v>10.4</v>
      </c>
    </row>
    <row r="197" spans="1:2" x14ac:dyDescent="0.3">
      <c r="A197" s="55">
        <v>46027.041666666664</v>
      </c>
      <c r="B197" s="56">
        <v>10.6</v>
      </c>
    </row>
    <row r="198" spans="1:2" x14ac:dyDescent="0.3">
      <c r="A198" s="55">
        <v>46027.0625</v>
      </c>
      <c r="B198" s="56">
        <v>10.8</v>
      </c>
    </row>
    <row r="199" spans="1:2" x14ac:dyDescent="0.3">
      <c r="A199" s="55">
        <v>46027.083333333336</v>
      </c>
      <c r="B199" s="56">
        <v>10.4</v>
      </c>
    </row>
    <row r="200" spans="1:2" x14ac:dyDescent="0.3">
      <c r="A200" s="55">
        <v>46027.104166666664</v>
      </c>
      <c r="B200" s="56">
        <v>10</v>
      </c>
    </row>
    <row r="201" spans="1:2" x14ac:dyDescent="0.3">
      <c r="A201" s="55">
        <v>46027.125</v>
      </c>
      <c r="B201" s="56">
        <v>10</v>
      </c>
    </row>
    <row r="202" spans="1:2" x14ac:dyDescent="0.3">
      <c r="A202" s="55">
        <v>46027.145833333336</v>
      </c>
      <c r="B202" s="56">
        <v>10</v>
      </c>
    </row>
    <row r="203" spans="1:2" x14ac:dyDescent="0.3">
      <c r="A203" s="55">
        <v>46027.166666666664</v>
      </c>
      <c r="B203" s="56">
        <v>9.6999999999999993</v>
      </c>
    </row>
    <row r="204" spans="1:2" x14ac:dyDescent="0.3">
      <c r="A204" s="55">
        <v>46027.1875</v>
      </c>
      <c r="B204" s="56">
        <v>9.6999999999999993</v>
      </c>
    </row>
    <row r="205" spans="1:2" x14ac:dyDescent="0.3">
      <c r="A205" s="55">
        <v>46027.208333333336</v>
      </c>
      <c r="B205" s="56">
        <v>9.6999999999999993</v>
      </c>
    </row>
    <row r="206" spans="1:2" x14ac:dyDescent="0.3">
      <c r="A206" s="55">
        <v>46027.229166666664</v>
      </c>
      <c r="B206" s="56">
        <v>10.5</v>
      </c>
    </row>
    <row r="207" spans="1:2" x14ac:dyDescent="0.3">
      <c r="A207" s="55">
        <v>46027.25</v>
      </c>
      <c r="B207" s="56">
        <v>9.9</v>
      </c>
    </row>
    <row r="208" spans="1:2" x14ac:dyDescent="0.3">
      <c r="A208" s="55">
        <v>46027.270833333336</v>
      </c>
      <c r="B208" s="56">
        <v>10</v>
      </c>
    </row>
    <row r="209" spans="1:2" x14ac:dyDescent="0.3">
      <c r="A209" s="55">
        <v>46027.291666666664</v>
      </c>
      <c r="B209" s="56">
        <v>9.5</v>
      </c>
    </row>
    <row r="210" spans="1:2" x14ac:dyDescent="0.3">
      <c r="A210" s="55">
        <v>46027.3125</v>
      </c>
      <c r="B210" s="56">
        <v>9.5</v>
      </c>
    </row>
    <row r="211" spans="1:2" x14ac:dyDescent="0.3">
      <c r="A211" s="55">
        <v>46027.333333333336</v>
      </c>
      <c r="B211" s="56">
        <v>9.4</v>
      </c>
    </row>
    <row r="212" spans="1:2" x14ac:dyDescent="0.3">
      <c r="A212" s="55">
        <v>46027.354166666664</v>
      </c>
      <c r="B212" s="56">
        <v>9.4</v>
      </c>
    </row>
    <row r="213" spans="1:2" x14ac:dyDescent="0.3">
      <c r="A213" s="55">
        <v>46027.375</v>
      </c>
      <c r="B213" s="56">
        <v>9.6999999999999993</v>
      </c>
    </row>
    <row r="214" spans="1:2" x14ac:dyDescent="0.3">
      <c r="A214" s="55">
        <v>46027.395833333336</v>
      </c>
      <c r="B214" s="56">
        <v>10.9</v>
      </c>
    </row>
    <row r="215" spans="1:2" x14ac:dyDescent="0.3">
      <c r="A215" s="55">
        <v>46027.416666666664</v>
      </c>
      <c r="B215" s="56">
        <v>10.199999999999999</v>
      </c>
    </row>
    <row r="216" spans="1:2" x14ac:dyDescent="0.3">
      <c r="A216" s="55">
        <v>46027.4375</v>
      </c>
      <c r="B216" s="56">
        <v>10.4</v>
      </c>
    </row>
    <row r="217" spans="1:2" x14ac:dyDescent="0.3">
      <c r="A217" s="55">
        <v>46027.458333333336</v>
      </c>
      <c r="B217" s="56">
        <v>9.8000000000000007</v>
      </c>
    </row>
    <row r="218" spans="1:2" x14ac:dyDescent="0.3">
      <c r="A218" s="55">
        <v>46027.479166666664</v>
      </c>
      <c r="B218" s="56">
        <v>10.7</v>
      </c>
    </row>
    <row r="219" spans="1:2" x14ac:dyDescent="0.3">
      <c r="A219" s="55">
        <v>46027.5</v>
      </c>
      <c r="B219" s="56">
        <v>11.1</v>
      </c>
    </row>
    <row r="220" spans="1:2" x14ac:dyDescent="0.3">
      <c r="A220" s="55">
        <v>46027.520833333336</v>
      </c>
      <c r="B220" s="56">
        <v>11.6</v>
      </c>
    </row>
    <row r="221" spans="1:2" x14ac:dyDescent="0.3">
      <c r="A221" s="55">
        <v>46027.541666666664</v>
      </c>
      <c r="B221" s="56">
        <v>11.8</v>
      </c>
    </row>
    <row r="222" spans="1:2" x14ac:dyDescent="0.3">
      <c r="A222" s="55">
        <v>46027.5625</v>
      </c>
      <c r="B222" s="56">
        <v>11.9</v>
      </c>
    </row>
    <row r="223" spans="1:2" x14ac:dyDescent="0.3">
      <c r="A223" s="55">
        <v>46027.583333333336</v>
      </c>
      <c r="B223" s="56">
        <v>11.9</v>
      </c>
    </row>
    <row r="224" spans="1:2" x14ac:dyDescent="0.3">
      <c r="A224" s="55">
        <v>46027.604166666664</v>
      </c>
      <c r="B224" s="56">
        <v>11.9</v>
      </c>
    </row>
    <row r="225" spans="1:2" x14ac:dyDescent="0.3">
      <c r="A225" s="55">
        <v>46027.625</v>
      </c>
      <c r="B225" s="56">
        <v>12.2</v>
      </c>
    </row>
    <row r="226" spans="1:2" x14ac:dyDescent="0.3">
      <c r="A226" s="55">
        <v>46027.645833333336</v>
      </c>
      <c r="B226" s="56">
        <v>12</v>
      </c>
    </row>
    <row r="227" spans="1:2" x14ac:dyDescent="0.3">
      <c r="A227" s="55">
        <v>46027.666666666664</v>
      </c>
      <c r="B227" s="56">
        <v>11.3</v>
      </c>
    </row>
    <row r="228" spans="1:2" x14ac:dyDescent="0.3">
      <c r="A228" s="55">
        <v>46027.6875</v>
      </c>
      <c r="B228" s="56">
        <v>11.3</v>
      </c>
    </row>
    <row r="229" spans="1:2" x14ac:dyDescent="0.3">
      <c r="A229" s="55">
        <v>46027.708333333336</v>
      </c>
      <c r="B229" s="56">
        <v>11.5</v>
      </c>
    </row>
    <row r="230" spans="1:2" x14ac:dyDescent="0.3">
      <c r="A230" s="55">
        <v>46027.729166666664</v>
      </c>
      <c r="B230" s="56">
        <v>11.1</v>
      </c>
    </row>
    <row r="231" spans="1:2" x14ac:dyDescent="0.3">
      <c r="A231" s="55">
        <v>46027.75</v>
      </c>
      <c r="B231" s="56">
        <v>11.1</v>
      </c>
    </row>
    <row r="232" spans="1:2" x14ac:dyDescent="0.3">
      <c r="A232" s="55">
        <v>46027.770833333336</v>
      </c>
      <c r="B232" s="56">
        <v>11</v>
      </c>
    </row>
    <row r="233" spans="1:2" x14ac:dyDescent="0.3">
      <c r="A233" s="55">
        <v>46027.791666666664</v>
      </c>
      <c r="B233" s="56">
        <v>10.7</v>
      </c>
    </row>
    <row r="234" spans="1:2" x14ac:dyDescent="0.3">
      <c r="A234" s="55">
        <v>46027.8125</v>
      </c>
      <c r="B234" s="56">
        <v>10.6</v>
      </c>
    </row>
    <row r="235" spans="1:2" x14ac:dyDescent="0.3">
      <c r="A235" s="55">
        <v>46027.833333333336</v>
      </c>
      <c r="B235" s="56">
        <v>10.199999999999999</v>
      </c>
    </row>
    <row r="236" spans="1:2" x14ac:dyDescent="0.3">
      <c r="A236" s="55">
        <v>46027.854166666664</v>
      </c>
      <c r="B236" s="56">
        <v>9.9</v>
      </c>
    </row>
    <row r="237" spans="1:2" x14ac:dyDescent="0.3">
      <c r="A237" s="55">
        <v>46027.875</v>
      </c>
      <c r="B237" s="56">
        <v>9.9</v>
      </c>
    </row>
    <row r="238" spans="1:2" x14ac:dyDescent="0.3">
      <c r="A238" s="55">
        <v>46027.895833333336</v>
      </c>
      <c r="B238" s="56">
        <v>9.8000000000000007</v>
      </c>
    </row>
    <row r="239" spans="1:2" x14ac:dyDescent="0.3">
      <c r="A239" s="55">
        <v>46027.916666666664</v>
      </c>
      <c r="B239" s="56">
        <v>9.6999999999999993</v>
      </c>
    </row>
    <row r="240" spans="1:2" x14ac:dyDescent="0.3">
      <c r="A240" s="55">
        <v>46027.9375</v>
      </c>
      <c r="B240" s="56">
        <v>9.6999999999999993</v>
      </c>
    </row>
    <row r="241" spans="1:2" x14ac:dyDescent="0.3">
      <c r="A241" s="55">
        <v>46027.958333333336</v>
      </c>
      <c r="B241" s="56">
        <v>9.5</v>
      </c>
    </row>
    <row r="242" spans="1:2" x14ac:dyDescent="0.3">
      <c r="A242" s="55">
        <v>46027.979166666664</v>
      </c>
      <c r="B242" s="56">
        <v>9.1</v>
      </c>
    </row>
    <row r="243" spans="1:2" x14ac:dyDescent="0.3">
      <c r="A243" s="55">
        <v>46028</v>
      </c>
      <c r="B243" s="56">
        <v>9.1</v>
      </c>
    </row>
    <row r="244" spans="1:2" x14ac:dyDescent="0.3">
      <c r="A244" s="55">
        <v>46028.020833333336</v>
      </c>
      <c r="B244" s="56">
        <v>9</v>
      </c>
    </row>
    <row r="245" spans="1:2" x14ac:dyDescent="0.3">
      <c r="A245" s="55">
        <v>46028.041666666664</v>
      </c>
      <c r="B245" s="56">
        <v>8.9</v>
      </c>
    </row>
    <row r="246" spans="1:2" x14ac:dyDescent="0.3">
      <c r="A246" s="55">
        <v>46028.0625</v>
      </c>
      <c r="B246" s="56">
        <v>8.8000000000000007</v>
      </c>
    </row>
    <row r="247" spans="1:2" x14ac:dyDescent="0.3">
      <c r="A247" s="55">
        <v>46028.083333333336</v>
      </c>
      <c r="B247" s="56">
        <v>8.6999999999999993</v>
      </c>
    </row>
    <row r="248" spans="1:2" x14ac:dyDescent="0.3">
      <c r="A248" s="55">
        <v>46028.104166666664</v>
      </c>
      <c r="B248" s="56">
        <v>8.6</v>
      </c>
    </row>
    <row r="249" spans="1:2" x14ac:dyDescent="0.3">
      <c r="A249" s="55">
        <v>46028.125</v>
      </c>
      <c r="B249" s="56">
        <v>8.6</v>
      </c>
    </row>
    <row r="250" spans="1:2" x14ac:dyDescent="0.3">
      <c r="A250" s="55">
        <v>46028.145833333336</v>
      </c>
      <c r="B250" s="56">
        <v>8.6</v>
      </c>
    </row>
    <row r="251" spans="1:2" x14ac:dyDescent="0.3">
      <c r="A251" s="55">
        <v>46028.166666666664</v>
      </c>
      <c r="B251" s="56">
        <v>8.6999999999999993</v>
      </c>
    </row>
    <row r="252" spans="1:2" x14ac:dyDescent="0.3">
      <c r="A252" s="55">
        <v>46028.1875</v>
      </c>
      <c r="B252" s="56">
        <v>8.6999999999999993</v>
      </c>
    </row>
    <row r="253" spans="1:2" x14ac:dyDescent="0.3">
      <c r="A253" s="55">
        <v>46028.208333333336</v>
      </c>
      <c r="B253" s="56">
        <v>8.9</v>
      </c>
    </row>
    <row r="254" spans="1:2" x14ac:dyDescent="0.3">
      <c r="A254" s="55">
        <v>46028.229166666664</v>
      </c>
      <c r="B254" s="56">
        <v>9.6</v>
      </c>
    </row>
    <row r="255" spans="1:2" x14ac:dyDescent="0.3">
      <c r="A255" s="55">
        <v>46028.25</v>
      </c>
      <c r="B255" s="56">
        <v>9</v>
      </c>
    </row>
    <row r="256" spans="1:2" x14ac:dyDescent="0.3">
      <c r="A256" s="55">
        <v>46028.270833333336</v>
      </c>
      <c r="B256" s="56">
        <v>8.6999999999999993</v>
      </c>
    </row>
    <row r="257" spans="1:2" x14ac:dyDescent="0.3">
      <c r="A257" s="55">
        <v>46028.291666666664</v>
      </c>
      <c r="B257" s="56">
        <v>8.4</v>
      </c>
    </row>
    <row r="258" spans="1:2" x14ac:dyDescent="0.3">
      <c r="A258" s="55">
        <v>46028.3125</v>
      </c>
      <c r="B258" s="56">
        <v>8.5</v>
      </c>
    </row>
    <row r="259" spans="1:2" x14ac:dyDescent="0.3">
      <c r="A259" s="55">
        <v>46028.333333333336</v>
      </c>
      <c r="B259" s="56">
        <v>8.9</v>
      </c>
    </row>
    <row r="260" spans="1:2" x14ac:dyDescent="0.3">
      <c r="A260" s="55">
        <v>46028.354166666664</v>
      </c>
      <c r="B260" s="56">
        <v>9.4</v>
      </c>
    </row>
    <row r="261" spans="1:2" x14ac:dyDescent="0.3">
      <c r="A261" s="55">
        <v>46028.375</v>
      </c>
      <c r="B261" s="56">
        <v>9.6999999999999993</v>
      </c>
    </row>
    <row r="262" spans="1:2" x14ac:dyDescent="0.3">
      <c r="A262" s="55">
        <v>46028.395833333336</v>
      </c>
      <c r="B262" s="56">
        <v>9.5</v>
      </c>
    </row>
    <row r="263" spans="1:2" x14ac:dyDescent="0.3">
      <c r="A263" s="55">
        <v>46028.416666666664</v>
      </c>
      <c r="B263" s="56">
        <v>10.5</v>
      </c>
    </row>
    <row r="264" spans="1:2" x14ac:dyDescent="0.3">
      <c r="A264" s="55">
        <v>46028.4375</v>
      </c>
      <c r="B264" s="56">
        <v>11.1</v>
      </c>
    </row>
    <row r="265" spans="1:2" x14ac:dyDescent="0.3">
      <c r="A265" s="55">
        <v>46028.458333333336</v>
      </c>
      <c r="B265" s="56">
        <v>11.4</v>
      </c>
    </row>
    <row r="266" spans="1:2" x14ac:dyDescent="0.3">
      <c r="A266" s="55">
        <v>46028.479166666664</v>
      </c>
      <c r="B266" s="56">
        <v>11.3</v>
      </c>
    </row>
    <row r="267" spans="1:2" x14ac:dyDescent="0.3">
      <c r="A267" s="55">
        <v>46028.5</v>
      </c>
      <c r="B267" s="56">
        <v>10.3</v>
      </c>
    </row>
    <row r="268" spans="1:2" x14ac:dyDescent="0.3">
      <c r="A268" s="55">
        <v>46028.520833333336</v>
      </c>
      <c r="B268" s="56">
        <v>9.6999999999999993</v>
      </c>
    </row>
    <row r="269" spans="1:2" x14ac:dyDescent="0.3">
      <c r="A269" s="55">
        <v>46028.541666666664</v>
      </c>
      <c r="B269" s="56">
        <v>9.4</v>
      </c>
    </row>
    <row r="270" spans="1:2" x14ac:dyDescent="0.3">
      <c r="A270" s="55">
        <v>46028.5625</v>
      </c>
      <c r="B270" s="56">
        <v>9.1</v>
      </c>
    </row>
    <row r="271" spans="1:2" x14ac:dyDescent="0.3">
      <c r="A271" s="55">
        <v>46028.583333333336</v>
      </c>
      <c r="B271" s="56">
        <v>8.1999999999999993</v>
      </c>
    </row>
    <row r="272" spans="1:2" x14ac:dyDescent="0.3">
      <c r="A272" s="55">
        <v>46028.604166666664</v>
      </c>
      <c r="B272" s="56">
        <v>7.3</v>
      </c>
    </row>
    <row r="273" spans="1:2" x14ac:dyDescent="0.3">
      <c r="A273" s="55">
        <v>46028.625</v>
      </c>
      <c r="B273" s="56">
        <v>7.1</v>
      </c>
    </row>
    <row r="274" spans="1:2" x14ac:dyDescent="0.3">
      <c r="A274" s="55">
        <v>46028.645833333336</v>
      </c>
      <c r="B274" s="56">
        <v>7</v>
      </c>
    </row>
    <row r="275" spans="1:2" x14ac:dyDescent="0.3">
      <c r="A275" s="55">
        <v>46028.666666666664</v>
      </c>
      <c r="B275" s="56">
        <v>6.9</v>
      </c>
    </row>
    <row r="276" spans="1:2" x14ac:dyDescent="0.3">
      <c r="A276" s="55">
        <v>46028.6875</v>
      </c>
      <c r="B276" s="56">
        <v>6.8</v>
      </c>
    </row>
    <row r="277" spans="1:2" x14ac:dyDescent="0.3">
      <c r="A277" s="55">
        <v>46028.708333333336</v>
      </c>
      <c r="B277" s="56">
        <v>6.6</v>
      </c>
    </row>
    <row r="278" spans="1:2" x14ac:dyDescent="0.3">
      <c r="A278" s="55">
        <v>46028.729166666664</v>
      </c>
      <c r="B278" s="56">
        <v>6.7</v>
      </c>
    </row>
    <row r="279" spans="1:2" x14ac:dyDescent="0.3">
      <c r="A279" s="55">
        <v>46028.75</v>
      </c>
      <c r="B279" s="56">
        <v>6.5</v>
      </c>
    </row>
    <row r="280" spans="1:2" x14ac:dyDescent="0.3">
      <c r="A280" s="55">
        <v>46028.770833333336</v>
      </c>
      <c r="B280" s="56">
        <v>6.5</v>
      </c>
    </row>
    <row r="281" spans="1:2" x14ac:dyDescent="0.3">
      <c r="A281" s="55">
        <v>46028.791666666664</v>
      </c>
      <c r="B281" s="56">
        <v>6.3</v>
      </c>
    </row>
    <row r="282" spans="1:2" x14ac:dyDescent="0.3">
      <c r="A282" s="55">
        <v>46028.8125</v>
      </c>
      <c r="B282" s="56">
        <v>6.1</v>
      </c>
    </row>
    <row r="283" spans="1:2" x14ac:dyDescent="0.3">
      <c r="A283" s="55">
        <v>46028.833333333336</v>
      </c>
      <c r="B283" s="56">
        <v>5.7</v>
      </c>
    </row>
    <row r="284" spans="1:2" x14ac:dyDescent="0.3">
      <c r="A284" s="55">
        <v>46028.854166666664</v>
      </c>
      <c r="B284" s="56">
        <v>5.6</v>
      </c>
    </row>
    <row r="285" spans="1:2" x14ac:dyDescent="0.3">
      <c r="A285" s="55">
        <v>46028.875</v>
      </c>
      <c r="B285" s="56">
        <v>5.4</v>
      </c>
    </row>
    <row r="286" spans="1:2" x14ac:dyDescent="0.3">
      <c r="A286" s="55">
        <v>46028.895833333336</v>
      </c>
      <c r="B286" s="56">
        <v>5.5</v>
      </c>
    </row>
    <row r="287" spans="1:2" x14ac:dyDescent="0.3">
      <c r="A287" s="55">
        <v>46028.916666666664</v>
      </c>
      <c r="B287" s="56">
        <v>5.5</v>
      </c>
    </row>
    <row r="288" spans="1:2" x14ac:dyDescent="0.3">
      <c r="A288" s="55">
        <v>46028.9375</v>
      </c>
      <c r="B288" s="56">
        <v>5.6</v>
      </c>
    </row>
    <row r="289" spans="1:2" x14ac:dyDescent="0.3">
      <c r="A289" s="55">
        <v>46028.958333333336</v>
      </c>
      <c r="B289" s="56">
        <v>5.4</v>
      </c>
    </row>
    <row r="290" spans="1:2" x14ac:dyDescent="0.3">
      <c r="A290" s="55">
        <v>46028.979166666664</v>
      </c>
      <c r="B290" s="56">
        <v>5.4</v>
      </c>
    </row>
    <row r="291" spans="1:2" x14ac:dyDescent="0.3">
      <c r="A291" s="55">
        <v>46029</v>
      </c>
      <c r="B291" s="56">
        <v>5.3</v>
      </c>
    </row>
    <row r="292" spans="1:2" x14ac:dyDescent="0.3">
      <c r="A292" s="55">
        <v>46029.020833333336</v>
      </c>
      <c r="B292" s="56">
        <v>5.4</v>
      </c>
    </row>
    <row r="293" spans="1:2" x14ac:dyDescent="0.3">
      <c r="A293" s="55">
        <v>46029.041666666664</v>
      </c>
      <c r="B293" s="56">
        <v>5.4</v>
      </c>
    </row>
    <row r="294" spans="1:2" x14ac:dyDescent="0.3">
      <c r="A294" s="55">
        <v>46029.0625</v>
      </c>
      <c r="B294" s="56">
        <v>5.4</v>
      </c>
    </row>
    <row r="295" spans="1:2" x14ac:dyDescent="0.3">
      <c r="A295" s="55">
        <v>46029.083333333336</v>
      </c>
      <c r="B295" s="56">
        <v>5.5</v>
      </c>
    </row>
    <row r="296" spans="1:2" x14ac:dyDescent="0.3">
      <c r="A296" s="55">
        <v>46029.104166666664</v>
      </c>
      <c r="B296" s="56">
        <v>5.4</v>
      </c>
    </row>
    <row r="297" spans="1:2" x14ac:dyDescent="0.3">
      <c r="A297" s="55">
        <v>46029.125</v>
      </c>
      <c r="B297" s="56">
        <v>5.2</v>
      </c>
    </row>
    <row r="298" spans="1:2" x14ac:dyDescent="0.3">
      <c r="A298" s="55">
        <v>46029.145833333336</v>
      </c>
      <c r="B298" s="56">
        <v>4.9000000000000004</v>
      </c>
    </row>
    <row r="299" spans="1:2" x14ac:dyDescent="0.3">
      <c r="A299" s="55">
        <v>46029.166666666664</v>
      </c>
      <c r="B299" s="56">
        <v>4.9000000000000004</v>
      </c>
    </row>
    <row r="300" spans="1:2" x14ac:dyDescent="0.3">
      <c r="A300" s="55">
        <v>46029.1875</v>
      </c>
      <c r="B300" s="56">
        <v>4.8</v>
      </c>
    </row>
    <row r="301" spans="1:2" x14ac:dyDescent="0.3">
      <c r="A301" s="55">
        <v>46029.208333333336</v>
      </c>
      <c r="B301" s="56">
        <v>4.7</v>
      </c>
    </row>
    <row r="302" spans="1:2" x14ac:dyDescent="0.3">
      <c r="A302" s="55">
        <v>46029.229166666664</v>
      </c>
      <c r="B302" s="56">
        <v>4.7</v>
      </c>
    </row>
    <row r="303" spans="1:2" x14ac:dyDescent="0.3">
      <c r="A303" s="55">
        <v>46029.25</v>
      </c>
      <c r="B303" s="56">
        <v>4.7</v>
      </c>
    </row>
    <row r="304" spans="1:2" x14ac:dyDescent="0.3">
      <c r="A304" s="55">
        <v>46029.270833333336</v>
      </c>
      <c r="B304" s="56">
        <v>4.5999999999999996</v>
      </c>
    </row>
    <row r="305" spans="1:2" x14ac:dyDescent="0.3">
      <c r="A305" s="55">
        <v>46029.291666666664</v>
      </c>
      <c r="B305" s="56">
        <v>4.5</v>
      </c>
    </row>
    <row r="306" spans="1:2" x14ac:dyDescent="0.3">
      <c r="A306" s="55">
        <v>46029.3125</v>
      </c>
      <c r="B306" s="56">
        <v>4.4000000000000004</v>
      </c>
    </row>
    <row r="307" spans="1:2" x14ac:dyDescent="0.3">
      <c r="A307" s="55">
        <v>46029.333333333336</v>
      </c>
      <c r="B307" s="56">
        <v>4.4000000000000004</v>
      </c>
    </row>
    <row r="308" spans="1:2" x14ac:dyDescent="0.3">
      <c r="A308" s="55">
        <v>46029.354166666664</v>
      </c>
      <c r="B308" s="56">
        <v>4.8</v>
      </c>
    </row>
    <row r="309" spans="1:2" x14ac:dyDescent="0.3">
      <c r="A309" s="55">
        <v>46029.375</v>
      </c>
      <c r="B309" s="56">
        <v>5.3</v>
      </c>
    </row>
    <row r="310" spans="1:2" x14ac:dyDescent="0.3">
      <c r="A310" s="55">
        <v>46029.395833333336</v>
      </c>
      <c r="B310" s="56">
        <v>5.6</v>
      </c>
    </row>
    <row r="311" spans="1:2" x14ac:dyDescent="0.3">
      <c r="A311" s="55">
        <v>46029.416666666664</v>
      </c>
      <c r="B311" s="56">
        <v>5.9</v>
      </c>
    </row>
    <row r="312" spans="1:2" x14ac:dyDescent="0.3">
      <c r="A312" s="55">
        <v>46029.4375</v>
      </c>
      <c r="B312" s="56">
        <v>6</v>
      </c>
    </row>
    <row r="313" spans="1:2" x14ac:dyDescent="0.3">
      <c r="A313" s="55">
        <v>46029.458333333336</v>
      </c>
      <c r="B313" s="56">
        <v>6.6</v>
      </c>
    </row>
    <row r="314" spans="1:2" x14ac:dyDescent="0.3">
      <c r="A314" s="55">
        <v>46029.479166666664</v>
      </c>
      <c r="B314" s="56">
        <v>6.9</v>
      </c>
    </row>
    <row r="315" spans="1:2" x14ac:dyDescent="0.3">
      <c r="A315" s="55">
        <v>46029.5</v>
      </c>
      <c r="B315" s="56">
        <v>7.3</v>
      </c>
    </row>
    <row r="316" spans="1:2" x14ac:dyDescent="0.3">
      <c r="A316" s="55">
        <v>46029.520833333336</v>
      </c>
      <c r="B316" s="56">
        <v>7.4</v>
      </c>
    </row>
    <row r="317" spans="1:2" x14ac:dyDescent="0.3">
      <c r="A317" s="55">
        <v>46029.541666666664</v>
      </c>
      <c r="B317" s="56">
        <v>7.5</v>
      </c>
    </row>
    <row r="318" spans="1:2" x14ac:dyDescent="0.3">
      <c r="A318" s="55">
        <v>46029.5625</v>
      </c>
      <c r="B318" s="56">
        <v>7.4</v>
      </c>
    </row>
    <row r="319" spans="1:2" x14ac:dyDescent="0.3">
      <c r="A319" s="55">
        <v>46029.583333333336</v>
      </c>
      <c r="B319" s="56">
        <v>7.5</v>
      </c>
    </row>
    <row r="320" spans="1:2" x14ac:dyDescent="0.3">
      <c r="A320" s="55">
        <v>46029.604166666664</v>
      </c>
      <c r="B320" s="56">
        <v>7.1</v>
      </c>
    </row>
    <row r="321" spans="1:2" x14ac:dyDescent="0.3">
      <c r="A321" s="55">
        <v>46029.625</v>
      </c>
      <c r="B321" s="56">
        <v>7</v>
      </c>
    </row>
    <row r="322" spans="1:2" x14ac:dyDescent="0.3">
      <c r="A322" s="55">
        <v>46029.645833333336</v>
      </c>
      <c r="B322" s="56">
        <v>6.5</v>
      </c>
    </row>
    <row r="323" spans="1:2" x14ac:dyDescent="0.3">
      <c r="A323" s="55">
        <v>46029.666666666664</v>
      </c>
      <c r="B323" s="56">
        <v>6</v>
      </c>
    </row>
    <row r="324" spans="1:2" x14ac:dyDescent="0.3">
      <c r="A324" s="55">
        <v>46029.6875</v>
      </c>
      <c r="B324" s="56">
        <v>5.7</v>
      </c>
    </row>
    <row r="325" spans="1:2" x14ac:dyDescent="0.3">
      <c r="A325" s="55">
        <v>46029.708333333336</v>
      </c>
      <c r="B325" s="56">
        <v>5.2</v>
      </c>
    </row>
    <row r="326" spans="1:2" x14ac:dyDescent="0.3">
      <c r="A326" s="55">
        <v>46029.729166666664</v>
      </c>
      <c r="B326" s="56">
        <v>4.7</v>
      </c>
    </row>
    <row r="327" spans="1:2" x14ac:dyDescent="0.3">
      <c r="A327" s="55">
        <v>46029.75</v>
      </c>
      <c r="B327" s="56">
        <v>4.4000000000000004</v>
      </c>
    </row>
    <row r="328" spans="1:2" x14ac:dyDescent="0.3">
      <c r="A328" s="55">
        <v>46029.770833333336</v>
      </c>
      <c r="B328" s="56">
        <v>4.3</v>
      </c>
    </row>
    <row r="329" spans="1:2" x14ac:dyDescent="0.3">
      <c r="A329" s="55">
        <v>46029.791666666664</v>
      </c>
      <c r="B329" s="56">
        <v>4.2</v>
      </c>
    </row>
    <row r="330" spans="1:2" x14ac:dyDescent="0.3">
      <c r="A330" s="55">
        <v>46029.8125</v>
      </c>
      <c r="B330" s="56">
        <v>4</v>
      </c>
    </row>
    <row r="331" spans="1:2" x14ac:dyDescent="0.3">
      <c r="A331" s="55">
        <v>46029.833333333336</v>
      </c>
      <c r="B331" s="56">
        <v>4.0999999999999996</v>
      </c>
    </row>
    <row r="332" spans="1:2" x14ac:dyDescent="0.3">
      <c r="A332" s="55">
        <v>46029.854166666664</v>
      </c>
      <c r="B332" s="56">
        <v>4</v>
      </c>
    </row>
    <row r="333" spans="1:2" x14ac:dyDescent="0.3">
      <c r="A333" s="55">
        <v>46029.863356481481</v>
      </c>
      <c r="B333" s="56">
        <v>3.8</v>
      </c>
    </row>
    <row r="334" spans="1:2" x14ac:dyDescent="0.3">
      <c r="A334" s="55">
        <v>46029.875</v>
      </c>
      <c r="B334" s="56">
        <v>3.6</v>
      </c>
    </row>
    <row r="335" spans="1:2" x14ac:dyDescent="0.3">
      <c r="A335" s="55">
        <v>46029.895833333336</v>
      </c>
      <c r="B335" s="56">
        <v>3.4</v>
      </c>
    </row>
    <row r="336" spans="1:2" x14ac:dyDescent="0.3">
      <c r="A336" s="55">
        <v>46029.916666666664</v>
      </c>
      <c r="B336" s="56">
        <v>3.4</v>
      </c>
    </row>
    <row r="337" spans="1:2" x14ac:dyDescent="0.3">
      <c r="A337" s="55">
        <v>46029.9375</v>
      </c>
      <c r="B337" s="56">
        <v>3.4</v>
      </c>
    </row>
    <row r="338" spans="1:2" x14ac:dyDescent="0.3">
      <c r="A338" s="55">
        <v>46029.958333333336</v>
      </c>
      <c r="B338" s="56">
        <v>3.2</v>
      </c>
    </row>
    <row r="339" spans="1:2" x14ac:dyDescent="0.3">
      <c r="A339" s="55">
        <v>46029.979166666664</v>
      </c>
      <c r="B339" s="56">
        <v>2.9</v>
      </c>
    </row>
    <row r="340" spans="1:2" x14ac:dyDescent="0.3">
      <c r="A340" s="55">
        <v>46030</v>
      </c>
      <c r="B340" s="56">
        <v>2.7</v>
      </c>
    </row>
    <row r="341" spans="1:2" x14ac:dyDescent="0.3">
      <c r="A341" s="55">
        <v>46030.020833333336</v>
      </c>
      <c r="B341" s="56">
        <v>2.4</v>
      </c>
    </row>
    <row r="342" spans="1:2" x14ac:dyDescent="0.3">
      <c r="A342" s="55">
        <v>46030.041666666664</v>
      </c>
      <c r="B342" s="56">
        <v>2.2000000000000002</v>
      </c>
    </row>
    <row r="343" spans="1:2" x14ac:dyDescent="0.3">
      <c r="A343" s="55">
        <v>46030.0625</v>
      </c>
      <c r="B343" s="56">
        <v>2</v>
      </c>
    </row>
    <row r="344" spans="1:2" x14ac:dyDescent="0.3">
      <c r="A344" s="55">
        <v>46030.083333333336</v>
      </c>
      <c r="B344" s="56">
        <v>1.7</v>
      </c>
    </row>
    <row r="345" spans="1:2" x14ac:dyDescent="0.3">
      <c r="A345" s="55">
        <v>46030.104166666664</v>
      </c>
      <c r="B345" s="56">
        <v>1.4</v>
      </c>
    </row>
    <row r="346" spans="1:2" x14ac:dyDescent="0.3">
      <c r="A346" s="55">
        <v>46030.125</v>
      </c>
      <c r="B346" s="56">
        <v>1.1000000000000001</v>
      </c>
    </row>
    <row r="347" spans="1:2" x14ac:dyDescent="0.3">
      <c r="A347" s="55">
        <v>46030.145833333336</v>
      </c>
      <c r="B347" s="56">
        <v>1.1000000000000001</v>
      </c>
    </row>
    <row r="348" spans="1:2" x14ac:dyDescent="0.3">
      <c r="A348" s="55">
        <v>46030.166666666664</v>
      </c>
      <c r="B348" s="56">
        <v>1.1000000000000001</v>
      </c>
    </row>
    <row r="349" spans="1:2" x14ac:dyDescent="0.3">
      <c r="A349" s="55">
        <v>46030.1875</v>
      </c>
      <c r="B349" s="56">
        <v>1.1000000000000001</v>
      </c>
    </row>
    <row r="350" spans="1:2" x14ac:dyDescent="0.3">
      <c r="A350" s="55">
        <v>46030.208333333336</v>
      </c>
      <c r="B350" s="56">
        <v>1.2</v>
      </c>
    </row>
    <row r="351" spans="1:2" x14ac:dyDescent="0.3">
      <c r="A351" s="55">
        <v>46030.229166666664</v>
      </c>
      <c r="B351" s="56">
        <v>0.8</v>
      </c>
    </row>
    <row r="352" spans="1:2" x14ac:dyDescent="0.3">
      <c r="A352" s="55">
        <v>46030.25</v>
      </c>
      <c r="B352" s="56">
        <v>1.2</v>
      </c>
    </row>
    <row r="353" spans="1:2" x14ac:dyDescent="0.3">
      <c r="A353" s="55">
        <v>46030.270833333336</v>
      </c>
      <c r="B353" s="56">
        <v>1.3</v>
      </c>
    </row>
    <row r="354" spans="1:2" x14ac:dyDescent="0.3">
      <c r="A354" s="55">
        <v>46030.291666666664</v>
      </c>
      <c r="B354" s="56">
        <v>1.2</v>
      </c>
    </row>
    <row r="355" spans="1:2" x14ac:dyDescent="0.3">
      <c r="A355" s="55">
        <v>46030.3125</v>
      </c>
      <c r="B355" s="56">
        <v>1.1000000000000001</v>
      </c>
    </row>
    <row r="356" spans="1:2" x14ac:dyDescent="0.3">
      <c r="A356" s="55">
        <v>46030.333333333336</v>
      </c>
      <c r="B356" s="56">
        <v>1.4</v>
      </c>
    </row>
    <row r="357" spans="1:2" x14ac:dyDescent="0.3">
      <c r="A357" s="55">
        <v>46030.354166666664</v>
      </c>
      <c r="B357" s="56">
        <v>2.1</v>
      </c>
    </row>
    <row r="358" spans="1:2" x14ac:dyDescent="0.3">
      <c r="A358" s="55">
        <v>46030.375</v>
      </c>
      <c r="B358" s="56">
        <v>2.1</v>
      </c>
    </row>
    <row r="359" spans="1:2" x14ac:dyDescent="0.3">
      <c r="A359" s="55">
        <v>46030.395833333336</v>
      </c>
      <c r="B359" s="56">
        <v>2.6</v>
      </c>
    </row>
    <row r="360" spans="1:2" x14ac:dyDescent="0.3">
      <c r="A360" s="55">
        <v>46030.416666666664</v>
      </c>
      <c r="B360" s="56">
        <v>2.9</v>
      </c>
    </row>
    <row r="361" spans="1:2" x14ac:dyDescent="0.3">
      <c r="A361" s="55">
        <v>46030.4375</v>
      </c>
      <c r="B361" s="56">
        <v>3</v>
      </c>
    </row>
    <row r="362" spans="1:2" x14ac:dyDescent="0.3">
      <c r="A362" s="55">
        <v>46030.458333333336</v>
      </c>
      <c r="B362" s="56">
        <v>3.5</v>
      </c>
    </row>
    <row r="363" spans="1:2" x14ac:dyDescent="0.3">
      <c r="A363" s="55">
        <v>46030.479166666664</v>
      </c>
      <c r="B363" s="56">
        <v>4.2</v>
      </c>
    </row>
    <row r="364" spans="1:2" x14ac:dyDescent="0.3">
      <c r="A364" s="55">
        <v>46030.5</v>
      </c>
      <c r="B364" s="56">
        <v>4.8</v>
      </c>
    </row>
    <row r="365" spans="1:2" x14ac:dyDescent="0.3">
      <c r="A365" s="55">
        <v>46030.520833333336</v>
      </c>
      <c r="B365" s="56">
        <v>5.4</v>
      </c>
    </row>
    <row r="366" spans="1:2" x14ac:dyDescent="0.3">
      <c r="A366" s="55">
        <v>46030.541666666664</v>
      </c>
      <c r="B366" s="56">
        <v>6.1</v>
      </c>
    </row>
    <row r="367" spans="1:2" x14ac:dyDescent="0.3">
      <c r="A367" s="55">
        <v>46030.5625</v>
      </c>
      <c r="B367" s="56">
        <v>6.7</v>
      </c>
    </row>
    <row r="368" spans="1:2" x14ac:dyDescent="0.3">
      <c r="A368" s="55">
        <v>46030.583333333336</v>
      </c>
      <c r="B368" s="56">
        <v>6.9</v>
      </c>
    </row>
    <row r="369" spans="1:2" x14ac:dyDescent="0.3">
      <c r="A369" s="55">
        <v>46030.604166666664</v>
      </c>
      <c r="B369" s="56">
        <v>7.2</v>
      </c>
    </row>
    <row r="370" spans="1:2" x14ac:dyDescent="0.3">
      <c r="A370" s="55">
        <v>46030.625</v>
      </c>
      <c r="B370" s="56">
        <v>7.3</v>
      </c>
    </row>
    <row r="371" spans="1:2" x14ac:dyDescent="0.3">
      <c r="A371" s="55">
        <v>46030.645833333336</v>
      </c>
      <c r="B371" s="56">
        <v>7.1</v>
      </c>
    </row>
    <row r="372" spans="1:2" x14ac:dyDescent="0.3">
      <c r="A372" s="55">
        <v>46030.666666666664</v>
      </c>
      <c r="B372" s="56">
        <v>7.4</v>
      </c>
    </row>
    <row r="373" spans="1:2" x14ac:dyDescent="0.3">
      <c r="A373" s="55">
        <v>46030.6875</v>
      </c>
      <c r="B373" s="56">
        <v>7.3</v>
      </c>
    </row>
    <row r="374" spans="1:2" x14ac:dyDescent="0.3">
      <c r="A374" s="55">
        <v>46030.708333333336</v>
      </c>
      <c r="B374" s="56">
        <v>7.2</v>
      </c>
    </row>
    <row r="375" spans="1:2" x14ac:dyDescent="0.3">
      <c r="A375" s="55">
        <v>46030.729166666664</v>
      </c>
      <c r="B375" s="56">
        <v>7.3</v>
      </c>
    </row>
    <row r="376" spans="1:2" x14ac:dyDescent="0.3">
      <c r="A376" s="55">
        <v>46030.75</v>
      </c>
      <c r="B376" s="56">
        <v>7.4</v>
      </c>
    </row>
    <row r="377" spans="1:2" x14ac:dyDescent="0.3">
      <c r="A377" s="55">
        <v>46030.770833333336</v>
      </c>
      <c r="B377" s="56">
        <v>7.6</v>
      </c>
    </row>
    <row r="378" spans="1:2" x14ac:dyDescent="0.3">
      <c r="A378" s="55">
        <v>46030.791666666664</v>
      </c>
      <c r="B378" s="56">
        <v>7.6</v>
      </c>
    </row>
    <row r="379" spans="1:2" x14ac:dyDescent="0.3">
      <c r="A379" s="55">
        <v>46030.8125</v>
      </c>
      <c r="B379" s="56">
        <v>7.7</v>
      </c>
    </row>
    <row r="380" spans="1:2" x14ac:dyDescent="0.3">
      <c r="A380" s="55">
        <v>46030.833333333336</v>
      </c>
      <c r="B380" s="56">
        <v>7.5</v>
      </c>
    </row>
    <row r="381" spans="1:2" x14ac:dyDescent="0.3">
      <c r="A381" s="55">
        <v>46030.854166666664</v>
      </c>
      <c r="B381" s="56">
        <v>7.5</v>
      </c>
    </row>
    <row r="382" spans="1:2" x14ac:dyDescent="0.3">
      <c r="A382" s="55">
        <v>46030.875</v>
      </c>
      <c r="B382" s="56">
        <v>7.1</v>
      </c>
    </row>
    <row r="383" spans="1:2" x14ac:dyDescent="0.3">
      <c r="A383" s="55">
        <v>46030.895833333336</v>
      </c>
      <c r="B383" s="56">
        <v>7.5</v>
      </c>
    </row>
    <row r="384" spans="1:2" x14ac:dyDescent="0.3">
      <c r="A384" s="55">
        <v>46030.916666666664</v>
      </c>
      <c r="B384" s="56">
        <v>7.6</v>
      </c>
    </row>
    <row r="385" spans="1:2" x14ac:dyDescent="0.3">
      <c r="A385" s="55">
        <v>46030.9375</v>
      </c>
      <c r="B385" s="56">
        <v>7.2</v>
      </c>
    </row>
    <row r="386" spans="1:2" x14ac:dyDescent="0.3">
      <c r="A386" s="55">
        <v>46030.958333333336</v>
      </c>
      <c r="B386" s="56">
        <v>7</v>
      </c>
    </row>
    <row r="387" spans="1:2" x14ac:dyDescent="0.3">
      <c r="A387" s="55">
        <v>46030.979166666664</v>
      </c>
      <c r="B387" s="56">
        <v>7.1</v>
      </c>
    </row>
    <row r="388" spans="1:2" x14ac:dyDescent="0.3">
      <c r="A388" s="55">
        <v>46031</v>
      </c>
      <c r="B388" s="56">
        <v>7.4</v>
      </c>
    </row>
    <row r="389" spans="1:2" x14ac:dyDescent="0.3">
      <c r="A389" s="55">
        <v>46031.020833333336</v>
      </c>
      <c r="B389" s="56">
        <v>7.6</v>
      </c>
    </row>
    <row r="390" spans="1:2" x14ac:dyDescent="0.3">
      <c r="A390" s="55">
        <v>46031.041666666664</v>
      </c>
      <c r="B390" s="56">
        <v>7.7</v>
      </c>
    </row>
    <row r="391" spans="1:2" x14ac:dyDescent="0.3">
      <c r="A391" s="55">
        <v>46031.0625</v>
      </c>
      <c r="B391" s="56">
        <v>7.9</v>
      </c>
    </row>
    <row r="392" spans="1:2" x14ac:dyDescent="0.3">
      <c r="A392" s="55">
        <v>46031.083333333336</v>
      </c>
      <c r="B392" s="56">
        <v>8.1</v>
      </c>
    </row>
    <row r="393" spans="1:2" x14ac:dyDescent="0.3">
      <c r="A393" s="55">
        <v>46031.104166666664</v>
      </c>
      <c r="B393" s="56">
        <v>8.1999999999999993</v>
      </c>
    </row>
    <row r="394" spans="1:2" x14ac:dyDescent="0.3">
      <c r="A394" s="55">
        <v>46031.125</v>
      </c>
      <c r="B394" s="56">
        <v>8.6</v>
      </c>
    </row>
    <row r="395" spans="1:2" x14ac:dyDescent="0.3">
      <c r="A395" s="55">
        <v>46031.145833333336</v>
      </c>
      <c r="B395" s="56">
        <v>8.9</v>
      </c>
    </row>
    <row r="396" spans="1:2" x14ac:dyDescent="0.3">
      <c r="A396" s="55">
        <v>46031.166666666664</v>
      </c>
      <c r="B396" s="56">
        <v>9.1999999999999993</v>
      </c>
    </row>
    <row r="397" spans="1:2" x14ac:dyDescent="0.3">
      <c r="A397" s="55">
        <v>46031.1875</v>
      </c>
      <c r="B397" s="56">
        <v>8.6999999999999993</v>
      </c>
    </row>
    <row r="398" spans="1:2" x14ac:dyDescent="0.3">
      <c r="A398" s="55">
        <v>46031.208333333336</v>
      </c>
      <c r="B398" s="56">
        <v>8.6</v>
      </c>
    </row>
    <row r="399" spans="1:2" x14ac:dyDescent="0.3">
      <c r="A399" s="55">
        <v>46031.229166666664</v>
      </c>
      <c r="B399" s="56">
        <v>9.3000000000000007</v>
      </c>
    </row>
    <row r="400" spans="1:2" x14ac:dyDescent="0.3">
      <c r="A400" s="55">
        <v>46031.25</v>
      </c>
      <c r="B400" s="56">
        <v>10</v>
      </c>
    </row>
    <row r="401" spans="1:2" x14ac:dyDescent="0.3">
      <c r="A401" s="55">
        <v>46031.270833333336</v>
      </c>
      <c r="B401" s="56">
        <v>10.5</v>
      </c>
    </row>
    <row r="402" spans="1:2" x14ac:dyDescent="0.3">
      <c r="A402" s="55">
        <v>46031.291666666664</v>
      </c>
      <c r="B402" s="56">
        <v>10.9</v>
      </c>
    </row>
    <row r="403" spans="1:2" x14ac:dyDescent="0.3">
      <c r="A403" s="55">
        <v>46031.3125</v>
      </c>
      <c r="B403" s="56">
        <v>11.4</v>
      </c>
    </row>
    <row r="404" spans="1:2" x14ac:dyDescent="0.3">
      <c r="A404" s="55">
        <v>46031.333333333336</v>
      </c>
      <c r="B404" s="56">
        <v>12.2</v>
      </c>
    </row>
    <row r="405" spans="1:2" x14ac:dyDescent="0.3">
      <c r="A405" s="55">
        <v>46031.354166666664</v>
      </c>
      <c r="B405" s="56">
        <v>12.2</v>
      </c>
    </row>
    <row r="406" spans="1:2" x14ac:dyDescent="0.3">
      <c r="A406" s="55">
        <v>46031.375</v>
      </c>
      <c r="B406" s="56">
        <v>12.6</v>
      </c>
    </row>
    <row r="407" spans="1:2" x14ac:dyDescent="0.3">
      <c r="A407" s="55">
        <v>46031.395833333336</v>
      </c>
      <c r="B407" s="56">
        <v>13</v>
      </c>
    </row>
    <row r="408" spans="1:2" x14ac:dyDescent="0.3">
      <c r="A408" s="55">
        <v>46031.416666666664</v>
      </c>
      <c r="B408" s="56">
        <v>13.7</v>
      </c>
    </row>
    <row r="409" spans="1:2" x14ac:dyDescent="0.3">
      <c r="A409" s="55">
        <v>46031.4375</v>
      </c>
      <c r="B409" s="56">
        <v>14.2</v>
      </c>
    </row>
    <row r="410" spans="1:2" x14ac:dyDescent="0.3">
      <c r="A410" s="55">
        <v>46031.458333333336</v>
      </c>
      <c r="B410" s="56">
        <v>14.4</v>
      </c>
    </row>
    <row r="411" spans="1:2" x14ac:dyDescent="0.3">
      <c r="A411" s="55">
        <v>46031.479166666664</v>
      </c>
      <c r="B411" s="56">
        <v>14.7</v>
      </c>
    </row>
    <row r="412" spans="1:2" x14ac:dyDescent="0.3">
      <c r="A412" s="55">
        <v>46031.5</v>
      </c>
      <c r="B412" s="56">
        <v>14.7</v>
      </c>
    </row>
    <row r="413" spans="1:2" x14ac:dyDescent="0.3">
      <c r="A413" s="55">
        <v>46031.520833333336</v>
      </c>
      <c r="B413" s="56">
        <v>14.6</v>
      </c>
    </row>
    <row r="414" spans="1:2" x14ac:dyDescent="0.3">
      <c r="A414" s="55">
        <v>46031.541666666664</v>
      </c>
      <c r="B414" s="56">
        <v>14.4</v>
      </c>
    </row>
    <row r="415" spans="1:2" x14ac:dyDescent="0.3">
      <c r="A415" s="55">
        <v>46031.5625</v>
      </c>
      <c r="B415" s="56">
        <v>14.3</v>
      </c>
    </row>
    <row r="416" spans="1:2" x14ac:dyDescent="0.3">
      <c r="A416" s="55">
        <v>46031.583333333336</v>
      </c>
      <c r="B416" s="56">
        <v>14.2</v>
      </c>
    </row>
    <row r="417" spans="1:2" x14ac:dyDescent="0.3">
      <c r="A417" s="55">
        <v>46031.604166666664</v>
      </c>
      <c r="B417" s="56">
        <v>14.3</v>
      </c>
    </row>
    <row r="418" spans="1:2" x14ac:dyDescent="0.3">
      <c r="A418" s="55">
        <v>46031.625</v>
      </c>
      <c r="B418" s="56">
        <v>14.9</v>
      </c>
    </row>
    <row r="419" spans="1:2" x14ac:dyDescent="0.3">
      <c r="A419" s="55">
        <v>46031.645833333336</v>
      </c>
      <c r="B419" s="56">
        <v>14.7</v>
      </c>
    </row>
    <row r="420" spans="1:2" x14ac:dyDescent="0.3">
      <c r="A420" s="55">
        <v>46031.666666666664</v>
      </c>
      <c r="B420" s="56">
        <v>14.4</v>
      </c>
    </row>
    <row r="421" spans="1:2" x14ac:dyDescent="0.3">
      <c r="A421" s="55">
        <v>46031.6875</v>
      </c>
      <c r="B421" s="56">
        <v>14.1</v>
      </c>
    </row>
    <row r="422" spans="1:2" x14ac:dyDescent="0.3">
      <c r="A422" s="55">
        <v>46031.708333333336</v>
      </c>
      <c r="B422" s="56">
        <v>13.7</v>
      </c>
    </row>
    <row r="423" spans="1:2" x14ac:dyDescent="0.3">
      <c r="A423" s="55">
        <v>46031.729166666664</v>
      </c>
      <c r="B423" s="56">
        <v>13.3</v>
      </c>
    </row>
    <row r="424" spans="1:2" x14ac:dyDescent="0.3">
      <c r="A424" s="55">
        <v>46031.75</v>
      </c>
      <c r="B424" s="56">
        <v>13.3</v>
      </c>
    </row>
    <row r="425" spans="1:2" x14ac:dyDescent="0.3">
      <c r="A425" s="55">
        <v>46031.770833333336</v>
      </c>
      <c r="B425" s="56">
        <v>13</v>
      </c>
    </row>
    <row r="426" spans="1:2" x14ac:dyDescent="0.3">
      <c r="A426" s="55">
        <v>46031.791666666664</v>
      </c>
      <c r="B426" s="56">
        <v>13</v>
      </c>
    </row>
    <row r="427" spans="1:2" x14ac:dyDescent="0.3">
      <c r="A427" s="55">
        <v>46031.8125</v>
      </c>
      <c r="B427" s="56">
        <v>13.2</v>
      </c>
    </row>
    <row r="428" spans="1:2" x14ac:dyDescent="0.3">
      <c r="A428" s="55">
        <v>46031.833333333336</v>
      </c>
      <c r="B428" s="56">
        <v>13.2</v>
      </c>
    </row>
    <row r="429" spans="1:2" x14ac:dyDescent="0.3">
      <c r="A429" s="55">
        <v>46031.854166666664</v>
      </c>
      <c r="B429" s="56">
        <v>13</v>
      </c>
    </row>
    <row r="430" spans="1:2" x14ac:dyDescent="0.3">
      <c r="A430" s="55">
        <v>46031.875</v>
      </c>
      <c r="B430" s="56">
        <v>12.8</v>
      </c>
    </row>
    <row r="431" spans="1:2" x14ac:dyDescent="0.3">
      <c r="A431" s="55">
        <v>46031.895833333336</v>
      </c>
      <c r="B431" s="56">
        <v>12.7</v>
      </c>
    </row>
    <row r="432" spans="1:2" x14ac:dyDescent="0.3">
      <c r="A432" s="55">
        <v>46031.916666666664</v>
      </c>
      <c r="B432" s="56">
        <v>12.8</v>
      </c>
    </row>
    <row r="433" spans="1:2" x14ac:dyDescent="0.3">
      <c r="A433" s="55">
        <v>46031.9375</v>
      </c>
      <c r="B433" s="56">
        <v>12.8</v>
      </c>
    </row>
    <row r="434" spans="1:2" x14ac:dyDescent="0.3">
      <c r="A434" s="55">
        <v>46031.958333333336</v>
      </c>
      <c r="B434" s="56">
        <v>12.5</v>
      </c>
    </row>
    <row r="435" spans="1:2" x14ac:dyDescent="0.3">
      <c r="A435" s="55">
        <v>46031.97861111111</v>
      </c>
      <c r="B435" s="56">
        <v>11.3</v>
      </c>
    </row>
    <row r="436" spans="1:2" x14ac:dyDescent="0.3">
      <c r="A436" s="55">
        <v>46031.979166666664</v>
      </c>
      <c r="B436" s="56">
        <v>11.4</v>
      </c>
    </row>
    <row r="437" spans="1:2" x14ac:dyDescent="0.3">
      <c r="A437" s="55">
        <v>46032</v>
      </c>
      <c r="B437" s="56">
        <v>11.4</v>
      </c>
    </row>
    <row r="438" spans="1:2" x14ac:dyDescent="0.3">
      <c r="A438" s="55">
        <v>46032.020833333336</v>
      </c>
      <c r="B438" s="56">
        <v>11.2</v>
      </c>
    </row>
    <row r="439" spans="1:2" x14ac:dyDescent="0.3">
      <c r="A439" s="55">
        <v>46032.041666666664</v>
      </c>
      <c r="B439" s="56">
        <v>11.3</v>
      </c>
    </row>
    <row r="440" spans="1:2" x14ac:dyDescent="0.3">
      <c r="A440" s="55">
        <v>46032.0625</v>
      </c>
      <c r="B440" s="56">
        <v>11.2</v>
      </c>
    </row>
    <row r="441" spans="1:2" x14ac:dyDescent="0.3">
      <c r="A441" s="55">
        <v>46032.083333333336</v>
      </c>
      <c r="B441" s="56">
        <v>11.6</v>
      </c>
    </row>
    <row r="442" spans="1:2" x14ac:dyDescent="0.3">
      <c r="A442" s="55">
        <v>46032.104166666664</v>
      </c>
      <c r="B442" s="56">
        <v>11.6</v>
      </c>
    </row>
    <row r="443" spans="1:2" x14ac:dyDescent="0.3">
      <c r="A443" s="55">
        <v>46032.125</v>
      </c>
      <c r="B443" s="56">
        <v>11.8</v>
      </c>
    </row>
    <row r="444" spans="1:2" x14ac:dyDescent="0.3">
      <c r="A444" s="55">
        <v>46032.145833333336</v>
      </c>
      <c r="B444" s="56">
        <v>10.9</v>
      </c>
    </row>
    <row r="445" spans="1:2" x14ac:dyDescent="0.3">
      <c r="A445" s="55">
        <v>46032.166666666664</v>
      </c>
      <c r="B445" s="56">
        <v>10.6</v>
      </c>
    </row>
    <row r="446" spans="1:2" x14ac:dyDescent="0.3">
      <c r="A446" s="55">
        <v>46032.1875</v>
      </c>
      <c r="B446" s="56">
        <v>11.3</v>
      </c>
    </row>
    <row r="447" spans="1:2" x14ac:dyDescent="0.3">
      <c r="A447" s="55">
        <v>46032.208333333336</v>
      </c>
      <c r="B447" s="56">
        <v>11.1</v>
      </c>
    </row>
    <row r="448" spans="1:2" x14ac:dyDescent="0.3">
      <c r="A448" s="55">
        <v>46032.229166666664</v>
      </c>
      <c r="B448" s="56">
        <v>7.6</v>
      </c>
    </row>
    <row r="449" spans="1:2" x14ac:dyDescent="0.3">
      <c r="A449" s="55">
        <v>46032.25</v>
      </c>
      <c r="B449" s="56">
        <v>7.3</v>
      </c>
    </row>
    <row r="450" spans="1:2" x14ac:dyDescent="0.3">
      <c r="A450" s="55">
        <v>46032.270833333336</v>
      </c>
      <c r="B450" s="56">
        <v>7.4</v>
      </c>
    </row>
    <row r="451" spans="1:2" x14ac:dyDescent="0.3">
      <c r="A451" s="55">
        <v>46032.291666666664</v>
      </c>
      <c r="B451" s="56">
        <v>7.6</v>
      </c>
    </row>
    <row r="452" spans="1:2" x14ac:dyDescent="0.3">
      <c r="A452" s="55">
        <v>46032.3125</v>
      </c>
      <c r="B452" s="56">
        <v>7.4</v>
      </c>
    </row>
    <row r="453" spans="1:2" x14ac:dyDescent="0.3">
      <c r="A453" s="55">
        <v>46032.333333333336</v>
      </c>
      <c r="B453" s="56">
        <v>7.9</v>
      </c>
    </row>
    <row r="454" spans="1:2" x14ac:dyDescent="0.3">
      <c r="A454" s="55">
        <v>46032.354166666664</v>
      </c>
      <c r="B454" s="56">
        <v>8</v>
      </c>
    </row>
    <row r="455" spans="1:2" x14ac:dyDescent="0.3">
      <c r="A455" s="55">
        <v>46032.35837962963</v>
      </c>
      <c r="B455" s="56">
        <v>8.1</v>
      </c>
    </row>
    <row r="456" spans="1:2" x14ac:dyDescent="0.3">
      <c r="A456" s="55">
        <v>46032.375</v>
      </c>
      <c r="B456" s="56">
        <v>7.9</v>
      </c>
    </row>
    <row r="457" spans="1:2" x14ac:dyDescent="0.3">
      <c r="A457" s="55">
        <v>46032.395833333336</v>
      </c>
      <c r="B457" s="56">
        <v>7.8</v>
      </c>
    </row>
    <row r="458" spans="1:2" x14ac:dyDescent="0.3">
      <c r="A458" s="55">
        <v>46032.416666666664</v>
      </c>
      <c r="B458" s="56">
        <v>7.6</v>
      </c>
    </row>
    <row r="459" spans="1:2" x14ac:dyDescent="0.3">
      <c r="A459" s="55">
        <v>46032.4375</v>
      </c>
      <c r="B459" s="56">
        <v>6.9</v>
      </c>
    </row>
    <row r="460" spans="1:2" x14ac:dyDescent="0.3">
      <c r="A460" s="55">
        <v>46032.458333333336</v>
      </c>
      <c r="B460" s="56">
        <v>7</v>
      </c>
    </row>
    <row r="461" spans="1:2" x14ac:dyDescent="0.3">
      <c r="A461" s="55">
        <v>46032.479166666664</v>
      </c>
      <c r="B461" s="56">
        <v>7.4</v>
      </c>
    </row>
    <row r="462" spans="1:2" x14ac:dyDescent="0.3">
      <c r="A462" s="55">
        <v>46032.5</v>
      </c>
      <c r="B462" s="56">
        <v>7.7</v>
      </c>
    </row>
    <row r="463" spans="1:2" x14ac:dyDescent="0.3">
      <c r="A463" s="55">
        <v>46032.520833333336</v>
      </c>
      <c r="B463" s="56">
        <v>7.9</v>
      </c>
    </row>
    <row r="464" spans="1:2" x14ac:dyDescent="0.3">
      <c r="A464" s="55">
        <v>46032.541666666664</v>
      </c>
      <c r="B464" s="56">
        <v>7.9</v>
      </c>
    </row>
    <row r="465" spans="1:2" x14ac:dyDescent="0.3">
      <c r="A465" s="55">
        <v>46032.5625</v>
      </c>
      <c r="B465" s="56">
        <v>8</v>
      </c>
    </row>
    <row r="466" spans="1:2" x14ac:dyDescent="0.3">
      <c r="A466" s="55">
        <v>46032.583333333336</v>
      </c>
      <c r="B466" s="56">
        <v>8.1999999999999993</v>
      </c>
    </row>
    <row r="467" spans="1:2" x14ac:dyDescent="0.3">
      <c r="A467" s="55">
        <v>46032.604166666664</v>
      </c>
      <c r="B467" s="56">
        <v>8.1</v>
      </c>
    </row>
    <row r="468" spans="1:2" x14ac:dyDescent="0.3">
      <c r="A468" s="55">
        <v>46032.625</v>
      </c>
      <c r="B468" s="56">
        <v>8</v>
      </c>
    </row>
    <row r="469" spans="1:2" x14ac:dyDescent="0.3">
      <c r="A469" s="55">
        <v>46032.645833333336</v>
      </c>
      <c r="B469" s="56">
        <v>8.1</v>
      </c>
    </row>
    <row r="470" spans="1:2" x14ac:dyDescent="0.3">
      <c r="A470" s="55">
        <v>46032.666666666664</v>
      </c>
      <c r="B470" s="56">
        <v>8</v>
      </c>
    </row>
    <row r="471" spans="1:2" x14ac:dyDescent="0.3">
      <c r="A471" s="55">
        <v>46032.6875</v>
      </c>
      <c r="B471" s="56">
        <v>8.1</v>
      </c>
    </row>
    <row r="472" spans="1:2" x14ac:dyDescent="0.3">
      <c r="A472" s="55">
        <v>46032.708333333336</v>
      </c>
      <c r="B472" s="56">
        <v>7.8</v>
      </c>
    </row>
    <row r="473" spans="1:2" x14ac:dyDescent="0.3">
      <c r="A473" s="55">
        <v>46032.729166666664</v>
      </c>
      <c r="B473" s="56">
        <v>7.7</v>
      </c>
    </row>
    <row r="474" spans="1:2" x14ac:dyDescent="0.3">
      <c r="A474" s="55">
        <v>46032.75</v>
      </c>
      <c r="B474" s="56">
        <v>7.8</v>
      </c>
    </row>
    <row r="475" spans="1:2" x14ac:dyDescent="0.3">
      <c r="A475" s="55">
        <v>46032.770833333336</v>
      </c>
      <c r="B475" s="56">
        <v>7.7</v>
      </c>
    </row>
    <row r="476" spans="1:2" x14ac:dyDescent="0.3">
      <c r="A476" s="55">
        <v>46032.791666666664</v>
      </c>
      <c r="B476" s="56">
        <v>7.5</v>
      </c>
    </row>
    <row r="477" spans="1:2" x14ac:dyDescent="0.3">
      <c r="A477" s="55">
        <v>46032.8125</v>
      </c>
      <c r="B477" s="56">
        <v>7.4</v>
      </c>
    </row>
    <row r="478" spans="1:2" x14ac:dyDescent="0.3">
      <c r="A478" s="55">
        <v>46032.833333333336</v>
      </c>
      <c r="B478" s="56">
        <v>7.1</v>
      </c>
    </row>
    <row r="479" spans="1:2" x14ac:dyDescent="0.3">
      <c r="A479" s="55">
        <v>46032.854166666664</v>
      </c>
      <c r="B479" s="56">
        <v>6.8</v>
      </c>
    </row>
    <row r="480" spans="1:2" x14ac:dyDescent="0.3">
      <c r="A480" s="55">
        <v>46032.875</v>
      </c>
      <c r="B480" s="56">
        <v>6.4</v>
      </c>
    </row>
    <row r="481" spans="1:2" x14ac:dyDescent="0.3">
      <c r="A481" s="55">
        <v>46032.895833333336</v>
      </c>
      <c r="B481" s="56">
        <v>6.2</v>
      </c>
    </row>
    <row r="482" spans="1:2" x14ac:dyDescent="0.3">
      <c r="A482" s="55">
        <v>46032.916666666664</v>
      </c>
      <c r="B482" s="56">
        <v>6</v>
      </c>
    </row>
    <row r="483" spans="1:2" x14ac:dyDescent="0.3">
      <c r="A483" s="55">
        <v>46032.9375</v>
      </c>
      <c r="B483" s="56">
        <v>5.7</v>
      </c>
    </row>
    <row r="484" spans="1:2" x14ac:dyDescent="0.3">
      <c r="A484" s="55">
        <v>46032.958333333336</v>
      </c>
      <c r="B484" s="56">
        <v>5.2</v>
      </c>
    </row>
    <row r="485" spans="1:2" x14ac:dyDescent="0.3">
      <c r="A485" s="55">
        <v>46032.979166666664</v>
      </c>
      <c r="B485" s="56">
        <v>5.3</v>
      </c>
    </row>
    <row r="486" spans="1:2" x14ac:dyDescent="0.3">
      <c r="A486" s="55">
        <v>46033</v>
      </c>
      <c r="B486" s="56">
        <v>5.3</v>
      </c>
    </row>
    <row r="487" spans="1:2" x14ac:dyDescent="0.3">
      <c r="A487" s="55">
        <v>46033.020833333336</v>
      </c>
      <c r="B487" s="56">
        <v>5.3</v>
      </c>
    </row>
    <row r="488" spans="1:2" x14ac:dyDescent="0.3">
      <c r="A488" s="55">
        <v>46033.041666666664</v>
      </c>
      <c r="B488" s="56">
        <v>5.2</v>
      </c>
    </row>
    <row r="489" spans="1:2" x14ac:dyDescent="0.3">
      <c r="A489" s="55">
        <v>46033.0625</v>
      </c>
      <c r="B489" s="56">
        <v>4.5999999999999996</v>
      </c>
    </row>
    <row r="490" spans="1:2" x14ac:dyDescent="0.3">
      <c r="A490" s="55">
        <v>46033.083333333336</v>
      </c>
      <c r="B490" s="56">
        <v>4.5999999999999996</v>
      </c>
    </row>
    <row r="491" spans="1:2" x14ac:dyDescent="0.3">
      <c r="A491" s="55">
        <v>46033.104166666664</v>
      </c>
      <c r="B491" s="56">
        <v>4.4000000000000004</v>
      </c>
    </row>
    <row r="492" spans="1:2" x14ac:dyDescent="0.3">
      <c r="A492" s="55">
        <v>46033.125</v>
      </c>
      <c r="B492" s="56">
        <v>4.0999999999999996</v>
      </c>
    </row>
    <row r="493" spans="1:2" x14ac:dyDescent="0.3">
      <c r="A493" s="55">
        <v>46033.145833333336</v>
      </c>
      <c r="B493" s="56">
        <v>4.4000000000000004</v>
      </c>
    </row>
    <row r="494" spans="1:2" x14ac:dyDescent="0.3">
      <c r="A494" s="55">
        <v>46033.166666666664</v>
      </c>
      <c r="B494" s="56">
        <v>3.8</v>
      </c>
    </row>
    <row r="495" spans="1:2" x14ac:dyDescent="0.3">
      <c r="A495" s="55">
        <v>46033.1875</v>
      </c>
      <c r="B495" s="56">
        <v>2.7</v>
      </c>
    </row>
    <row r="496" spans="1:2" x14ac:dyDescent="0.3">
      <c r="A496" s="55">
        <v>46033.208333333336</v>
      </c>
      <c r="B496" s="56">
        <v>2.2999999999999998</v>
      </c>
    </row>
    <row r="497" spans="1:2" x14ac:dyDescent="0.3">
      <c r="A497" s="55">
        <v>46033.229166666664</v>
      </c>
      <c r="B497" s="56">
        <v>2.4</v>
      </c>
    </row>
    <row r="498" spans="1:2" x14ac:dyDescent="0.3">
      <c r="A498" s="55">
        <v>46033.25</v>
      </c>
      <c r="B498" s="56">
        <v>3.1</v>
      </c>
    </row>
    <row r="499" spans="1:2" x14ac:dyDescent="0.3">
      <c r="A499" s="55">
        <v>46033.270833333336</v>
      </c>
      <c r="B499" s="56">
        <v>2.5</v>
      </c>
    </row>
    <row r="500" spans="1:2" x14ac:dyDescent="0.3">
      <c r="A500" s="55">
        <v>46033.291666666664</v>
      </c>
      <c r="B500" s="56">
        <v>2.8</v>
      </c>
    </row>
    <row r="501" spans="1:2" x14ac:dyDescent="0.3">
      <c r="A501" s="55">
        <v>46033.3125</v>
      </c>
      <c r="B501" s="56">
        <v>2.5</v>
      </c>
    </row>
    <row r="502" spans="1:2" x14ac:dyDescent="0.3">
      <c r="A502" s="55">
        <v>46033.333333333336</v>
      </c>
      <c r="B502" s="56">
        <v>3.4</v>
      </c>
    </row>
    <row r="503" spans="1:2" x14ac:dyDescent="0.3">
      <c r="A503" s="55">
        <v>46033.354166666664</v>
      </c>
      <c r="B503" s="56">
        <v>3.8</v>
      </c>
    </row>
    <row r="504" spans="1:2" x14ac:dyDescent="0.3">
      <c r="A504" s="55">
        <v>46033.375</v>
      </c>
      <c r="B504" s="56">
        <v>4.4000000000000004</v>
      </c>
    </row>
    <row r="505" spans="1:2" x14ac:dyDescent="0.3">
      <c r="A505" s="55">
        <v>46033.395833333336</v>
      </c>
      <c r="B505" s="56">
        <v>5.2</v>
      </c>
    </row>
    <row r="506" spans="1:2" x14ac:dyDescent="0.3">
      <c r="A506" s="55">
        <v>46033.416666666664</v>
      </c>
      <c r="B506" s="56">
        <v>6</v>
      </c>
    </row>
    <row r="507" spans="1:2" x14ac:dyDescent="0.3">
      <c r="A507" s="55">
        <v>46033.4375</v>
      </c>
      <c r="B507" s="56">
        <v>7</v>
      </c>
    </row>
    <row r="508" spans="1:2" x14ac:dyDescent="0.3">
      <c r="A508" s="55">
        <v>46033.458333333336</v>
      </c>
      <c r="B508" s="56">
        <v>8</v>
      </c>
    </row>
    <row r="509" spans="1:2" x14ac:dyDescent="0.3">
      <c r="A509" s="55">
        <v>46033.479166666664</v>
      </c>
      <c r="B509" s="56">
        <v>8.8000000000000007</v>
      </c>
    </row>
    <row r="510" spans="1:2" x14ac:dyDescent="0.3">
      <c r="A510" s="55">
        <v>46033.5</v>
      </c>
      <c r="B510" s="56">
        <v>9.4</v>
      </c>
    </row>
    <row r="511" spans="1:2" x14ac:dyDescent="0.3">
      <c r="A511" s="55">
        <v>46033.520833333336</v>
      </c>
      <c r="B511" s="56">
        <v>10.1</v>
      </c>
    </row>
    <row r="512" spans="1:2" x14ac:dyDescent="0.3">
      <c r="A512" s="55">
        <v>46033.541666666664</v>
      </c>
      <c r="B512" s="56">
        <v>10.9</v>
      </c>
    </row>
    <row r="513" spans="1:2" x14ac:dyDescent="0.3">
      <c r="A513" s="55">
        <v>46033.5625</v>
      </c>
      <c r="B513" s="56">
        <v>11.3</v>
      </c>
    </row>
    <row r="514" spans="1:2" x14ac:dyDescent="0.3">
      <c r="A514" s="55">
        <v>46033.583333333336</v>
      </c>
      <c r="B514" s="56">
        <v>11.4</v>
      </c>
    </row>
    <row r="515" spans="1:2" x14ac:dyDescent="0.3">
      <c r="A515" s="55">
        <v>46033.604166666664</v>
      </c>
      <c r="B515" s="56">
        <v>11.3</v>
      </c>
    </row>
    <row r="516" spans="1:2" x14ac:dyDescent="0.3">
      <c r="A516" s="55">
        <v>46033.625</v>
      </c>
      <c r="B516" s="56">
        <v>11.3</v>
      </c>
    </row>
    <row r="517" spans="1:2" x14ac:dyDescent="0.3">
      <c r="A517" s="55">
        <v>46033.645833333336</v>
      </c>
      <c r="B517" s="56">
        <v>10.7</v>
      </c>
    </row>
    <row r="518" spans="1:2" x14ac:dyDescent="0.3">
      <c r="A518" s="55">
        <v>46033.666666666664</v>
      </c>
      <c r="B518" s="56">
        <v>10.1</v>
      </c>
    </row>
    <row r="519" spans="1:2" x14ac:dyDescent="0.3">
      <c r="A519" s="55">
        <v>46033.6875</v>
      </c>
      <c r="B519" s="56">
        <v>9.5</v>
      </c>
    </row>
    <row r="520" spans="1:2" x14ac:dyDescent="0.3">
      <c r="A520" s="55">
        <v>46033.708333333336</v>
      </c>
      <c r="B520" s="56">
        <v>8.9</v>
      </c>
    </row>
    <row r="521" spans="1:2" x14ac:dyDescent="0.3">
      <c r="A521" s="55">
        <v>46033.729166666664</v>
      </c>
      <c r="B521" s="56">
        <v>8.5</v>
      </c>
    </row>
    <row r="522" spans="1:2" x14ac:dyDescent="0.3">
      <c r="A522" s="55">
        <v>46033.75</v>
      </c>
      <c r="B522" s="56">
        <v>8</v>
      </c>
    </row>
    <row r="523" spans="1:2" x14ac:dyDescent="0.3">
      <c r="A523" s="55">
        <v>46033.770833333336</v>
      </c>
      <c r="B523" s="56">
        <v>7.6</v>
      </c>
    </row>
    <row r="524" spans="1:2" x14ac:dyDescent="0.3">
      <c r="A524" s="55">
        <v>46033.791666666664</v>
      </c>
      <c r="B524" s="56">
        <v>7.2</v>
      </c>
    </row>
    <row r="525" spans="1:2" x14ac:dyDescent="0.3">
      <c r="A525" s="55">
        <v>46033.8125</v>
      </c>
      <c r="B525" s="56">
        <v>7</v>
      </c>
    </row>
    <row r="526" spans="1:2" x14ac:dyDescent="0.3">
      <c r="A526" s="55">
        <v>46033.833333333336</v>
      </c>
      <c r="B526" s="56">
        <v>6.6</v>
      </c>
    </row>
    <row r="527" spans="1:2" x14ac:dyDescent="0.3">
      <c r="A527" s="55">
        <v>46033.854166666664</v>
      </c>
      <c r="B527" s="56">
        <v>6.2</v>
      </c>
    </row>
    <row r="528" spans="1:2" x14ac:dyDescent="0.3">
      <c r="A528" s="55">
        <v>46033.875</v>
      </c>
      <c r="B528" s="56">
        <v>5.5</v>
      </c>
    </row>
    <row r="529" spans="1:2" x14ac:dyDescent="0.3">
      <c r="A529" s="55">
        <v>46033.895833333336</v>
      </c>
      <c r="B529" s="56">
        <v>5.4</v>
      </c>
    </row>
    <row r="530" spans="1:2" x14ac:dyDescent="0.3">
      <c r="A530" s="55">
        <v>46033.916666666664</v>
      </c>
      <c r="B530" s="56">
        <v>4.9000000000000004</v>
      </c>
    </row>
    <row r="531" spans="1:2" x14ac:dyDescent="0.3">
      <c r="A531" s="55">
        <v>46033.9375</v>
      </c>
      <c r="B531" s="56">
        <v>4.7</v>
      </c>
    </row>
    <row r="532" spans="1:2" x14ac:dyDescent="0.3">
      <c r="A532" s="55">
        <v>46033.958333333336</v>
      </c>
      <c r="B532" s="56">
        <v>4.7</v>
      </c>
    </row>
    <row r="533" spans="1:2" x14ac:dyDescent="0.3">
      <c r="A533" s="55">
        <v>46033.979166666664</v>
      </c>
      <c r="B533" s="56">
        <v>4.8</v>
      </c>
    </row>
    <row r="534" spans="1:2" x14ac:dyDescent="0.3">
      <c r="A534" s="55">
        <v>46034</v>
      </c>
      <c r="B534" s="56">
        <v>4.0999999999999996</v>
      </c>
    </row>
    <row r="535" spans="1:2" x14ac:dyDescent="0.3">
      <c r="A535" s="55">
        <v>46034.020833333336</v>
      </c>
      <c r="B535" s="56">
        <v>3.9</v>
      </c>
    </row>
    <row r="536" spans="1:2" x14ac:dyDescent="0.3">
      <c r="A536" s="55">
        <v>46034.041666666664</v>
      </c>
      <c r="B536" s="56">
        <v>3.8</v>
      </c>
    </row>
    <row r="537" spans="1:2" x14ac:dyDescent="0.3">
      <c r="A537" s="55">
        <v>46034.0625</v>
      </c>
      <c r="B537" s="56">
        <v>3.8</v>
      </c>
    </row>
    <row r="538" spans="1:2" x14ac:dyDescent="0.3">
      <c r="A538" s="55">
        <v>46034.083333333336</v>
      </c>
      <c r="B538" s="56">
        <v>3.7</v>
      </c>
    </row>
    <row r="539" spans="1:2" x14ac:dyDescent="0.3">
      <c r="A539" s="55">
        <v>46034.104166666664</v>
      </c>
      <c r="B539" s="56">
        <v>3.4</v>
      </c>
    </row>
    <row r="540" spans="1:2" x14ac:dyDescent="0.3">
      <c r="A540" s="55">
        <v>46034.125</v>
      </c>
      <c r="B540" s="56">
        <v>2.2999999999999998</v>
      </c>
    </row>
    <row r="541" spans="1:2" x14ac:dyDescent="0.3">
      <c r="A541" s="55">
        <v>46034.145833333336</v>
      </c>
      <c r="B541" s="56">
        <v>2.1</v>
      </c>
    </row>
    <row r="542" spans="1:2" x14ac:dyDescent="0.3">
      <c r="A542" s="55">
        <v>46034.166666666664</v>
      </c>
      <c r="B542" s="56">
        <v>1.8</v>
      </c>
    </row>
    <row r="543" spans="1:2" x14ac:dyDescent="0.3">
      <c r="A543" s="55">
        <v>46034.1875</v>
      </c>
      <c r="B543" s="56">
        <v>1.6</v>
      </c>
    </row>
    <row r="544" spans="1:2" x14ac:dyDescent="0.3">
      <c r="A544" s="55">
        <v>46034.208333333336</v>
      </c>
      <c r="B544" s="56">
        <v>1.3</v>
      </c>
    </row>
    <row r="545" spans="1:2" x14ac:dyDescent="0.3">
      <c r="A545" s="55">
        <v>46034.229166666664</v>
      </c>
      <c r="B545" s="56">
        <v>1.7</v>
      </c>
    </row>
    <row r="546" spans="1:2" x14ac:dyDescent="0.3">
      <c r="A546" s="55">
        <v>46034.25</v>
      </c>
      <c r="B546" s="56">
        <v>2</v>
      </c>
    </row>
    <row r="547" spans="1:2" x14ac:dyDescent="0.3">
      <c r="A547" s="55">
        <v>46034.270833333336</v>
      </c>
      <c r="B547" s="56">
        <v>1.7</v>
      </c>
    </row>
    <row r="548" spans="1:2" x14ac:dyDescent="0.3">
      <c r="A548" s="55">
        <v>46034.291666666664</v>
      </c>
      <c r="B548" s="56">
        <v>1.5</v>
      </c>
    </row>
    <row r="549" spans="1:2" x14ac:dyDescent="0.3">
      <c r="A549" s="55">
        <v>46034.3125</v>
      </c>
      <c r="B549" s="56">
        <v>1.6</v>
      </c>
    </row>
    <row r="550" spans="1:2" x14ac:dyDescent="0.3">
      <c r="A550" s="55">
        <v>46034.333333333336</v>
      </c>
      <c r="B550" s="56">
        <v>1.8</v>
      </c>
    </row>
    <row r="551" spans="1:2" x14ac:dyDescent="0.3">
      <c r="A551" s="55">
        <v>46034.354166666664</v>
      </c>
      <c r="B551" s="56">
        <v>2.4</v>
      </c>
    </row>
    <row r="552" spans="1:2" x14ac:dyDescent="0.3">
      <c r="A552" s="55">
        <v>46034.375</v>
      </c>
      <c r="B552" s="56">
        <v>3.4</v>
      </c>
    </row>
    <row r="553" spans="1:2" x14ac:dyDescent="0.3">
      <c r="A553" s="55">
        <v>46034.395833333336</v>
      </c>
      <c r="B553" s="56">
        <v>4.2</v>
      </c>
    </row>
    <row r="554" spans="1:2" x14ac:dyDescent="0.3">
      <c r="A554" s="55">
        <v>46034.416666666664</v>
      </c>
      <c r="B554" s="56">
        <v>4.9000000000000004</v>
      </c>
    </row>
    <row r="555" spans="1:2" x14ac:dyDescent="0.3">
      <c r="A555" s="55">
        <v>46034.4375</v>
      </c>
      <c r="B555" s="56">
        <v>5.7</v>
      </c>
    </row>
    <row r="556" spans="1:2" x14ac:dyDescent="0.3">
      <c r="A556" s="55">
        <v>46034.458333333336</v>
      </c>
      <c r="B556" s="56">
        <v>6.9</v>
      </c>
    </row>
    <row r="557" spans="1:2" x14ac:dyDescent="0.3">
      <c r="A557" s="55">
        <v>46034.479166666664</v>
      </c>
      <c r="B557" s="56">
        <v>7.3</v>
      </c>
    </row>
    <row r="558" spans="1:2" x14ac:dyDescent="0.3">
      <c r="A558" s="55">
        <v>46034.5</v>
      </c>
      <c r="B558" s="56">
        <v>7.7</v>
      </c>
    </row>
    <row r="559" spans="1:2" x14ac:dyDescent="0.3">
      <c r="A559" s="55">
        <v>46034.520833333336</v>
      </c>
      <c r="B559" s="56">
        <v>8.3000000000000007</v>
      </c>
    </row>
    <row r="560" spans="1:2" x14ac:dyDescent="0.3">
      <c r="A560" s="55">
        <v>46034.541666666664</v>
      </c>
      <c r="B560" s="56">
        <v>9.3000000000000007</v>
      </c>
    </row>
    <row r="561" spans="1:2" x14ac:dyDescent="0.3">
      <c r="A561" s="55">
        <v>46034.5625</v>
      </c>
      <c r="B561" s="56">
        <v>9.6999999999999993</v>
      </c>
    </row>
    <row r="562" spans="1:2" x14ac:dyDescent="0.3">
      <c r="A562" s="55">
        <v>46034.583333333336</v>
      </c>
      <c r="B562" s="56">
        <v>10.1</v>
      </c>
    </row>
    <row r="563" spans="1:2" x14ac:dyDescent="0.3">
      <c r="A563" s="55">
        <v>46034.604166666664</v>
      </c>
      <c r="B563" s="56">
        <v>10.3</v>
      </c>
    </row>
    <row r="564" spans="1:2" x14ac:dyDescent="0.3">
      <c r="A564" s="55">
        <v>46034.625</v>
      </c>
      <c r="B564" s="56">
        <v>10.5</v>
      </c>
    </row>
    <row r="565" spans="1:2" x14ac:dyDescent="0.3">
      <c r="A565" s="55">
        <v>46034.645833333336</v>
      </c>
      <c r="B565" s="56">
        <v>10.199999999999999</v>
      </c>
    </row>
    <row r="566" spans="1:2" x14ac:dyDescent="0.3">
      <c r="A566" s="55">
        <v>46034.666666666664</v>
      </c>
      <c r="B566" s="56">
        <v>9.8000000000000007</v>
      </c>
    </row>
    <row r="567" spans="1:2" x14ac:dyDescent="0.3">
      <c r="A567" s="55">
        <v>46034.6875</v>
      </c>
      <c r="B567" s="56">
        <v>9.3000000000000007</v>
      </c>
    </row>
    <row r="568" spans="1:2" x14ac:dyDescent="0.3">
      <c r="A568" s="55">
        <v>46034.708333333336</v>
      </c>
      <c r="B568" s="56">
        <v>9</v>
      </c>
    </row>
    <row r="569" spans="1:2" x14ac:dyDescent="0.3">
      <c r="A569" s="55">
        <v>46034.729166666664</v>
      </c>
      <c r="B569" s="56">
        <v>8.8000000000000007</v>
      </c>
    </row>
    <row r="570" spans="1:2" x14ac:dyDescent="0.3">
      <c r="A570" s="55">
        <v>46034.75</v>
      </c>
      <c r="B570" s="56">
        <v>8.5</v>
      </c>
    </row>
    <row r="571" spans="1:2" x14ac:dyDescent="0.3">
      <c r="A571" s="55">
        <v>46034.770833333336</v>
      </c>
      <c r="B571" s="56">
        <v>8.3000000000000007</v>
      </c>
    </row>
    <row r="572" spans="1:2" x14ac:dyDescent="0.3">
      <c r="A572" s="55">
        <v>46034.791666666664</v>
      </c>
      <c r="B572" s="56">
        <v>7.9</v>
      </c>
    </row>
    <row r="573" spans="1:2" x14ac:dyDescent="0.3">
      <c r="A573" s="55">
        <v>46034.8125</v>
      </c>
      <c r="B573" s="56">
        <v>7.6</v>
      </c>
    </row>
    <row r="574" spans="1:2" x14ac:dyDescent="0.3">
      <c r="A574" s="55">
        <v>46034.833333333336</v>
      </c>
      <c r="B574" s="56">
        <v>6.8</v>
      </c>
    </row>
    <row r="575" spans="1:2" x14ac:dyDescent="0.3">
      <c r="A575" s="55">
        <v>46034.854166666664</v>
      </c>
      <c r="B575" s="56">
        <v>6.5</v>
      </c>
    </row>
    <row r="576" spans="1:2" x14ac:dyDescent="0.3">
      <c r="A576" s="55">
        <v>46034.875</v>
      </c>
      <c r="B576" s="56">
        <v>6.1</v>
      </c>
    </row>
    <row r="577" spans="1:2" x14ac:dyDescent="0.3">
      <c r="A577" s="55">
        <v>46034.895833333336</v>
      </c>
      <c r="B577" s="56">
        <v>5.5</v>
      </c>
    </row>
    <row r="578" spans="1:2" x14ac:dyDescent="0.3">
      <c r="A578" s="55">
        <v>46034.916666666664</v>
      </c>
      <c r="B578" s="56">
        <v>5.5</v>
      </c>
    </row>
    <row r="579" spans="1:2" x14ac:dyDescent="0.3">
      <c r="A579" s="55">
        <v>46034.9375</v>
      </c>
      <c r="B579" s="56">
        <v>5.7</v>
      </c>
    </row>
    <row r="580" spans="1:2" x14ac:dyDescent="0.3">
      <c r="A580" s="55">
        <v>46034.958333333336</v>
      </c>
      <c r="B580" s="56">
        <v>5.4</v>
      </c>
    </row>
    <row r="581" spans="1:2" x14ac:dyDescent="0.3">
      <c r="A581" s="55">
        <v>46034.979166666664</v>
      </c>
      <c r="B581" s="56">
        <v>5.2</v>
      </c>
    </row>
    <row r="582" spans="1:2" x14ac:dyDescent="0.3">
      <c r="A582" s="55">
        <v>46035</v>
      </c>
      <c r="B582" s="56">
        <v>5.7</v>
      </c>
    </row>
    <row r="583" spans="1:2" x14ac:dyDescent="0.3">
      <c r="A583" s="55">
        <v>46035.020833333336</v>
      </c>
      <c r="B583" s="56">
        <v>6</v>
      </c>
    </row>
    <row r="584" spans="1:2" x14ac:dyDescent="0.3">
      <c r="A584" s="55">
        <v>46035.041666666664</v>
      </c>
      <c r="B584" s="56">
        <v>6.4</v>
      </c>
    </row>
    <row r="585" spans="1:2" x14ac:dyDescent="0.3">
      <c r="A585" s="55">
        <v>46035.0625</v>
      </c>
      <c r="B585" s="56">
        <v>6.5</v>
      </c>
    </row>
    <row r="586" spans="1:2" x14ac:dyDescent="0.3">
      <c r="A586" s="55">
        <v>46035.083333333336</v>
      </c>
      <c r="B586" s="56">
        <v>6.2</v>
      </c>
    </row>
    <row r="587" spans="1:2" x14ac:dyDescent="0.3">
      <c r="A587" s="55">
        <v>46035.104166666664</v>
      </c>
      <c r="B587" s="56">
        <v>6.2</v>
      </c>
    </row>
    <row r="588" spans="1:2" x14ac:dyDescent="0.3">
      <c r="A588" s="55">
        <v>46035.125</v>
      </c>
      <c r="B588" s="56">
        <v>6.3</v>
      </c>
    </row>
    <row r="589" spans="1:2" x14ac:dyDescent="0.3">
      <c r="A589" s="55">
        <v>46035.145833333336</v>
      </c>
      <c r="B589" s="56">
        <v>6.1</v>
      </c>
    </row>
    <row r="590" spans="1:2" x14ac:dyDescent="0.3">
      <c r="A590" s="55">
        <v>46035.166666666664</v>
      </c>
      <c r="B590" s="56">
        <v>6.3</v>
      </c>
    </row>
    <row r="591" spans="1:2" x14ac:dyDescent="0.3">
      <c r="A591" s="55">
        <v>46035.1875</v>
      </c>
      <c r="B591" s="56">
        <v>6.4</v>
      </c>
    </row>
    <row r="592" spans="1:2" x14ac:dyDescent="0.3">
      <c r="A592" s="55">
        <v>46035.208333333336</v>
      </c>
      <c r="B592" s="56">
        <v>6.6</v>
      </c>
    </row>
    <row r="593" spans="1:2" x14ac:dyDescent="0.3">
      <c r="A593" s="55">
        <v>46035.229166666664</v>
      </c>
      <c r="B593" s="56">
        <v>6.7</v>
      </c>
    </row>
    <row r="594" spans="1:2" x14ac:dyDescent="0.3">
      <c r="A594" s="55">
        <v>46035.25</v>
      </c>
      <c r="B594" s="56">
        <v>6.5</v>
      </c>
    </row>
    <row r="595" spans="1:2" x14ac:dyDescent="0.3">
      <c r="A595" s="55">
        <v>46035.270833333336</v>
      </c>
      <c r="B595" s="56">
        <v>6.7</v>
      </c>
    </row>
    <row r="596" spans="1:2" x14ac:dyDescent="0.3">
      <c r="A596" s="55">
        <v>46035.291666666664</v>
      </c>
      <c r="B596" s="56">
        <v>7.2</v>
      </c>
    </row>
    <row r="597" spans="1:2" x14ac:dyDescent="0.3">
      <c r="A597" s="55">
        <v>46035.3125</v>
      </c>
      <c r="B597" s="56">
        <v>7.5</v>
      </c>
    </row>
    <row r="598" spans="1:2" x14ac:dyDescent="0.3">
      <c r="A598" s="55">
        <v>46035.333333333336</v>
      </c>
      <c r="B598" s="56">
        <v>8</v>
      </c>
    </row>
    <row r="599" spans="1:2" x14ac:dyDescent="0.3">
      <c r="A599" s="55">
        <v>46035.354166666664</v>
      </c>
      <c r="B599" s="56">
        <v>8.5</v>
      </c>
    </row>
    <row r="600" spans="1:2" x14ac:dyDescent="0.3">
      <c r="A600" s="55">
        <v>46035.375</v>
      </c>
      <c r="B600" s="56">
        <v>9</v>
      </c>
    </row>
    <row r="601" spans="1:2" x14ac:dyDescent="0.3">
      <c r="A601" s="55">
        <v>46035.395833333336</v>
      </c>
      <c r="B601" s="56">
        <v>9.6</v>
      </c>
    </row>
    <row r="602" spans="1:2" x14ac:dyDescent="0.3">
      <c r="A602" s="55">
        <v>46035.416666666664</v>
      </c>
      <c r="B602" s="56">
        <v>9.9</v>
      </c>
    </row>
    <row r="603" spans="1:2" x14ac:dyDescent="0.3">
      <c r="A603" s="55">
        <v>46035.4375</v>
      </c>
      <c r="B603" s="56">
        <v>10.7</v>
      </c>
    </row>
    <row r="604" spans="1:2" x14ac:dyDescent="0.3">
      <c r="A604" s="55">
        <v>46035.458333333336</v>
      </c>
      <c r="B604" s="56">
        <v>11.6</v>
      </c>
    </row>
    <row r="605" spans="1:2" x14ac:dyDescent="0.3">
      <c r="A605" s="55">
        <v>46035.479166666664</v>
      </c>
      <c r="B605" s="56">
        <v>12.2</v>
      </c>
    </row>
    <row r="606" spans="1:2" x14ac:dyDescent="0.3">
      <c r="A606" s="55">
        <v>46035.5</v>
      </c>
      <c r="B606" s="56">
        <v>13.4</v>
      </c>
    </row>
    <row r="607" spans="1:2" x14ac:dyDescent="0.3">
      <c r="A607" s="55">
        <v>46035.520833333336</v>
      </c>
      <c r="B607" s="56">
        <v>13.6</v>
      </c>
    </row>
    <row r="608" spans="1:2" x14ac:dyDescent="0.3">
      <c r="A608" s="55">
        <v>46035.541666666664</v>
      </c>
      <c r="B608" s="56">
        <v>14.2</v>
      </c>
    </row>
    <row r="609" spans="1:2" x14ac:dyDescent="0.3">
      <c r="A609" s="55">
        <v>46035.5625</v>
      </c>
      <c r="B609" s="56">
        <v>14.2</v>
      </c>
    </row>
    <row r="610" spans="1:2" x14ac:dyDescent="0.3">
      <c r="A610" s="55">
        <v>46035.583333333336</v>
      </c>
      <c r="B610" s="56">
        <v>14.3</v>
      </c>
    </row>
    <row r="611" spans="1:2" x14ac:dyDescent="0.3">
      <c r="A611" s="55">
        <v>46035.604166666664</v>
      </c>
      <c r="B611" s="56">
        <v>14.1</v>
      </c>
    </row>
    <row r="612" spans="1:2" x14ac:dyDescent="0.3">
      <c r="A612" s="55">
        <v>46035.625</v>
      </c>
      <c r="B612" s="56">
        <v>13.9</v>
      </c>
    </row>
    <row r="613" spans="1:2" x14ac:dyDescent="0.3">
      <c r="A613" s="55">
        <v>46035.645833333336</v>
      </c>
      <c r="B613" s="56">
        <v>13.7</v>
      </c>
    </row>
    <row r="614" spans="1:2" x14ac:dyDescent="0.3">
      <c r="A614" s="55">
        <v>46035.666666666664</v>
      </c>
      <c r="B614" s="56">
        <v>13.4</v>
      </c>
    </row>
    <row r="615" spans="1:2" x14ac:dyDescent="0.3">
      <c r="A615" s="55">
        <v>46035.6875</v>
      </c>
      <c r="B615" s="56">
        <v>12.9</v>
      </c>
    </row>
    <row r="616" spans="1:2" x14ac:dyDescent="0.3">
      <c r="A616" s="55">
        <v>46035.708333333336</v>
      </c>
      <c r="B616" s="56">
        <v>12.4</v>
      </c>
    </row>
    <row r="617" spans="1:2" x14ac:dyDescent="0.3">
      <c r="A617" s="55">
        <v>46035.729166666664</v>
      </c>
      <c r="B617" s="56">
        <v>12.1</v>
      </c>
    </row>
    <row r="618" spans="1:2" x14ac:dyDescent="0.3">
      <c r="A618" s="55">
        <v>46035.75</v>
      </c>
      <c r="B618" s="56">
        <v>11.8</v>
      </c>
    </row>
    <row r="619" spans="1:2" x14ac:dyDescent="0.3">
      <c r="A619" s="55">
        <v>46035.770833333336</v>
      </c>
      <c r="B619" s="56">
        <v>11.5</v>
      </c>
    </row>
    <row r="620" spans="1:2" x14ac:dyDescent="0.3">
      <c r="A620" s="55">
        <v>46035.791666666664</v>
      </c>
      <c r="B620" s="56">
        <v>11.1</v>
      </c>
    </row>
    <row r="621" spans="1:2" x14ac:dyDescent="0.3">
      <c r="A621" s="55">
        <v>46035.8125</v>
      </c>
      <c r="B621" s="56">
        <v>10.9</v>
      </c>
    </row>
    <row r="622" spans="1:2" x14ac:dyDescent="0.3">
      <c r="A622" s="55">
        <v>46035.833333333336</v>
      </c>
      <c r="B622" s="56">
        <v>10.3</v>
      </c>
    </row>
    <row r="623" spans="1:2" x14ac:dyDescent="0.3">
      <c r="A623" s="55">
        <v>46035.854166666664</v>
      </c>
      <c r="B623" s="56">
        <v>10.1</v>
      </c>
    </row>
    <row r="624" spans="1:2" x14ac:dyDescent="0.3">
      <c r="A624" s="55">
        <v>46035.875</v>
      </c>
      <c r="B624" s="56">
        <v>9.8000000000000007</v>
      </c>
    </row>
    <row r="625" spans="1:2" x14ac:dyDescent="0.3">
      <c r="A625" s="55">
        <v>46035.895833333336</v>
      </c>
      <c r="B625" s="56">
        <v>9.9</v>
      </c>
    </row>
    <row r="626" spans="1:2" x14ac:dyDescent="0.3">
      <c r="A626" s="55">
        <v>46035.916666666664</v>
      </c>
      <c r="B626" s="56">
        <v>9.8000000000000007</v>
      </c>
    </row>
    <row r="627" spans="1:2" x14ac:dyDescent="0.3">
      <c r="A627" s="55">
        <v>46035.9375</v>
      </c>
      <c r="B627" s="56">
        <v>9.9</v>
      </c>
    </row>
    <row r="628" spans="1:2" x14ac:dyDescent="0.3">
      <c r="A628" s="55">
        <v>46035.958333333336</v>
      </c>
      <c r="B628" s="56">
        <v>9.9</v>
      </c>
    </row>
    <row r="629" spans="1:2" x14ac:dyDescent="0.3">
      <c r="A629" s="55">
        <v>46035.979166666664</v>
      </c>
      <c r="B629" s="56">
        <v>9.6999999999999993</v>
      </c>
    </row>
    <row r="630" spans="1:2" x14ac:dyDescent="0.3">
      <c r="A630" s="55">
        <v>46036</v>
      </c>
      <c r="B630" s="56">
        <v>9.6999999999999993</v>
      </c>
    </row>
    <row r="631" spans="1:2" x14ac:dyDescent="0.3">
      <c r="A631" s="55">
        <v>46036.020833333336</v>
      </c>
      <c r="B631" s="56">
        <v>9.4</v>
      </c>
    </row>
    <row r="632" spans="1:2" x14ac:dyDescent="0.3">
      <c r="A632" s="55">
        <v>46036.041666666664</v>
      </c>
      <c r="B632" s="56">
        <v>9.4</v>
      </c>
    </row>
    <row r="633" spans="1:2" x14ac:dyDescent="0.3">
      <c r="A633" s="55">
        <v>46036.0625</v>
      </c>
      <c r="B633" s="56">
        <v>9.4</v>
      </c>
    </row>
    <row r="634" spans="1:2" x14ac:dyDescent="0.3">
      <c r="A634" s="55">
        <v>46036.083333333336</v>
      </c>
      <c r="B634" s="56">
        <v>9.4</v>
      </c>
    </row>
    <row r="635" spans="1:2" x14ac:dyDescent="0.3">
      <c r="A635" s="55">
        <v>46036.104166666664</v>
      </c>
      <c r="B635" s="56">
        <v>9.6</v>
      </c>
    </row>
    <row r="636" spans="1:2" x14ac:dyDescent="0.3">
      <c r="A636" s="55">
        <v>46036.125</v>
      </c>
      <c r="B636" s="56">
        <v>9.5</v>
      </c>
    </row>
    <row r="637" spans="1:2" x14ac:dyDescent="0.3">
      <c r="A637" s="55">
        <v>46036.145833333336</v>
      </c>
      <c r="B637" s="56">
        <v>9.3000000000000007</v>
      </c>
    </row>
    <row r="638" spans="1:2" x14ac:dyDescent="0.3">
      <c r="A638" s="55">
        <v>46036.166666666664</v>
      </c>
      <c r="B638" s="56">
        <v>8.8000000000000007</v>
      </c>
    </row>
    <row r="639" spans="1:2" x14ac:dyDescent="0.3">
      <c r="A639" s="55">
        <v>46036.1875</v>
      </c>
      <c r="B639" s="56">
        <v>8.6999999999999993</v>
      </c>
    </row>
    <row r="640" spans="1:2" x14ac:dyDescent="0.3">
      <c r="A640" s="55">
        <v>46036.208333333336</v>
      </c>
      <c r="B640" s="56">
        <v>8.6999999999999993</v>
      </c>
    </row>
    <row r="641" spans="1:2" x14ac:dyDescent="0.3">
      <c r="A641" s="55">
        <v>46036.229166666664</v>
      </c>
      <c r="B641" s="56">
        <v>8.5</v>
      </c>
    </row>
    <row r="642" spans="1:2" x14ac:dyDescent="0.3">
      <c r="A642" s="55">
        <v>46036.25</v>
      </c>
      <c r="B642" s="56">
        <v>8.6</v>
      </c>
    </row>
    <row r="643" spans="1:2" x14ac:dyDescent="0.3">
      <c r="A643" s="55">
        <v>46036.270833333336</v>
      </c>
      <c r="B643" s="56">
        <v>9</v>
      </c>
    </row>
    <row r="644" spans="1:2" x14ac:dyDescent="0.3">
      <c r="A644" s="55">
        <v>46036.291666666664</v>
      </c>
      <c r="B644" s="56">
        <v>8.5</v>
      </c>
    </row>
    <row r="645" spans="1:2" x14ac:dyDescent="0.3">
      <c r="A645" s="55">
        <v>46036.3125</v>
      </c>
      <c r="B645" s="56">
        <v>8.6</v>
      </c>
    </row>
    <row r="646" spans="1:2" x14ac:dyDescent="0.3">
      <c r="A646" s="55">
        <v>46036.333333333336</v>
      </c>
      <c r="B646" s="56">
        <v>9.3000000000000007</v>
      </c>
    </row>
    <row r="647" spans="1:2" x14ac:dyDescent="0.3">
      <c r="A647" s="55">
        <v>46036.354166666664</v>
      </c>
      <c r="B647" s="56">
        <v>9.5</v>
      </c>
    </row>
    <row r="648" spans="1:2" x14ac:dyDescent="0.3">
      <c r="A648" s="55">
        <v>46036.375</v>
      </c>
      <c r="B648" s="56">
        <v>9.6999999999999993</v>
      </c>
    </row>
    <row r="649" spans="1:2" x14ac:dyDescent="0.3">
      <c r="A649" s="55">
        <v>46036.395833333336</v>
      </c>
      <c r="B649" s="56">
        <v>10.4</v>
      </c>
    </row>
    <row r="650" spans="1:2" x14ac:dyDescent="0.3">
      <c r="A650" s="55">
        <v>46036.416666666664</v>
      </c>
      <c r="B650" s="56">
        <v>11.2</v>
      </c>
    </row>
    <row r="651" spans="1:2" x14ac:dyDescent="0.3">
      <c r="A651" s="55">
        <v>46036.4375</v>
      </c>
      <c r="B651" s="56">
        <v>12.1</v>
      </c>
    </row>
    <row r="652" spans="1:2" x14ac:dyDescent="0.3">
      <c r="A652" s="55">
        <v>46036.458333333336</v>
      </c>
      <c r="B652" s="56">
        <v>12.6</v>
      </c>
    </row>
    <row r="653" spans="1:2" x14ac:dyDescent="0.3">
      <c r="A653" s="55">
        <v>46036.479166666664</v>
      </c>
      <c r="B653" s="56">
        <v>13.3</v>
      </c>
    </row>
    <row r="654" spans="1:2" x14ac:dyDescent="0.3">
      <c r="A654" s="55">
        <v>46036.5</v>
      </c>
      <c r="B654" s="56">
        <v>14.8</v>
      </c>
    </row>
    <row r="655" spans="1:2" x14ac:dyDescent="0.3">
      <c r="A655" s="55">
        <v>46036.520833333336</v>
      </c>
      <c r="B655" s="56">
        <v>15.1</v>
      </c>
    </row>
    <row r="656" spans="1:2" x14ac:dyDescent="0.3">
      <c r="A656" s="55">
        <v>46036.541666666664</v>
      </c>
      <c r="B656" s="56">
        <v>15.1</v>
      </c>
    </row>
    <row r="657" spans="1:2" x14ac:dyDescent="0.3">
      <c r="A657" s="55">
        <v>46036.5625</v>
      </c>
      <c r="B657" s="56">
        <v>15.3</v>
      </c>
    </row>
    <row r="658" spans="1:2" x14ac:dyDescent="0.3">
      <c r="A658" s="55">
        <v>46036.583333333336</v>
      </c>
      <c r="B658" s="56">
        <v>15.2</v>
      </c>
    </row>
    <row r="659" spans="1:2" x14ac:dyDescent="0.3">
      <c r="A659" s="55">
        <v>46036.604166666664</v>
      </c>
      <c r="B659" s="56">
        <v>15</v>
      </c>
    </row>
    <row r="660" spans="1:2" x14ac:dyDescent="0.3">
      <c r="A660" s="55">
        <v>46036.625</v>
      </c>
      <c r="B660" s="56">
        <v>14.9</v>
      </c>
    </row>
    <row r="661" spans="1:2" x14ac:dyDescent="0.3">
      <c r="A661" s="55">
        <v>46036.645833333336</v>
      </c>
      <c r="B661" s="56">
        <v>14.9</v>
      </c>
    </row>
    <row r="662" spans="1:2" x14ac:dyDescent="0.3">
      <c r="A662" s="55">
        <v>46036.666666666664</v>
      </c>
      <c r="B662" s="56">
        <v>14.5</v>
      </c>
    </row>
    <row r="663" spans="1:2" x14ac:dyDescent="0.3">
      <c r="A663" s="55">
        <v>46036.6875</v>
      </c>
      <c r="B663" s="56">
        <v>14.3</v>
      </c>
    </row>
    <row r="664" spans="1:2" x14ac:dyDescent="0.3">
      <c r="A664" s="55">
        <v>46036.708333333336</v>
      </c>
      <c r="B664" s="56">
        <v>14.1</v>
      </c>
    </row>
    <row r="665" spans="1:2" x14ac:dyDescent="0.3">
      <c r="A665" s="55">
        <v>46036.729166666664</v>
      </c>
      <c r="B665" s="56">
        <v>14</v>
      </c>
    </row>
    <row r="666" spans="1:2" x14ac:dyDescent="0.3">
      <c r="A666" s="55">
        <v>46036.75</v>
      </c>
      <c r="B666" s="56">
        <v>13.9</v>
      </c>
    </row>
    <row r="667" spans="1:2" x14ac:dyDescent="0.3">
      <c r="A667" s="55">
        <v>46036.770833333336</v>
      </c>
      <c r="B667" s="56">
        <v>13.7</v>
      </c>
    </row>
    <row r="668" spans="1:2" x14ac:dyDescent="0.3">
      <c r="A668" s="55">
        <v>46036.791666666664</v>
      </c>
      <c r="B668" s="56">
        <v>13.8</v>
      </c>
    </row>
    <row r="669" spans="1:2" x14ac:dyDescent="0.3">
      <c r="A669" s="55">
        <v>46036.8125</v>
      </c>
      <c r="B669" s="56">
        <v>13.7</v>
      </c>
    </row>
    <row r="670" spans="1:2" x14ac:dyDescent="0.3">
      <c r="A670" s="55">
        <v>46036.833333333336</v>
      </c>
      <c r="B670" s="56">
        <v>13.2</v>
      </c>
    </row>
    <row r="671" spans="1:2" x14ac:dyDescent="0.3">
      <c r="A671" s="55">
        <v>46036.854166666664</v>
      </c>
      <c r="B671" s="56">
        <v>13.2</v>
      </c>
    </row>
    <row r="672" spans="1:2" x14ac:dyDescent="0.3">
      <c r="A672" s="55">
        <v>46036.875</v>
      </c>
      <c r="B672" s="56">
        <v>13.1</v>
      </c>
    </row>
    <row r="673" spans="1:2" x14ac:dyDescent="0.3">
      <c r="A673" s="55">
        <v>46036.895833333336</v>
      </c>
      <c r="B673" s="56">
        <v>12.9</v>
      </c>
    </row>
    <row r="674" spans="1:2" x14ac:dyDescent="0.3">
      <c r="A674" s="55">
        <v>46036.916666666664</v>
      </c>
      <c r="B674" s="56">
        <v>12.8</v>
      </c>
    </row>
    <row r="675" spans="1:2" x14ac:dyDescent="0.3">
      <c r="A675" s="55">
        <v>46036.9375</v>
      </c>
      <c r="B675" s="56">
        <v>12.5</v>
      </c>
    </row>
    <row r="676" spans="1:2" x14ac:dyDescent="0.3">
      <c r="A676" s="55">
        <v>46036.958333333336</v>
      </c>
      <c r="B676" s="56">
        <v>12.2</v>
      </c>
    </row>
    <row r="677" spans="1:2" x14ac:dyDescent="0.3">
      <c r="A677" s="55">
        <v>46036.979166666664</v>
      </c>
      <c r="B677" s="56">
        <v>12.2</v>
      </c>
    </row>
    <row r="678" spans="1:2" x14ac:dyDescent="0.3">
      <c r="A678" s="55">
        <v>46037</v>
      </c>
      <c r="B678" s="56">
        <v>12.3</v>
      </c>
    </row>
    <row r="679" spans="1:2" x14ac:dyDescent="0.3">
      <c r="A679" s="55">
        <v>46037.020833333336</v>
      </c>
      <c r="B679" s="56">
        <v>12.3</v>
      </c>
    </row>
    <row r="680" spans="1:2" x14ac:dyDescent="0.3">
      <c r="A680" s="55">
        <v>46037.041666666664</v>
      </c>
      <c r="B680" s="56">
        <v>12.2</v>
      </c>
    </row>
    <row r="681" spans="1:2" x14ac:dyDescent="0.3">
      <c r="A681" s="55">
        <v>46037.0625</v>
      </c>
      <c r="B681" s="56">
        <v>12.3</v>
      </c>
    </row>
    <row r="682" spans="1:2" x14ac:dyDescent="0.3">
      <c r="A682" s="55">
        <v>46037.083333333336</v>
      </c>
      <c r="B682" s="56">
        <v>12.4</v>
      </c>
    </row>
    <row r="683" spans="1:2" x14ac:dyDescent="0.3">
      <c r="A683" s="55">
        <v>46037.104166666664</v>
      </c>
      <c r="B683" s="56">
        <v>12.4</v>
      </c>
    </row>
    <row r="684" spans="1:2" x14ac:dyDescent="0.3">
      <c r="A684" s="55">
        <v>46037.125</v>
      </c>
      <c r="B684" s="56">
        <v>12.4</v>
      </c>
    </row>
    <row r="685" spans="1:2" x14ac:dyDescent="0.3">
      <c r="A685" s="55">
        <v>46037.145833333336</v>
      </c>
      <c r="B685" s="56">
        <v>12.4</v>
      </c>
    </row>
    <row r="686" spans="1:2" x14ac:dyDescent="0.3">
      <c r="A686" s="55">
        <v>46037.166666666664</v>
      </c>
      <c r="B686" s="56">
        <v>12.2</v>
      </c>
    </row>
    <row r="687" spans="1:2" x14ac:dyDescent="0.3">
      <c r="A687" s="55">
        <v>46037.1875</v>
      </c>
      <c r="B687" s="56">
        <v>12.2</v>
      </c>
    </row>
    <row r="688" spans="1:2" x14ac:dyDescent="0.3">
      <c r="A688" s="55">
        <v>46037.208333333336</v>
      </c>
      <c r="B688" s="56">
        <v>12.1</v>
      </c>
    </row>
    <row r="689" spans="1:2" x14ac:dyDescent="0.3">
      <c r="A689" s="55">
        <v>46037.229166666664</v>
      </c>
      <c r="B689" s="56">
        <v>12.1</v>
      </c>
    </row>
    <row r="690" spans="1:2" x14ac:dyDescent="0.3">
      <c r="A690" s="55">
        <v>46037.25</v>
      </c>
      <c r="B690" s="56">
        <v>12</v>
      </c>
    </row>
    <row r="691" spans="1:2" x14ac:dyDescent="0.3">
      <c r="A691" s="55">
        <v>46037.270833333336</v>
      </c>
      <c r="B691" s="56">
        <v>12</v>
      </c>
    </row>
    <row r="692" spans="1:2" x14ac:dyDescent="0.3">
      <c r="A692" s="55">
        <v>46037.291666666664</v>
      </c>
      <c r="B692" s="56">
        <v>12</v>
      </c>
    </row>
    <row r="693" spans="1:2" x14ac:dyDescent="0.3">
      <c r="A693" s="55">
        <v>46037.3125</v>
      </c>
      <c r="B693" s="56">
        <v>12</v>
      </c>
    </row>
    <row r="694" spans="1:2" x14ac:dyDescent="0.3">
      <c r="A694" s="55">
        <v>46037.333333333336</v>
      </c>
      <c r="B694" s="56">
        <v>12</v>
      </c>
    </row>
    <row r="695" spans="1:2" x14ac:dyDescent="0.3">
      <c r="A695" s="55">
        <v>46037.354166666664</v>
      </c>
      <c r="B695" s="56">
        <v>12.2</v>
      </c>
    </row>
    <row r="696" spans="1:2" x14ac:dyDescent="0.3">
      <c r="A696" s="55">
        <v>46037.375</v>
      </c>
      <c r="B696" s="56">
        <v>12.6</v>
      </c>
    </row>
    <row r="697" spans="1:2" x14ac:dyDescent="0.3">
      <c r="A697" s="55">
        <v>46037.395833333336</v>
      </c>
      <c r="B697" s="56">
        <v>12.8</v>
      </c>
    </row>
    <row r="698" spans="1:2" x14ac:dyDescent="0.3">
      <c r="A698" s="55">
        <v>46037.416666666664</v>
      </c>
      <c r="B698" s="56">
        <v>13.2</v>
      </c>
    </row>
    <row r="699" spans="1:2" x14ac:dyDescent="0.3">
      <c r="A699" s="55">
        <v>46037.4375</v>
      </c>
      <c r="B699" s="56">
        <v>13.8</v>
      </c>
    </row>
    <row r="700" spans="1:2" x14ac:dyDescent="0.3">
      <c r="A700" s="55">
        <v>46037.458333333336</v>
      </c>
      <c r="B700" s="56">
        <v>14.3</v>
      </c>
    </row>
    <row r="701" spans="1:2" x14ac:dyDescent="0.3">
      <c r="A701" s="55">
        <v>46037.479166666664</v>
      </c>
      <c r="B701" s="56">
        <v>14.9</v>
      </c>
    </row>
    <row r="702" spans="1:2" x14ac:dyDescent="0.3">
      <c r="A702" s="55">
        <v>46037.5</v>
      </c>
      <c r="B702" s="56">
        <v>15.2</v>
      </c>
    </row>
    <row r="703" spans="1:2" x14ac:dyDescent="0.3">
      <c r="A703" s="55">
        <v>46037.520833333336</v>
      </c>
      <c r="B703" s="56">
        <v>15.4</v>
      </c>
    </row>
    <row r="704" spans="1:2" x14ac:dyDescent="0.3">
      <c r="A704" s="55">
        <v>46037.541666666664</v>
      </c>
      <c r="B704" s="56">
        <v>15.4</v>
      </c>
    </row>
    <row r="705" spans="1:2" x14ac:dyDescent="0.3">
      <c r="A705" s="55">
        <v>46037.5625</v>
      </c>
      <c r="B705" s="56">
        <v>15.5</v>
      </c>
    </row>
    <row r="706" spans="1:2" x14ac:dyDescent="0.3">
      <c r="A706" s="55">
        <v>46037.583333333336</v>
      </c>
      <c r="B706" s="56">
        <v>15.9</v>
      </c>
    </row>
    <row r="707" spans="1:2" x14ac:dyDescent="0.3">
      <c r="A707" s="55">
        <v>46037.604166666664</v>
      </c>
      <c r="B707" s="56">
        <v>15.4</v>
      </c>
    </row>
    <row r="708" spans="1:2" x14ac:dyDescent="0.3">
      <c r="A708" s="55">
        <v>46037.625</v>
      </c>
      <c r="B708" s="56">
        <v>15.3</v>
      </c>
    </row>
    <row r="709" spans="1:2" x14ac:dyDescent="0.3">
      <c r="A709" s="55">
        <v>46037.645833333336</v>
      </c>
      <c r="B709" s="56">
        <v>14.9</v>
      </c>
    </row>
    <row r="710" spans="1:2" x14ac:dyDescent="0.3">
      <c r="A710" s="55">
        <v>46037.666666666664</v>
      </c>
      <c r="B710" s="56">
        <v>14.8</v>
      </c>
    </row>
    <row r="711" spans="1:2" x14ac:dyDescent="0.3">
      <c r="A711" s="55">
        <v>46037.6875</v>
      </c>
      <c r="B711" s="56">
        <v>14.4</v>
      </c>
    </row>
    <row r="712" spans="1:2" x14ac:dyDescent="0.3">
      <c r="A712" s="55">
        <v>46037.708333333336</v>
      </c>
      <c r="B712" s="56">
        <v>14.3</v>
      </c>
    </row>
    <row r="713" spans="1:2" x14ac:dyDescent="0.3">
      <c r="A713" s="55">
        <v>46037.729166666664</v>
      </c>
      <c r="B713" s="56">
        <v>13.9</v>
      </c>
    </row>
    <row r="714" spans="1:2" x14ac:dyDescent="0.3">
      <c r="A714" s="55">
        <v>46037.75</v>
      </c>
      <c r="B714" s="56">
        <v>13.5</v>
      </c>
    </row>
    <row r="715" spans="1:2" x14ac:dyDescent="0.3">
      <c r="A715" s="55">
        <v>46037.770833333336</v>
      </c>
      <c r="B715" s="56">
        <v>13.3</v>
      </c>
    </row>
    <row r="716" spans="1:2" x14ac:dyDescent="0.3">
      <c r="A716" s="55">
        <v>46037.791666666664</v>
      </c>
      <c r="B716" s="56">
        <v>13</v>
      </c>
    </row>
    <row r="717" spans="1:2" x14ac:dyDescent="0.3">
      <c r="A717" s="55">
        <v>46037.8125</v>
      </c>
      <c r="B717" s="56">
        <v>12.7</v>
      </c>
    </row>
    <row r="718" spans="1:2" x14ac:dyDescent="0.3">
      <c r="A718" s="55">
        <v>46037.833333333336</v>
      </c>
      <c r="B718" s="56">
        <v>12.6</v>
      </c>
    </row>
    <row r="719" spans="1:2" x14ac:dyDescent="0.3">
      <c r="A719" s="55">
        <v>46037.854166666664</v>
      </c>
      <c r="B719" s="56">
        <v>12.4</v>
      </c>
    </row>
    <row r="720" spans="1:2" x14ac:dyDescent="0.3">
      <c r="A720" s="55">
        <v>46037.875</v>
      </c>
      <c r="B720" s="56">
        <v>11.9</v>
      </c>
    </row>
    <row r="721" spans="1:2" x14ac:dyDescent="0.3">
      <c r="A721" s="55">
        <v>46037.895833333336</v>
      </c>
      <c r="B721" s="56">
        <v>11.8</v>
      </c>
    </row>
    <row r="722" spans="1:2" x14ac:dyDescent="0.3">
      <c r="A722" s="55">
        <v>46037.916666666664</v>
      </c>
      <c r="B722" s="56">
        <v>11.4</v>
      </c>
    </row>
    <row r="723" spans="1:2" x14ac:dyDescent="0.3">
      <c r="A723" s="55">
        <v>46037.9375</v>
      </c>
      <c r="B723" s="56">
        <v>11.1</v>
      </c>
    </row>
    <row r="724" spans="1:2" x14ac:dyDescent="0.3">
      <c r="A724" s="55">
        <v>46037.958333333336</v>
      </c>
      <c r="B724" s="56">
        <v>10.6</v>
      </c>
    </row>
    <row r="725" spans="1:2" x14ac:dyDescent="0.3">
      <c r="A725" s="55">
        <v>46037.979166666664</v>
      </c>
      <c r="B725" s="56">
        <v>10</v>
      </c>
    </row>
    <row r="726" spans="1:2" x14ac:dyDescent="0.3">
      <c r="A726" s="55">
        <v>46038</v>
      </c>
      <c r="B726" s="56">
        <v>9.5</v>
      </c>
    </row>
    <row r="727" spans="1:2" x14ac:dyDescent="0.3">
      <c r="A727" s="55">
        <v>46038.020833333336</v>
      </c>
      <c r="B727" s="56">
        <v>9</v>
      </c>
    </row>
    <row r="728" spans="1:2" x14ac:dyDescent="0.3">
      <c r="A728" s="55">
        <v>46038.041666666664</v>
      </c>
      <c r="B728" s="56">
        <v>8.4</v>
      </c>
    </row>
    <row r="729" spans="1:2" x14ac:dyDescent="0.3">
      <c r="A729" s="55">
        <v>46038.0625</v>
      </c>
      <c r="B729" s="56">
        <v>8.1</v>
      </c>
    </row>
    <row r="730" spans="1:2" x14ac:dyDescent="0.3">
      <c r="A730" s="55">
        <v>46038.083333333336</v>
      </c>
      <c r="B730" s="56">
        <v>8.5</v>
      </c>
    </row>
    <row r="731" spans="1:2" x14ac:dyDescent="0.3">
      <c r="A731" s="55">
        <v>46038.104166666664</v>
      </c>
      <c r="B731" s="56">
        <v>8.3000000000000007</v>
      </c>
    </row>
    <row r="732" spans="1:2" x14ac:dyDescent="0.3">
      <c r="A732" s="55">
        <v>46038.125</v>
      </c>
      <c r="B732" s="56">
        <v>8.1999999999999993</v>
      </c>
    </row>
    <row r="733" spans="1:2" x14ac:dyDescent="0.3">
      <c r="A733" s="55">
        <v>46038.145833333336</v>
      </c>
      <c r="B733" s="56">
        <v>8.1999999999999993</v>
      </c>
    </row>
    <row r="734" spans="1:2" x14ac:dyDescent="0.3">
      <c r="A734" s="55">
        <v>46038.166666666664</v>
      </c>
      <c r="B734" s="56">
        <v>8</v>
      </c>
    </row>
    <row r="735" spans="1:2" x14ac:dyDescent="0.3">
      <c r="A735" s="55">
        <v>46038.1875</v>
      </c>
      <c r="B735" s="56">
        <v>8.3000000000000007</v>
      </c>
    </row>
    <row r="736" spans="1:2" x14ac:dyDescent="0.3">
      <c r="A736" s="55">
        <v>46038.208333333336</v>
      </c>
      <c r="B736" s="56">
        <v>7.9</v>
      </c>
    </row>
    <row r="737" spans="1:2" x14ac:dyDescent="0.3">
      <c r="A737" s="55">
        <v>46038.229166666664</v>
      </c>
      <c r="B737" s="56">
        <v>7.6</v>
      </c>
    </row>
    <row r="738" spans="1:2" x14ac:dyDescent="0.3">
      <c r="A738" s="55">
        <v>46038.25</v>
      </c>
      <c r="B738" s="56">
        <v>7.4</v>
      </c>
    </row>
    <row r="739" spans="1:2" x14ac:dyDescent="0.3">
      <c r="A739" s="55">
        <v>46038.270833333336</v>
      </c>
      <c r="B739" s="56">
        <v>7</v>
      </c>
    </row>
    <row r="740" spans="1:2" x14ac:dyDescent="0.3">
      <c r="A740" s="55">
        <v>46038.291666666664</v>
      </c>
      <c r="B740" s="56">
        <v>6.9</v>
      </c>
    </row>
    <row r="741" spans="1:2" x14ac:dyDescent="0.3">
      <c r="A741" s="55">
        <v>46038.3125</v>
      </c>
      <c r="B741" s="56">
        <v>6.7</v>
      </c>
    </row>
    <row r="742" spans="1:2" x14ac:dyDescent="0.3">
      <c r="A742" s="55">
        <v>46038.333333333336</v>
      </c>
      <c r="B742" s="56">
        <v>7.1</v>
      </c>
    </row>
    <row r="743" spans="1:2" x14ac:dyDescent="0.3">
      <c r="A743" s="55">
        <v>46038.354166666664</v>
      </c>
      <c r="B743" s="56">
        <v>7.6</v>
      </c>
    </row>
    <row r="744" spans="1:2" x14ac:dyDescent="0.3">
      <c r="A744" s="55">
        <v>46038.375</v>
      </c>
      <c r="B744" s="56">
        <v>8.3000000000000007</v>
      </c>
    </row>
    <row r="745" spans="1:2" x14ac:dyDescent="0.3">
      <c r="A745" s="55">
        <v>46038.395833333336</v>
      </c>
      <c r="B745" s="56">
        <v>9</v>
      </c>
    </row>
    <row r="746" spans="1:2" x14ac:dyDescent="0.3">
      <c r="A746" s="55">
        <v>46038.416666666664</v>
      </c>
      <c r="B746" s="56">
        <v>9.5</v>
      </c>
    </row>
    <row r="747" spans="1:2" x14ac:dyDescent="0.3">
      <c r="A747" s="55">
        <v>46038.4375</v>
      </c>
      <c r="B747" s="56">
        <v>10</v>
      </c>
    </row>
    <row r="748" spans="1:2" x14ac:dyDescent="0.3">
      <c r="A748" s="55">
        <v>46038.458333333336</v>
      </c>
      <c r="B748" s="56">
        <v>10.7</v>
      </c>
    </row>
    <row r="749" spans="1:2" x14ac:dyDescent="0.3">
      <c r="A749" s="55">
        <v>46038.479166666664</v>
      </c>
      <c r="B749" s="56">
        <v>11.4</v>
      </c>
    </row>
    <row r="750" spans="1:2" x14ac:dyDescent="0.3">
      <c r="A750" s="55">
        <v>46038.5</v>
      </c>
      <c r="B750" s="56">
        <v>11.8</v>
      </c>
    </row>
    <row r="751" spans="1:2" x14ac:dyDescent="0.3">
      <c r="A751" s="55">
        <v>46038.520833333336</v>
      </c>
      <c r="B751" s="56">
        <v>12.8</v>
      </c>
    </row>
    <row r="752" spans="1:2" x14ac:dyDescent="0.3">
      <c r="A752" s="55">
        <v>46038.541666666664</v>
      </c>
      <c r="B752" s="56">
        <v>13.2</v>
      </c>
    </row>
    <row r="753" spans="1:2" x14ac:dyDescent="0.3">
      <c r="A753" s="55">
        <v>46038.5625</v>
      </c>
      <c r="B753" s="56">
        <v>13.3</v>
      </c>
    </row>
    <row r="754" spans="1:2" x14ac:dyDescent="0.3">
      <c r="A754" s="55">
        <v>46038.583333333336</v>
      </c>
      <c r="B754" s="56">
        <v>13.3</v>
      </c>
    </row>
    <row r="755" spans="1:2" x14ac:dyDescent="0.3">
      <c r="A755" s="55">
        <v>46038.604166666664</v>
      </c>
      <c r="B755" s="56">
        <v>13.5</v>
      </c>
    </row>
    <row r="756" spans="1:2" x14ac:dyDescent="0.3">
      <c r="A756" s="55">
        <v>46038.625</v>
      </c>
      <c r="B756" s="56">
        <v>13.4</v>
      </c>
    </row>
    <row r="757" spans="1:2" x14ac:dyDescent="0.3">
      <c r="A757" s="55">
        <v>46038.645833333336</v>
      </c>
      <c r="B757" s="56">
        <v>13.3</v>
      </c>
    </row>
    <row r="758" spans="1:2" x14ac:dyDescent="0.3">
      <c r="A758" s="55">
        <v>46038.666666666664</v>
      </c>
      <c r="B758" s="56">
        <v>13.1</v>
      </c>
    </row>
    <row r="759" spans="1:2" x14ac:dyDescent="0.3">
      <c r="A759" s="55">
        <v>46038.6875</v>
      </c>
      <c r="B759" s="56">
        <v>12.7</v>
      </c>
    </row>
    <row r="760" spans="1:2" x14ac:dyDescent="0.3">
      <c r="A760" s="55">
        <v>46038.708333333336</v>
      </c>
      <c r="B760" s="56">
        <v>12.5</v>
      </c>
    </row>
    <row r="761" spans="1:2" x14ac:dyDescent="0.3">
      <c r="A761" s="55">
        <v>46038.729166666664</v>
      </c>
      <c r="B761" s="56">
        <v>12.4</v>
      </c>
    </row>
    <row r="762" spans="1:2" x14ac:dyDescent="0.3">
      <c r="A762" s="55">
        <v>46038.75</v>
      </c>
      <c r="B762" s="56">
        <v>12.1</v>
      </c>
    </row>
    <row r="763" spans="1:2" x14ac:dyDescent="0.3">
      <c r="A763" s="55">
        <v>46038.770833333336</v>
      </c>
      <c r="B763" s="56">
        <v>11.8</v>
      </c>
    </row>
    <row r="764" spans="1:2" x14ac:dyDescent="0.3">
      <c r="A764" s="55">
        <v>46038.791666666664</v>
      </c>
      <c r="B764" s="56">
        <v>11.4</v>
      </c>
    </row>
    <row r="765" spans="1:2" x14ac:dyDescent="0.3">
      <c r="A765" s="55">
        <v>46038.8125</v>
      </c>
      <c r="B765" s="56">
        <v>10.9</v>
      </c>
    </row>
    <row r="766" spans="1:2" x14ac:dyDescent="0.3">
      <c r="A766" s="55">
        <v>46038.833333333336</v>
      </c>
      <c r="B766" s="56">
        <v>10.1</v>
      </c>
    </row>
    <row r="767" spans="1:2" x14ac:dyDescent="0.3">
      <c r="A767" s="55">
        <v>46038.854166666664</v>
      </c>
      <c r="B767" s="56">
        <v>9.6999999999999993</v>
      </c>
    </row>
    <row r="768" spans="1:2" x14ac:dyDescent="0.3">
      <c r="A768" s="55">
        <v>46038.875</v>
      </c>
      <c r="B768" s="56">
        <v>8.8000000000000007</v>
      </c>
    </row>
    <row r="769" spans="1:2" x14ac:dyDescent="0.3">
      <c r="A769" s="55">
        <v>46038.895833333336</v>
      </c>
      <c r="B769" s="56">
        <v>8.4</v>
      </c>
    </row>
    <row r="770" spans="1:2" x14ac:dyDescent="0.3">
      <c r="A770" s="55">
        <v>46038.916666666664</v>
      </c>
      <c r="B770" s="56">
        <v>8.6</v>
      </c>
    </row>
    <row r="771" spans="1:2" x14ac:dyDescent="0.3">
      <c r="A771" s="55">
        <v>46038.9375</v>
      </c>
      <c r="B771" s="56">
        <v>8.6999999999999993</v>
      </c>
    </row>
    <row r="772" spans="1:2" x14ac:dyDescent="0.3">
      <c r="A772" s="55">
        <v>46038.958333333336</v>
      </c>
      <c r="B772" s="56">
        <v>8.8000000000000007</v>
      </c>
    </row>
    <row r="773" spans="1:2" x14ac:dyDescent="0.3">
      <c r="A773" s="55">
        <v>46038.979166666664</v>
      </c>
      <c r="B773" s="56">
        <v>8.4</v>
      </c>
    </row>
    <row r="774" spans="1:2" x14ac:dyDescent="0.3">
      <c r="A774" s="55">
        <v>46039</v>
      </c>
      <c r="B774" s="56">
        <v>8.1</v>
      </c>
    </row>
    <row r="775" spans="1:2" x14ac:dyDescent="0.3">
      <c r="A775" s="55">
        <v>46039.020833333336</v>
      </c>
      <c r="B775" s="56">
        <v>7.5</v>
      </c>
    </row>
    <row r="776" spans="1:2" x14ac:dyDescent="0.3">
      <c r="A776" s="55">
        <v>46039.041666666664</v>
      </c>
      <c r="B776" s="56">
        <v>7.2</v>
      </c>
    </row>
    <row r="777" spans="1:2" x14ac:dyDescent="0.3">
      <c r="A777" s="55">
        <v>46039.0625</v>
      </c>
      <c r="B777" s="56">
        <v>6.9</v>
      </c>
    </row>
    <row r="778" spans="1:2" x14ac:dyDescent="0.3">
      <c r="A778" s="55">
        <v>46039.083333333336</v>
      </c>
      <c r="B778" s="56">
        <v>6.9</v>
      </c>
    </row>
    <row r="779" spans="1:2" x14ac:dyDescent="0.3">
      <c r="A779" s="55">
        <v>46039.104166666664</v>
      </c>
      <c r="B779" s="56">
        <v>6.6</v>
      </c>
    </row>
    <row r="780" spans="1:2" x14ac:dyDescent="0.3">
      <c r="A780" s="55">
        <v>46039.125</v>
      </c>
      <c r="B780" s="56">
        <v>6.4</v>
      </c>
    </row>
    <row r="781" spans="1:2" x14ac:dyDescent="0.3">
      <c r="A781" s="55">
        <v>46039.145833333336</v>
      </c>
      <c r="B781" s="56">
        <v>6.3</v>
      </c>
    </row>
    <row r="782" spans="1:2" x14ac:dyDescent="0.3">
      <c r="A782" s="55">
        <v>46039.166666666664</v>
      </c>
      <c r="B782" s="56">
        <v>6.3</v>
      </c>
    </row>
    <row r="783" spans="1:2" x14ac:dyDescent="0.3">
      <c r="A783" s="55">
        <v>46039.1875</v>
      </c>
      <c r="B783" s="56">
        <v>6.2</v>
      </c>
    </row>
    <row r="784" spans="1:2" x14ac:dyDescent="0.3">
      <c r="A784" s="55">
        <v>46039.208333333336</v>
      </c>
      <c r="B784" s="56">
        <v>6.1</v>
      </c>
    </row>
    <row r="785" spans="1:2" x14ac:dyDescent="0.3">
      <c r="A785" s="55">
        <v>46039.229166666664</v>
      </c>
      <c r="B785" s="56">
        <v>6</v>
      </c>
    </row>
    <row r="786" spans="1:2" x14ac:dyDescent="0.3">
      <c r="A786" s="55">
        <v>46039.25</v>
      </c>
      <c r="B786" s="56">
        <v>6.5</v>
      </c>
    </row>
    <row r="787" spans="1:2" x14ac:dyDescent="0.3">
      <c r="A787" s="55">
        <v>46039.270833333336</v>
      </c>
      <c r="B787" s="56">
        <v>6</v>
      </c>
    </row>
    <row r="788" spans="1:2" x14ac:dyDescent="0.3">
      <c r="A788" s="55">
        <v>46039.291666666664</v>
      </c>
      <c r="B788" s="56">
        <v>5.7</v>
      </c>
    </row>
    <row r="789" spans="1:2" x14ac:dyDescent="0.3">
      <c r="A789" s="55">
        <v>46039.3125</v>
      </c>
      <c r="B789" s="56">
        <v>6</v>
      </c>
    </row>
    <row r="790" spans="1:2" x14ac:dyDescent="0.3">
      <c r="A790" s="55">
        <v>46039.333333333336</v>
      </c>
      <c r="B790" s="56">
        <v>6.8</v>
      </c>
    </row>
    <row r="791" spans="1:2" x14ac:dyDescent="0.3">
      <c r="A791" s="55">
        <v>46039.354166666664</v>
      </c>
      <c r="B791" s="56">
        <v>7.6</v>
      </c>
    </row>
    <row r="792" spans="1:2" x14ac:dyDescent="0.3">
      <c r="A792" s="55">
        <v>46039.375</v>
      </c>
      <c r="B792" s="56">
        <v>8.6999999999999993</v>
      </c>
    </row>
    <row r="793" spans="1:2" x14ac:dyDescent="0.3">
      <c r="A793" s="55">
        <v>46039.395833333336</v>
      </c>
      <c r="B793" s="56">
        <v>10.199999999999999</v>
      </c>
    </row>
    <row r="794" spans="1:2" x14ac:dyDescent="0.3">
      <c r="A794" s="55">
        <v>46039.416666666664</v>
      </c>
      <c r="B794" s="56">
        <v>11.5</v>
      </c>
    </row>
    <row r="795" spans="1:2" x14ac:dyDescent="0.3">
      <c r="A795" s="55">
        <v>46039.4375</v>
      </c>
      <c r="B795" s="56">
        <v>12.7</v>
      </c>
    </row>
    <row r="796" spans="1:2" x14ac:dyDescent="0.3">
      <c r="A796" s="55">
        <v>46039.458333333336</v>
      </c>
      <c r="B796" s="56">
        <v>13.5</v>
      </c>
    </row>
    <row r="797" spans="1:2" x14ac:dyDescent="0.3">
      <c r="A797" s="55">
        <v>46039.479166666664</v>
      </c>
      <c r="B797" s="56">
        <v>14.3</v>
      </c>
    </row>
    <row r="798" spans="1:2" x14ac:dyDescent="0.3">
      <c r="A798" s="55">
        <v>46039.5</v>
      </c>
      <c r="B798" s="56">
        <v>14.3</v>
      </c>
    </row>
    <row r="799" spans="1:2" x14ac:dyDescent="0.3">
      <c r="A799" s="55">
        <v>46039.520833333336</v>
      </c>
      <c r="B799" s="56">
        <v>14.8</v>
      </c>
    </row>
    <row r="800" spans="1:2" x14ac:dyDescent="0.3">
      <c r="A800" s="55">
        <v>46039.541666666664</v>
      </c>
      <c r="B800" s="56">
        <v>15.2</v>
      </c>
    </row>
    <row r="801" spans="1:2" x14ac:dyDescent="0.3">
      <c r="A801" s="55">
        <v>46039.5625</v>
      </c>
      <c r="B801" s="56">
        <v>15.6</v>
      </c>
    </row>
    <row r="802" spans="1:2" x14ac:dyDescent="0.3">
      <c r="A802" s="55">
        <v>46039.583333333336</v>
      </c>
      <c r="B802" s="56">
        <v>15.7</v>
      </c>
    </row>
    <row r="803" spans="1:2" x14ac:dyDescent="0.3">
      <c r="A803" s="55">
        <v>46039.604166666664</v>
      </c>
      <c r="B803" s="56">
        <v>15.8</v>
      </c>
    </row>
    <row r="804" spans="1:2" x14ac:dyDescent="0.3">
      <c r="A804" s="55">
        <v>46039.625</v>
      </c>
      <c r="B804" s="56">
        <v>15.6</v>
      </c>
    </row>
    <row r="805" spans="1:2" x14ac:dyDescent="0.3">
      <c r="A805" s="55">
        <v>46039.645833333336</v>
      </c>
      <c r="B805" s="56">
        <v>15.2</v>
      </c>
    </row>
    <row r="806" spans="1:2" x14ac:dyDescent="0.3">
      <c r="A806" s="55">
        <v>46039.666666666664</v>
      </c>
      <c r="B806" s="56">
        <v>14.8</v>
      </c>
    </row>
    <row r="807" spans="1:2" x14ac:dyDescent="0.3">
      <c r="A807" s="55">
        <v>46039.6875</v>
      </c>
      <c r="B807" s="56">
        <v>14.1</v>
      </c>
    </row>
    <row r="808" spans="1:2" x14ac:dyDescent="0.3">
      <c r="A808" s="55">
        <v>46039.708333333336</v>
      </c>
      <c r="B808" s="56">
        <v>13.3</v>
      </c>
    </row>
    <row r="809" spans="1:2" x14ac:dyDescent="0.3">
      <c r="A809" s="55">
        <v>46039.729166666664</v>
      </c>
      <c r="B809" s="56">
        <v>13</v>
      </c>
    </row>
    <row r="810" spans="1:2" x14ac:dyDescent="0.3">
      <c r="A810" s="55">
        <v>46039.75</v>
      </c>
      <c r="B810" s="56">
        <v>12.5</v>
      </c>
    </row>
    <row r="811" spans="1:2" x14ac:dyDescent="0.3">
      <c r="A811" s="55">
        <v>46039.770833333336</v>
      </c>
      <c r="B811" s="56">
        <v>12</v>
      </c>
    </row>
    <row r="812" spans="1:2" x14ac:dyDescent="0.3">
      <c r="A812" s="55">
        <v>46039.791666666664</v>
      </c>
      <c r="B812" s="56">
        <v>11.6</v>
      </c>
    </row>
    <row r="813" spans="1:2" x14ac:dyDescent="0.3">
      <c r="A813" s="55">
        <v>46039.8125</v>
      </c>
      <c r="B813" s="56">
        <v>10.9</v>
      </c>
    </row>
    <row r="814" spans="1:2" x14ac:dyDescent="0.3">
      <c r="A814" s="55">
        <v>46039.833333333336</v>
      </c>
      <c r="B814" s="56">
        <v>10.3</v>
      </c>
    </row>
    <row r="815" spans="1:2" x14ac:dyDescent="0.3">
      <c r="A815" s="55">
        <v>46039.854166666664</v>
      </c>
      <c r="B815" s="56">
        <v>10.8</v>
      </c>
    </row>
    <row r="816" spans="1:2" x14ac:dyDescent="0.3">
      <c r="A816" s="55">
        <v>46039.875</v>
      </c>
      <c r="B816" s="56">
        <v>10.7</v>
      </c>
    </row>
    <row r="817" spans="1:2" x14ac:dyDescent="0.3">
      <c r="A817" s="55">
        <v>46039.895833333336</v>
      </c>
      <c r="B817" s="56">
        <v>11.4</v>
      </c>
    </row>
    <row r="818" spans="1:2" x14ac:dyDescent="0.3">
      <c r="A818" s="55">
        <v>46039.916666666664</v>
      </c>
      <c r="B818" s="56">
        <v>9.9</v>
      </c>
    </row>
    <row r="819" spans="1:2" x14ac:dyDescent="0.3">
      <c r="A819" s="55">
        <v>46039.9375</v>
      </c>
      <c r="B819" s="56">
        <v>9.3000000000000007</v>
      </c>
    </row>
    <row r="820" spans="1:2" x14ac:dyDescent="0.3">
      <c r="A820" s="55">
        <v>46039.958333333336</v>
      </c>
      <c r="B820" s="56">
        <v>9</v>
      </c>
    </row>
    <row r="821" spans="1:2" x14ac:dyDescent="0.3">
      <c r="A821" s="55">
        <v>46039.979166666664</v>
      </c>
      <c r="B821" s="56">
        <v>9.1</v>
      </c>
    </row>
    <row r="822" spans="1:2" x14ac:dyDescent="0.3">
      <c r="A822" s="55">
        <v>46040</v>
      </c>
      <c r="B822" s="56">
        <v>8.6999999999999993</v>
      </c>
    </row>
    <row r="823" spans="1:2" x14ac:dyDescent="0.3">
      <c r="A823" s="55">
        <v>46040.020833333336</v>
      </c>
      <c r="B823" s="56">
        <v>8.6</v>
      </c>
    </row>
    <row r="824" spans="1:2" x14ac:dyDescent="0.3">
      <c r="A824" s="55">
        <v>46040.041666666664</v>
      </c>
      <c r="B824" s="56">
        <v>8.8000000000000007</v>
      </c>
    </row>
    <row r="825" spans="1:2" x14ac:dyDescent="0.3">
      <c r="A825" s="55">
        <v>46040.0625</v>
      </c>
      <c r="B825" s="56">
        <v>8.6</v>
      </c>
    </row>
    <row r="826" spans="1:2" x14ac:dyDescent="0.3">
      <c r="A826" s="55">
        <v>46040.083333333336</v>
      </c>
      <c r="B826" s="56">
        <v>8.1999999999999993</v>
      </c>
    </row>
    <row r="827" spans="1:2" x14ac:dyDescent="0.3">
      <c r="A827" s="55">
        <v>46040.104166666664</v>
      </c>
      <c r="B827" s="56">
        <v>8.1999999999999993</v>
      </c>
    </row>
    <row r="828" spans="1:2" x14ac:dyDescent="0.3">
      <c r="A828" s="55">
        <v>46040.125</v>
      </c>
      <c r="B828" s="56">
        <v>8.3000000000000007</v>
      </c>
    </row>
    <row r="829" spans="1:2" x14ac:dyDescent="0.3">
      <c r="A829" s="55">
        <v>46040.145833333336</v>
      </c>
      <c r="B829" s="56">
        <v>7.7</v>
      </c>
    </row>
    <row r="830" spans="1:2" x14ac:dyDescent="0.3">
      <c r="A830" s="55">
        <v>46040.166666666664</v>
      </c>
      <c r="B830" s="56">
        <v>8.1999999999999993</v>
      </c>
    </row>
    <row r="831" spans="1:2" x14ac:dyDescent="0.3">
      <c r="A831" s="55">
        <v>46040.1875</v>
      </c>
      <c r="B831" s="56">
        <v>7.7</v>
      </c>
    </row>
    <row r="832" spans="1:2" x14ac:dyDescent="0.3">
      <c r="A832" s="55">
        <v>46040.208333333336</v>
      </c>
      <c r="B832" s="56">
        <v>7.1</v>
      </c>
    </row>
    <row r="833" spans="1:2" x14ac:dyDescent="0.3">
      <c r="A833" s="55">
        <v>46040.229166666664</v>
      </c>
      <c r="B833" s="56">
        <v>6.8</v>
      </c>
    </row>
    <row r="834" spans="1:2" x14ac:dyDescent="0.3">
      <c r="A834" s="55">
        <v>46040.25</v>
      </c>
      <c r="B834" s="56">
        <v>6.9</v>
      </c>
    </row>
    <row r="835" spans="1:2" x14ac:dyDescent="0.3">
      <c r="A835" s="55">
        <v>46040.270833333336</v>
      </c>
      <c r="B835" s="56">
        <v>7</v>
      </c>
    </row>
    <row r="836" spans="1:2" x14ac:dyDescent="0.3">
      <c r="A836" s="55">
        <v>46040.291666666664</v>
      </c>
      <c r="B836" s="56">
        <v>7</v>
      </c>
    </row>
    <row r="837" spans="1:2" x14ac:dyDescent="0.3">
      <c r="A837" s="55">
        <v>46040.3125</v>
      </c>
      <c r="B837" s="56">
        <v>7.1</v>
      </c>
    </row>
    <row r="838" spans="1:2" x14ac:dyDescent="0.3">
      <c r="A838" s="55">
        <v>46040.333333333336</v>
      </c>
      <c r="B838" s="56">
        <v>7.6</v>
      </c>
    </row>
    <row r="839" spans="1:2" x14ac:dyDescent="0.3">
      <c r="A839" s="55">
        <v>46040.354166666664</v>
      </c>
      <c r="B839" s="56">
        <v>8.3000000000000007</v>
      </c>
    </row>
    <row r="840" spans="1:2" x14ac:dyDescent="0.3">
      <c r="A840" s="55">
        <v>46040.375</v>
      </c>
      <c r="B840" s="56">
        <v>8.6999999999999993</v>
      </c>
    </row>
    <row r="841" spans="1:2" x14ac:dyDescent="0.3">
      <c r="A841" s="55">
        <v>46040.395833333336</v>
      </c>
      <c r="B841" s="56">
        <v>8.8000000000000007</v>
      </c>
    </row>
    <row r="842" spans="1:2" x14ac:dyDescent="0.3">
      <c r="A842" s="55">
        <v>46040.416666666664</v>
      </c>
      <c r="B842" s="56">
        <v>10.199999999999999</v>
      </c>
    </row>
    <row r="843" spans="1:2" x14ac:dyDescent="0.3">
      <c r="A843" s="55">
        <v>46040.4375</v>
      </c>
      <c r="B843" s="56">
        <v>11.6</v>
      </c>
    </row>
    <row r="844" spans="1:2" x14ac:dyDescent="0.3">
      <c r="A844" s="55">
        <v>46040.458333333336</v>
      </c>
      <c r="B844" s="56">
        <v>13.2</v>
      </c>
    </row>
    <row r="845" spans="1:2" x14ac:dyDescent="0.3">
      <c r="A845" s="55">
        <v>46040.479166666664</v>
      </c>
      <c r="B845" s="56">
        <v>13.2</v>
      </c>
    </row>
    <row r="846" spans="1:2" x14ac:dyDescent="0.3">
      <c r="A846" s="55">
        <v>46040.5</v>
      </c>
      <c r="B846" s="56">
        <v>13.6</v>
      </c>
    </row>
    <row r="847" spans="1:2" x14ac:dyDescent="0.3">
      <c r="A847" s="55">
        <v>46040.520833333336</v>
      </c>
      <c r="B847" s="56">
        <v>14</v>
      </c>
    </row>
    <row r="848" spans="1:2" x14ac:dyDescent="0.3">
      <c r="A848" s="55">
        <v>46040.541666666664</v>
      </c>
      <c r="B848" s="56">
        <v>14.4</v>
      </c>
    </row>
    <row r="849" spans="1:2" x14ac:dyDescent="0.3">
      <c r="A849" s="55">
        <v>46040.5625</v>
      </c>
      <c r="B849" s="56">
        <v>14.4</v>
      </c>
    </row>
    <row r="850" spans="1:2" x14ac:dyDescent="0.3">
      <c r="A850" s="55">
        <v>46040.583333333336</v>
      </c>
      <c r="B850" s="56">
        <v>14.6</v>
      </c>
    </row>
    <row r="851" spans="1:2" x14ac:dyDescent="0.3">
      <c r="A851" s="55">
        <v>46040.604166666664</v>
      </c>
      <c r="B851" s="56">
        <v>14.8</v>
      </c>
    </row>
    <row r="852" spans="1:2" x14ac:dyDescent="0.3">
      <c r="A852" s="55">
        <v>46040.625</v>
      </c>
      <c r="B852" s="56">
        <v>14.7</v>
      </c>
    </row>
    <row r="853" spans="1:2" x14ac:dyDescent="0.3">
      <c r="A853" s="55">
        <v>46040.645833333336</v>
      </c>
      <c r="B853" s="56">
        <v>14.6</v>
      </c>
    </row>
    <row r="854" spans="1:2" x14ac:dyDescent="0.3">
      <c r="A854" s="55">
        <v>46040.666666666664</v>
      </c>
      <c r="B854" s="56">
        <v>14.4</v>
      </c>
    </row>
    <row r="855" spans="1:2" x14ac:dyDescent="0.3">
      <c r="A855" s="55">
        <v>46040.6875</v>
      </c>
      <c r="B855" s="56">
        <v>14.3</v>
      </c>
    </row>
    <row r="856" spans="1:2" x14ac:dyDescent="0.3">
      <c r="A856" s="55">
        <v>46040.708333333336</v>
      </c>
      <c r="B856" s="56">
        <v>14.1</v>
      </c>
    </row>
    <row r="857" spans="1:2" x14ac:dyDescent="0.3">
      <c r="A857" s="55">
        <v>46040.729166666664</v>
      </c>
      <c r="B857" s="56">
        <v>13.9</v>
      </c>
    </row>
    <row r="858" spans="1:2" x14ac:dyDescent="0.3">
      <c r="A858" s="55">
        <v>46040.75</v>
      </c>
      <c r="B858" s="56">
        <v>13.8</v>
      </c>
    </row>
    <row r="859" spans="1:2" x14ac:dyDescent="0.3">
      <c r="A859" s="55">
        <v>46040.770833333336</v>
      </c>
      <c r="B859" s="56">
        <v>13.8</v>
      </c>
    </row>
    <row r="860" spans="1:2" x14ac:dyDescent="0.3">
      <c r="A860" s="55">
        <v>46040.791666666664</v>
      </c>
      <c r="B860" s="56">
        <v>13.6</v>
      </c>
    </row>
    <row r="861" spans="1:2" x14ac:dyDescent="0.3">
      <c r="A861" s="55">
        <v>46040.8125</v>
      </c>
      <c r="B861" s="56">
        <v>13.7</v>
      </c>
    </row>
    <row r="862" spans="1:2" x14ac:dyDescent="0.3">
      <c r="A862" s="55">
        <v>46040.833333333336</v>
      </c>
      <c r="B862" s="56">
        <v>13.7</v>
      </c>
    </row>
    <row r="863" spans="1:2" x14ac:dyDescent="0.3">
      <c r="A863" s="55">
        <v>46040.854166666664</v>
      </c>
      <c r="B863" s="56">
        <v>13.9</v>
      </c>
    </row>
    <row r="864" spans="1:2" x14ac:dyDescent="0.3">
      <c r="A864" s="55">
        <v>46040.875</v>
      </c>
      <c r="B864" s="56">
        <v>13.6</v>
      </c>
    </row>
    <row r="865" spans="1:2" x14ac:dyDescent="0.3">
      <c r="A865" s="55">
        <v>46040.895833333336</v>
      </c>
      <c r="B865" s="56">
        <v>13.4</v>
      </c>
    </row>
    <row r="866" spans="1:2" x14ac:dyDescent="0.3">
      <c r="A866" s="55">
        <v>46040.916666666664</v>
      </c>
      <c r="B866" s="56">
        <v>13.4</v>
      </c>
    </row>
    <row r="867" spans="1:2" x14ac:dyDescent="0.3">
      <c r="A867" s="55">
        <v>46040.9375</v>
      </c>
      <c r="B867" s="56">
        <v>13.5</v>
      </c>
    </row>
    <row r="868" spans="1:2" x14ac:dyDescent="0.3">
      <c r="A868" s="55">
        <v>46040.958333333336</v>
      </c>
      <c r="B868" s="56">
        <v>13.2</v>
      </c>
    </row>
    <row r="869" spans="1:2" x14ac:dyDescent="0.3">
      <c r="A869" s="55">
        <v>46040.979166666664</v>
      </c>
      <c r="B869" s="56">
        <v>13.2</v>
      </c>
    </row>
    <row r="870" spans="1:2" x14ac:dyDescent="0.3">
      <c r="A870" s="55">
        <v>46041</v>
      </c>
      <c r="B870" s="56">
        <v>13</v>
      </c>
    </row>
    <row r="871" spans="1:2" x14ac:dyDescent="0.3">
      <c r="A871" s="55">
        <v>46041.020833333336</v>
      </c>
      <c r="B871" s="56">
        <v>12.8</v>
      </c>
    </row>
    <row r="872" spans="1:2" x14ac:dyDescent="0.3">
      <c r="A872" s="55">
        <v>46041.041666666664</v>
      </c>
      <c r="B872" s="56">
        <v>12.4</v>
      </c>
    </row>
    <row r="873" spans="1:2" x14ac:dyDescent="0.3">
      <c r="A873" s="55">
        <v>46041.0625</v>
      </c>
      <c r="B873" s="56">
        <v>12.8</v>
      </c>
    </row>
    <row r="874" spans="1:2" x14ac:dyDescent="0.3">
      <c r="A874" s="55">
        <v>46041.083333333336</v>
      </c>
      <c r="B874" s="56">
        <v>12.7</v>
      </c>
    </row>
    <row r="875" spans="1:2" x14ac:dyDescent="0.3">
      <c r="A875" s="55">
        <v>46041.104166666664</v>
      </c>
      <c r="B875" s="56">
        <v>12.6</v>
      </c>
    </row>
    <row r="876" spans="1:2" x14ac:dyDescent="0.3">
      <c r="A876" s="55">
        <v>46041.125</v>
      </c>
      <c r="B876" s="56">
        <v>12.7</v>
      </c>
    </row>
    <row r="877" spans="1:2" x14ac:dyDescent="0.3">
      <c r="A877" s="55">
        <v>46041.145833333336</v>
      </c>
      <c r="B877" s="56">
        <v>12.7</v>
      </c>
    </row>
    <row r="878" spans="1:2" x14ac:dyDescent="0.3">
      <c r="A878" s="55">
        <v>46041.166666666664</v>
      </c>
      <c r="B878" s="56">
        <v>12.7</v>
      </c>
    </row>
    <row r="879" spans="1:2" x14ac:dyDescent="0.3">
      <c r="A879" s="55">
        <v>46041.1875</v>
      </c>
      <c r="B879" s="56">
        <v>12.1</v>
      </c>
    </row>
    <row r="880" spans="1:2" x14ac:dyDescent="0.3">
      <c r="A880" s="55">
        <v>46041.208333333336</v>
      </c>
      <c r="B880" s="56">
        <v>12</v>
      </c>
    </row>
    <row r="881" spans="1:2" x14ac:dyDescent="0.3">
      <c r="A881" s="55">
        <v>46041.229166666664</v>
      </c>
      <c r="B881" s="56">
        <v>12.1</v>
      </c>
    </row>
    <row r="882" spans="1:2" x14ac:dyDescent="0.3">
      <c r="A882" s="55">
        <v>46041.25</v>
      </c>
      <c r="B882" s="56">
        <v>12.2</v>
      </c>
    </row>
    <row r="883" spans="1:2" x14ac:dyDescent="0.3">
      <c r="A883" s="55">
        <v>46041.270833333336</v>
      </c>
      <c r="B883" s="56">
        <v>11.9</v>
      </c>
    </row>
    <row r="884" spans="1:2" x14ac:dyDescent="0.3">
      <c r="A884" s="55">
        <v>46041.291666666664</v>
      </c>
      <c r="B884" s="56">
        <v>11.9</v>
      </c>
    </row>
    <row r="885" spans="1:2" x14ac:dyDescent="0.3">
      <c r="A885" s="55">
        <v>46041.3125</v>
      </c>
      <c r="B885" s="56">
        <v>11.8</v>
      </c>
    </row>
    <row r="886" spans="1:2" x14ac:dyDescent="0.3">
      <c r="A886" s="55">
        <v>46041.333333333336</v>
      </c>
      <c r="B886" s="56">
        <v>11.9</v>
      </c>
    </row>
    <row r="887" spans="1:2" x14ac:dyDescent="0.3">
      <c r="A887" s="55">
        <v>46041.354166666664</v>
      </c>
      <c r="B887" s="56">
        <v>12.3</v>
      </c>
    </row>
    <row r="888" spans="1:2" x14ac:dyDescent="0.3">
      <c r="A888" s="55">
        <v>46041.375</v>
      </c>
      <c r="B888" s="56">
        <v>12.6</v>
      </c>
    </row>
    <row r="889" spans="1:2" x14ac:dyDescent="0.3">
      <c r="A889" s="55">
        <v>46041.395833333336</v>
      </c>
      <c r="B889" s="56">
        <v>12.9</v>
      </c>
    </row>
    <row r="890" spans="1:2" x14ac:dyDescent="0.3">
      <c r="A890" s="55">
        <v>46041.416666666664</v>
      </c>
      <c r="B890" s="56">
        <v>13.3</v>
      </c>
    </row>
    <row r="891" spans="1:2" x14ac:dyDescent="0.3">
      <c r="A891" s="55">
        <v>46041.4375</v>
      </c>
      <c r="B891" s="56">
        <v>13.4</v>
      </c>
    </row>
    <row r="892" spans="1:2" x14ac:dyDescent="0.3">
      <c r="A892" s="55">
        <v>46041.458333333336</v>
      </c>
      <c r="B892" s="56">
        <v>13.5</v>
      </c>
    </row>
    <row r="893" spans="1:2" x14ac:dyDescent="0.3">
      <c r="A893" s="55">
        <v>46041.479166666664</v>
      </c>
      <c r="B893" s="56">
        <v>13.8</v>
      </c>
    </row>
    <row r="894" spans="1:2" x14ac:dyDescent="0.3">
      <c r="A894" s="55">
        <v>46041.5</v>
      </c>
      <c r="B894" s="56">
        <v>14.3</v>
      </c>
    </row>
    <row r="895" spans="1:2" x14ac:dyDescent="0.3">
      <c r="A895" s="55">
        <v>46041.520833333336</v>
      </c>
      <c r="B895" s="56">
        <v>14.2</v>
      </c>
    </row>
    <row r="896" spans="1:2" x14ac:dyDescent="0.3">
      <c r="A896" s="55">
        <v>46041.541666666664</v>
      </c>
      <c r="B896" s="56">
        <v>14</v>
      </c>
    </row>
    <row r="897" spans="1:2" x14ac:dyDescent="0.3">
      <c r="A897" s="55">
        <v>46041.5625</v>
      </c>
      <c r="B897" s="56">
        <v>13.8</v>
      </c>
    </row>
    <row r="898" spans="1:2" x14ac:dyDescent="0.3">
      <c r="A898" s="55">
        <v>46041.583333333336</v>
      </c>
      <c r="B898" s="56">
        <v>13.6</v>
      </c>
    </row>
    <row r="899" spans="1:2" x14ac:dyDescent="0.3">
      <c r="A899" s="55">
        <v>46041.604166666664</v>
      </c>
      <c r="B899" s="56">
        <v>13.3</v>
      </c>
    </row>
    <row r="900" spans="1:2" x14ac:dyDescent="0.3">
      <c r="A900" s="55">
        <v>46041.625</v>
      </c>
      <c r="B900" s="56">
        <v>12.6</v>
      </c>
    </row>
    <row r="901" spans="1:2" x14ac:dyDescent="0.3">
      <c r="A901" s="55">
        <v>46041.645833333336</v>
      </c>
      <c r="B901" s="56">
        <v>12</v>
      </c>
    </row>
    <row r="902" spans="1:2" x14ac:dyDescent="0.3">
      <c r="A902" s="55">
        <v>46041.666666666664</v>
      </c>
      <c r="B902" s="56">
        <v>11.8</v>
      </c>
    </row>
    <row r="903" spans="1:2" x14ac:dyDescent="0.3">
      <c r="A903" s="55">
        <v>46041.6875</v>
      </c>
      <c r="B903" s="56">
        <v>11.6</v>
      </c>
    </row>
    <row r="904" spans="1:2" x14ac:dyDescent="0.3">
      <c r="A904" s="55">
        <v>46041.708333333336</v>
      </c>
      <c r="B904" s="56">
        <v>11.4</v>
      </c>
    </row>
    <row r="905" spans="1:2" x14ac:dyDescent="0.3">
      <c r="A905" s="55">
        <v>46041.729166666664</v>
      </c>
      <c r="B905" s="56">
        <v>11.1</v>
      </c>
    </row>
    <row r="906" spans="1:2" x14ac:dyDescent="0.3">
      <c r="A906" s="55">
        <v>46041.75</v>
      </c>
      <c r="B906" s="56">
        <v>10.9</v>
      </c>
    </row>
    <row r="907" spans="1:2" x14ac:dyDescent="0.3">
      <c r="A907" s="55">
        <v>46041.770833333336</v>
      </c>
      <c r="B907" s="56">
        <v>11.2</v>
      </c>
    </row>
    <row r="908" spans="1:2" x14ac:dyDescent="0.3">
      <c r="A908" s="55">
        <v>46041.791666666664</v>
      </c>
      <c r="B908" s="56">
        <v>11.3</v>
      </c>
    </row>
    <row r="909" spans="1:2" x14ac:dyDescent="0.3">
      <c r="A909" s="55">
        <v>46041.8125</v>
      </c>
      <c r="B909" s="56">
        <v>11.5</v>
      </c>
    </row>
    <row r="910" spans="1:2" x14ac:dyDescent="0.3">
      <c r="A910" s="55">
        <v>46041.833333333336</v>
      </c>
      <c r="B910" s="56">
        <v>11.6</v>
      </c>
    </row>
    <row r="911" spans="1:2" x14ac:dyDescent="0.3">
      <c r="A911" s="55">
        <v>46041.854166666664</v>
      </c>
      <c r="B911" s="56">
        <v>11.6</v>
      </c>
    </row>
    <row r="912" spans="1:2" x14ac:dyDescent="0.3">
      <c r="A912" s="55">
        <v>46041.875</v>
      </c>
      <c r="B912" s="56">
        <v>11.6</v>
      </c>
    </row>
    <row r="913" spans="1:2" x14ac:dyDescent="0.3">
      <c r="A913" s="55">
        <v>46041.895833333336</v>
      </c>
      <c r="B913" s="56">
        <v>11.7</v>
      </c>
    </row>
    <row r="914" spans="1:2" x14ac:dyDescent="0.3">
      <c r="A914" s="55">
        <v>46041.916666666664</v>
      </c>
      <c r="B914" s="56">
        <v>11.8</v>
      </c>
    </row>
    <row r="915" spans="1:2" x14ac:dyDescent="0.3">
      <c r="A915" s="55">
        <v>46041.9375</v>
      </c>
      <c r="B915" s="56">
        <v>11.7</v>
      </c>
    </row>
    <row r="916" spans="1:2" x14ac:dyDescent="0.3">
      <c r="A916" s="55">
        <v>46041.958333333336</v>
      </c>
      <c r="B916" s="56">
        <v>11.8</v>
      </c>
    </row>
    <row r="917" spans="1:2" x14ac:dyDescent="0.3">
      <c r="A917" s="55">
        <v>46041.979166666664</v>
      </c>
      <c r="B917" s="56">
        <v>11.8</v>
      </c>
    </row>
    <row r="918" spans="1:2" x14ac:dyDescent="0.3">
      <c r="A918" s="55">
        <v>46042</v>
      </c>
      <c r="B918" s="56">
        <v>11.5</v>
      </c>
    </row>
    <row r="919" spans="1:2" x14ac:dyDescent="0.3">
      <c r="A919" s="55">
        <v>46042.020833333336</v>
      </c>
      <c r="B919" s="56">
        <v>11.3</v>
      </c>
    </row>
    <row r="920" spans="1:2" x14ac:dyDescent="0.3">
      <c r="A920" s="55">
        <v>46042.041666666664</v>
      </c>
      <c r="B920" s="56">
        <v>11</v>
      </c>
    </row>
    <row r="921" spans="1:2" x14ac:dyDescent="0.3">
      <c r="A921" s="55">
        <v>46042.0625</v>
      </c>
      <c r="B921" s="56">
        <v>11.4</v>
      </c>
    </row>
    <row r="922" spans="1:2" x14ac:dyDescent="0.3">
      <c r="A922" s="55">
        <v>46042.083333333336</v>
      </c>
      <c r="B922" s="56">
        <v>11.7</v>
      </c>
    </row>
    <row r="923" spans="1:2" x14ac:dyDescent="0.3">
      <c r="A923" s="55">
        <v>46042.104166666664</v>
      </c>
      <c r="B923" s="56">
        <v>11.6</v>
      </c>
    </row>
    <row r="924" spans="1:2" x14ac:dyDescent="0.3">
      <c r="A924" s="55">
        <v>46042.125</v>
      </c>
      <c r="B924" s="56">
        <v>11.5</v>
      </c>
    </row>
    <row r="925" spans="1:2" x14ac:dyDescent="0.3">
      <c r="A925" s="55">
        <v>46042.145833333336</v>
      </c>
      <c r="B925" s="56">
        <v>11.4</v>
      </c>
    </row>
    <row r="926" spans="1:2" x14ac:dyDescent="0.3">
      <c r="A926" s="55">
        <v>46042.166666666664</v>
      </c>
      <c r="B926" s="56">
        <v>11.3</v>
      </c>
    </row>
    <row r="927" spans="1:2" x14ac:dyDescent="0.3">
      <c r="A927" s="55">
        <v>46042.1875</v>
      </c>
      <c r="B927" s="56">
        <v>11</v>
      </c>
    </row>
    <row r="928" spans="1:2" x14ac:dyDescent="0.3">
      <c r="A928" s="55">
        <v>46042.208333333336</v>
      </c>
      <c r="B928" s="56">
        <v>11</v>
      </c>
    </row>
    <row r="929" spans="1:2" x14ac:dyDescent="0.3">
      <c r="A929" s="55">
        <v>46042.229166666664</v>
      </c>
      <c r="B929" s="56">
        <v>11.1</v>
      </c>
    </row>
    <row r="930" spans="1:2" x14ac:dyDescent="0.3">
      <c r="A930" s="55">
        <v>46042.25</v>
      </c>
      <c r="B930" s="56">
        <v>11.4</v>
      </c>
    </row>
    <row r="931" spans="1:2" x14ac:dyDescent="0.3">
      <c r="A931" s="55">
        <v>46042.270833333336</v>
      </c>
      <c r="B931" s="56">
        <v>11.3</v>
      </c>
    </row>
    <row r="932" spans="1:2" x14ac:dyDescent="0.3">
      <c r="A932" s="55">
        <v>46042.291666666664</v>
      </c>
      <c r="B932" s="56">
        <v>11.3</v>
      </c>
    </row>
    <row r="933" spans="1:2" x14ac:dyDescent="0.3">
      <c r="A933" s="55">
        <v>46042.3125</v>
      </c>
      <c r="B933" s="56">
        <v>11.3</v>
      </c>
    </row>
    <row r="934" spans="1:2" x14ac:dyDescent="0.3">
      <c r="A934" s="55">
        <v>46042.333333333336</v>
      </c>
      <c r="B934" s="56">
        <v>11.3</v>
      </c>
    </row>
    <row r="935" spans="1:2" x14ac:dyDescent="0.3">
      <c r="A935" s="55">
        <v>46042.354166666664</v>
      </c>
      <c r="B935" s="56">
        <v>11.5</v>
      </c>
    </row>
    <row r="936" spans="1:2" x14ac:dyDescent="0.3">
      <c r="A936" s="55">
        <v>46042.375</v>
      </c>
      <c r="B936" s="56">
        <v>12.1</v>
      </c>
    </row>
    <row r="937" spans="1:2" x14ac:dyDescent="0.3">
      <c r="A937" s="55">
        <v>46042.395833333336</v>
      </c>
      <c r="B937" s="56">
        <v>12.5</v>
      </c>
    </row>
    <row r="938" spans="1:2" x14ac:dyDescent="0.3">
      <c r="A938" s="55">
        <v>46042.416666666664</v>
      </c>
      <c r="B938" s="56">
        <v>13</v>
      </c>
    </row>
    <row r="939" spans="1:2" x14ac:dyDescent="0.3">
      <c r="A939" s="55">
        <v>46042.4375</v>
      </c>
      <c r="B939" s="56">
        <v>13.2</v>
      </c>
    </row>
    <row r="940" spans="1:2" x14ac:dyDescent="0.3">
      <c r="A940" s="55">
        <v>46042.458333333336</v>
      </c>
      <c r="B940" s="56">
        <v>13.1</v>
      </c>
    </row>
    <row r="941" spans="1:2" x14ac:dyDescent="0.3">
      <c r="A941" s="55">
        <v>46042.479166666664</v>
      </c>
      <c r="B941" s="56">
        <v>13.6</v>
      </c>
    </row>
    <row r="942" spans="1:2" x14ac:dyDescent="0.3">
      <c r="A942" s="55">
        <v>46042.5</v>
      </c>
      <c r="B942" s="56">
        <v>14</v>
      </c>
    </row>
    <row r="943" spans="1:2" x14ac:dyDescent="0.3">
      <c r="A943" s="55">
        <v>46042.520833333336</v>
      </c>
      <c r="B943" s="56">
        <v>14.1</v>
      </c>
    </row>
    <row r="944" spans="1:2" x14ac:dyDescent="0.3">
      <c r="A944" s="55">
        <v>46042.541666666664</v>
      </c>
      <c r="B944" s="56">
        <v>14.2</v>
      </c>
    </row>
    <row r="945" spans="1:2" x14ac:dyDescent="0.3">
      <c r="A945" s="55">
        <v>46042.5625</v>
      </c>
      <c r="B945" s="56">
        <v>14.5</v>
      </c>
    </row>
    <row r="946" spans="1:2" x14ac:dyDescent="0.3">
      <c r="A946" s="55">
        <v>46042.583333333336</v>
      </c>
      <c r="B946" s="56">
        <v>14</v>
      </c>
    </row>
    <row r="947" spans="1:2" x14ac:dyDescent="0.3">
      <c r="A947" s="55">
        <v>46042.604166666664</v>
      </c>
      <c r="B947" s="56">
        <v>13.8</v>
      </c>
    </row>
    <row r="948" spans="1:2" x14ac:dyDescent="0.3">
      <c r="A948" s="55">
        <v>46042.625</v>
      </c>
      <c r="B948" s="56">
        <v>14</v>
      </c>
    </row>
    <row r="949" spans="1:2" x14ac:dyDescent="0.3">
      <c r="A949" s="55">
        <v>46042.645833333336</v>
      </c>
      <c r="B949" s="56">
        <v>13.4</v>
      </c>
    </row>
    <row r="950" spans="1:2" x14ac:dyDescent="0.3">
      <c r="A950" s="55">
        <v>46042.666666666664</v>
      </c>
      <c r="B950" s="56">
        <v>13</v>
      </c>
    </row>
    <row r="951" spans="1:2" x14ac:dyDescent="0.3">
      <c r="A951" s="55">
        <v>46042.6875</v>
      </c>
      <c r="B951" s="56">
        <v>12.4</v>
      </c>
    </row>
    <row r="952" spans="1:2" x14ac:dyDescent="0.3">
      <c r="A952" s="55">
        <v>46042.708333333336</v>
      </c>
      <c r="B952" s="56">
        <v>12</v>
      </c>
    </row>
    <row r="953" spans="1:2" x14ac:dyDescent="0.3">
      <c r="A953" s="55">
        <v>46042.729166666664</v>
      </c>
      <c r="B953" s="56">
        <v>11.8</v>
      </c>
    </row>
    <row r="954" spans="1:2" x14ac:dyDescent="0.3">
      <c r="A954" s="55">
        <v>46042.75</v>
      </c>
      <c r="B954" s="56">
        <v>11.5</v>
      </c>
    </row>
    <row r="955" spans="1:2" x14ac:dyDescent="0.3">
      <c r="A955" s="55">
        <v>46042.770833333336</v>
      </c>
      <c r="B955" s="56">
        <v>11.2</v>
      </c>
    </row>
    <row r="956" spans="1:2" x14ac:dyDescent="0.3">
      <c r="A956" s="55">
        <v>46042.791666666664</v>
      </c>
      <c r="B956" s="56">
        <v>11.1</v>
      </c>
    </row>
    <row r="957" spans="1:2" x14ac:dyDescent="0.3">
      <c r="A957" s="55">
        <v>46042.8125</v>
      </c>
      <c r="B957" s="56">
        <v>11.1</v>
      </c>
    </row>
    <row r="958" spans="1:2" x14ac:dyDescent="0.3">
      <c r="A958" s="55">
        <v>46042.833333333336</v>
      </c>
      <c r="B958" s="56">
        <v>11</v>
      </c>
    </row>
    <row r="959" spans="1:2" x14ac:dyDescent="0.3">
      <c r="A959" s="55">
        <v>46042.854166666664</v>
      </c>
      <c r="B959" s="56">
        <v>10.9</v>
      </c>
    </row>
    <row r="960" spans="1:2" x14ac:dyDescent="0.3">
      <c r="A960" s="55">
        <v>46042.875</v>
      </c>
      <c r="B960" s="56">
        <v>10.7</v>
      </c>
    </row>
    <row r="961" spans="1:2" x14ac:dyDescent="0.3">
      <c r="A961" s="55">
        <v>46042.895833333336</v>
      </c>
      <c r="B961" s="56">
        <v>10.5</v>
      </c>
    </row>
    <row r="962" spans="1:2" x14ac:dyDescent="0.3">
      <c r="A962" s="55">
        <v>46042.916666666664</v>
      </c>
      <c r="B962" s="56">
        <v>10.5</v>
      </c>
    </row>
    <row r="963" spans="1:2" x14ac:dyDescent="0.3">
      <c r="A963" s="55">
        <v>46042.9375</v>
      </c>
      <c r="B963" s="56">
        <v>10.199999999999999</v>
      </c>
    </row>
    <row r="964" spans="1:2" x14ac:dyDescent="0.3">
      <c r="A964" s="55">
        <v>46042.958333333336</v>
      </c>
      <c r="B964" s="56">
        <v>9.9</v>
      </c>
    </row>
    <row r="965" spans="1:2" x14ac:dyDescent="0.3">
      <c r="A965" s="55">
        <v>46042.979166666664</v>
      </c>
      <c r="B965" s="56">
        <v>9.6</v>
      </c>
    </row>
    <row r="966" spans="1:2" x14ac:dyDescent="0.3">
      <c r="A966" s="55">
        <v>46043</v>
      </c>
      <c r="B966" s="56">
        <v>9.6</v>
      </c>
    </row>
    <row r="967" spans="1:2" x14ac:dyDescent="0.3">
      <c r="A967" s="55">
        <v>46043.020833333336</v>
      </c>
      <c r="B967" s="56">
        <v>9.8000000000000007</v>
      </c>
    </row>
    <row r="968" spans="1:2" x14ac:dyDescent="0.3">
      <c r="A968" s="55">
        <v>46043.041666666664</v>
      </c>
      <c r="B968" s="56">
        <v>9.8000000000000007</v>
      </c>
    </row>
    <row r="969" spans="1:2" x14ac:dyDescent="0.3">
      <c r="A969" s="55">
        <v>46043.0625</v>
      </c>
      <c r="B969" s="56">
        <v>9.4</v>
      </c>
    </row>
    <row r="970" spans="1:2" x14ac:dyDescent="0.3">
      <c r="A970" s="55">
        <v>46043.083333333336</v>
      </c>
      <c r="B970" s="56">
        <v>9.6999999999999993</v>
      </c>
    </row>
    <row r="971" spans="1:2" x14ac:dyDescent="0.3">
      <c r="A971" s="55">
        <v>46043.104166666664</v>
      </c>
      <c r="B971" s="56">
        <v>9.1</v>
      </c>
    </row>
    <row r="972" spans="1:2" x14ac:dyDescent="0.3">
      <c r="A972" s="55">
        <v>46043.125</v>
      </c>
      <c r="B972" s="56">
        <v>8.8000000000000007</v>
      </c>
    </row>
    <row r="973" spans="1:2" x14ac:dyDescent="0.3">
      <c r="A973" s="55">
        <v>46043.145833333336</v>
      </c>
      <c r="B973" s="56">
        <v>8.9</v>
      </c>
    </row>
    <row r="974" spans="1:2" x14ac:dyDescent="0.3">
      <c r="A974" s="55">
        <v>46043.166666666664</v>
      </c>
      <c r="B974" s="56">
        <v>9.3000000000000007</v>
      </c>
    </row>
    <row r="975" spans="1:2" x14ac:dyDescent="0.3">
      <c r="A975" s="55">
        <v>46043.1875</v>
      </c>
      <c r="B975" s="56">
        <v>9.3000000000000007</v>
      </c>
    </row>
    <row r="976" spans="1:2" x14ac:dyDescent="0.3">
      <c r="A976" s="55">
        <v>46043.208333333336</v>
      </c>
      <c r="B976" s="56">
        <v>9.4</v>
      </c>
    </row>
    <row r="977" spans="1:2" x14ac:dyDescent="0.3">
      <c r="A977" s="55">
        <v>46043.229166666664</v>
      </c>
      <c r="B977" s="56">
        <v>9.3000000000000007</v>
      </c>
    </row>
    <row r="978" spans="1:2" x14ac:dyDescent="0.3">
      <c r="A978" s="55">
        <v>46043.25</v>
      </c>
      <c r="B978" s="56">
        <v>9.1999999999999993</v>
      </c>
    </row>
    <row r="979" spans="1:2" x14ac:dyDescent="0.3">
      <c r="A979" s="55">
        <v>46043.270833333336</v>
      </c>
      <c r="B979" s="56">
        <v>9.1</v>
      </c>
    </row>
    <row r="980" spans="1:2" x14ac:dyDescent="0.3">
      <c r="A980" s="55">
        <v>46043.291666666664</v>
      </c>
      <c r="B980" s="56">
        <v>9</v>
      </c>
    </row>
    <row r="981" spans="1:2" x14ac:dyDescent="0.3">
      <c r="A981" s="55">
        <v>46043.3125</v>
      </c>
      <c r="B981" s="56">
        <v>8.6999999999999993</v>
      </c>
    </row>
    <row r="982" spans="1:2" x14ac:dyDescent="0.3">
      <c r="A982" s="55">
        <v>46043.333333333336</v>
      </c>
      <c r="B982" s="56">
        <v>8.8000000000000007</v>
      </c>
    </row>
    <row r="983" spans="1:2" x14ac:dyDescent="0.3">
      <c r="A983" s="55">
        <v>46043.354166666664</v>
      </c>
      <c r="B983" s="56">
        <v>8.6999999999999993</v>
      </c>
    </row>
    <row r="984" spans="1:2" x14ac:dyDescent="0.3">
      <c r="A984" s="55">
        <v>46043.375</v>
      </c>
      <c r="B984" s="56">
        <v>8.6999999999999993</v>
      </c>
    </row>
    <row r="985" spans="1:2" x14ac:dyDescent="0.3">
      <c r="A985" s="55">
        <v>46043.395833333336</v>
      </c>
      <c r="B985" s="56">
        <v>8.5</v>
      </c>
    </row>
    <row r="986" spans="1:2" x14ac:dyDescent="0.3">
      <c r="A986" s="55">
        <v>46043.416666666664</v>
      </c>
      <c r="B986" s="56">
        <v>8.4</v>
      </c>
    </row>
    <row r="987" spans="1:2" x14ac:dyDescent="0.3">
      <c r="A987" s="55">
        <v>46043.4375</v>
      </c>
      <c r="B987" s="56">
        <v>8.3000000000000007</v>
      </c>
    </row>
    <row r="988" spans="1:2" x14ac:dyDescent="0.3">
      <c r="A988" s="55">
        <v>46043.458333333336</v>
      </c>
      <c r="B988" s="56">
        <v>8.6</v>
      </c>
    </row>
    <row r="989" spans="1:2" x14ac:dyDescent="0.3">
      <c r="A989" s="55">
        <v>46043.479166666664</v>
      </c>
      <c r="B989" s="56">
        <v>9.3000000000000007</v>
      </c>
    </row>
    <row r="990" spans="1:2" x14ac:dyDescent="0.3">
      <c r="A990" s="55">
        <v>46043.5</v>
      </c>
      <c r="B990" s="56">
        <v>9.1</v>
      </c>
    </row>
    <row r="991" spans="1:2" x14ac:dyDescent="0.3">
      <c r="A991" s="55">
        <v>46043.520833333336</v>
      </c>
      <c r="B991" s="56">
        <v>9</v>
      </c>
    </row>
    <row r="992" spans="1:2" x14ac:dyDescent="0.3">
      <c r="A992" s="55">
        <v>46043.541666666664</v>
      </c>
      <c r="B992" s="56">
        <v>9.1</v>
      </c>
    </row>
    <row r="993" spans="1:2" x14ac:dyDescent="0.3">
      <c r="A993" s="55">
        <v>46043.5625</v>
      </c>
      <c r="B993" s="56">
        <v>9.3000000000000007</v>
      </c>
    </row>
    <row r="994" spans="1:2" x14ac:dyDescent="0.3">
      <c r="A994" s="55">
        <v>46043.583333333336</v>
      </c>
      <c r="B994" s="56">
        <v>9.3000000000000007</v>
      </c>
    </row>
    <row r="995" spans="1:2" x14ac:dyDescent="0.3">
      <c r="A995" s="55">
        <v>46043.604166666664</v>
      </c>
      <c r="B995" s="56">
        <v>9.4</v>
      </c>
    </row>
    <row r="996" spans="1:2" x14ac:dyDescent="0.3">
      <c r="A996" s="55">
        <v>46043.625</v>
      </c>
      <c r="B996" s="56">
        <v>9.1999999999999993</v>
      </c>
    </row>
    <row r="997" spans="1:2" x14ac:dyDescent="0.3">
      <c r="A997" s="55">
        <v>46043.645833333336</v>
      </c>
      <c r="B997" s="56">
        <v>9.1</v>
      </c>
    </row>
    <row r="998" spans="1:2" x14ac:dyDescent="0.3">
      <c r="A998" s="55">
        <v>46043.666666666664</v>
      </c>
      <c r="B998" s="56">
        <v>9</v>
      </c>
    </row>
    <row r="999" spans="1:2" x14ac:dyDescent="0.3">
      <c r="A999" s="55">
        <v>46043.6875</v>
      </c>
      <c r="B999" s="56">
        <v>9.1999999999999993</v>
      </c>
    </row>
    <row r="1000" spans="1:2" x14ac:dyDescent="0.3">
      <c r="A1000" s="55">
        <v>46043.708333333336</v>
      </c>
      <c r="B1000" s="56">
        <v>9.1</v>
      </c>
    </row>
    <row r="1001" spans="1:2" x14ac:dyDescent="0.3">
      <c r="A1001" s="55">
        <v>46043.729166666664</v>
      </c>
      <c r="B1001" s="56">
        <v>9.1999999999999993</v>
      </c>
    </row>
    <row r="1002" spans="1:2" x14ac:dyDescent="0.3">
      <c r="A1002" s="55">
        <v>46043.75</v>
      </c>
      <c r="B1002" s="56">
        <v>9</v>
      </c>
    </row>
    <row r="1003" spans="1:2" x14ac:dyDescent="0.3">
      <c r="A1003" s="55">
        <v>46043.770833333336</v>
      </c>
      <c r="B1003" s="56">
        <v>8.9</v>
      </c>
    </row>
    <row r="1004" spans="1:2" x14ac:dyDescent="0.3">
      <c r="A1004" s="55">
        <v>46043.791666666664</v>
      </c>
      <c r="B1004" s="56">
        <v>8.6999999999999993</v>
      </c>
    </row>
    <row r="1005" spans="1:2" x14ac:dyDescent="0.3">
      <c r="A1005" s="55">
        <v>46043.8125</v>
      </c>
      <c r="B1005" s="56">
        <v>8.6999999999999993</v>
      </c>
    </row>
    <row r="1006" spans="1:2" x14ac:dyDescent="0.3">
      <c r="A1006" s="55">
        <v>46043.833333333336</v>
      </c>
      <c r="B1006" s="56">
        <v>8.9</v>
      </c>
    </row>
    <row r="1007" spans="1:2" x14ac:dyDescent="0.3">
      <c r="A1007" s="55">
        <v>46043.854166666664</v>
      </c>
      <c r="B1007" s="56">
        <v>8.6999999999999993</v>
      </c>
    </row>
    <row r="1008" spans="1:2" x14ac:dyDescent="0.3">
      <c r="A1008" s="55">
        <v>46043.875</v>
      </c>
      <c r="B1008" s="56">
        <v>8.5</v>
      </c>
    </row>
    <row r="1009" spans="1:2" x14ac:dyDescent="0.3">
      <c r="A1009" s="55">
        <v>46043.895833333336</v>
      </c>
      <c r="B1009" s="56">
        <v>8.3000000000000007</v>
      </c>
    </row>
    <row r="1010" spans="1:2" x14ac:dyDescent="0.3">
      <c r="A1010" s="55">
        <v>46043.916666666664</v>
      </c>
      <c r="B1010" s="56">
        <v>8.1999999999999993</v>
      </c>
    </row>
    <row r="1011" spans="1:2" x14ac:dyDescent="0.3">
      <c r="A1011" s="55">
        <v>46043.9375</v>
      </c>
      <c r="B1011" s="56">
        <v>8.1</v>
      </c>
    </row>
    <row r="1012" spans="1:2" x14ac:dyDescent="0.3">
      <c r="A1012" s="55">
        <v>46043.958333333336</v>
      </c>
      <c r="B1012" s="56">
        <v>8.1</v>
      </c>
    </row>
    <row r="1013" spans="1:2" x14ac:dyDescent="0.3">
      <c r="A1013" s="55">
        <v>46043.979166666664</v>
      </c>
      <c r="B1013" s="56">
        <v>7.8</v>
      </c>
    </row>
    <row r="1014" spans="1:2" x14ac:dyDescent="0.3">
      <c r="A1014" s="55">
        <v>46044</v>
      </c>
      <c r="B1014" s="56">
        <v>7.6</v>
      </c>
    </row>
    <row r="1015" spans="1:2" x14ac:dyDescent="0.3">
      <c r="A1015" s="55">
        <v>46044.020833333336</v>
      </c>
      <c r="B1015" s="56">
        <v>7.5</v>
      </c>
    </row>
    <row r="1016" spans="1:2" x14ac:dyDescent="0.3">
      <c r="A1016" s="55">
        <v>46044.041666666664</v>
      </c>
      <c r="B1016" s="56">
        <v>7.6</v>
      </c>
    </row>
    <row r="1017" spans="1:2" x14ac:dyDescent="0.3">
      <c r="A1017" s="55">
        <v>46044.0625</v>
      </c>
      <c r="B1017" s="56">
        <v>7.5</v>
      </c>
    </row>
    <row r="1018" spans="1:2" x14ac:dyDescent="0.3">
      <c r="A1018" s="55">
        <v>46044.083333333336</v>
      </c>
      <c r="B1018" s="56">
        <v>7.5</v>
      </c>
    </row>
    <row r="1019" spans="1:2" x14ac:dyDescent="0.3">
      <c r="A1019" s="55">
        <v>46044.104166666664</v>
      </c>
      <c r="B1019" s="56">
        <v>7.3</v>
      </c>
    </row>
    <row r="1020" spans="1:2" x14ac:dyDescent="0.3">
      <c r="A1020" s="55">
        <v>46044.125</v>
      </c>
      <c r="B1020" s="56">
        <v>7.1</v>
      </c>
    </row>
    <row r="1021" spans="1:2" x14ac:dyDescent="0.3">
      <c r="A1021" s="55">
        <v>46044.145833333336</v>
      </c>
      <c r="B1021" s="56">
        <v>6.8</v>
      </c>
    </row>
    <row r="1022" spans="1:2" x14ac:dyDescent="0.3">
      <c r="A1022" s="55">
        <v>46044.166666666664</v>
      </c>
      <c r="B1022" s="56">
        <v>6.7</v>
      </c>
    </row>
    <row r="1023" spans="1:2" x14ac:dyDescent="0.3">
      <c r="A1023" s="55">
        <v>46044.1875</v>
      </c>
      <c r="B1023" s="56">
        <v>6.8</v>
      </c>
    </row>
    <row r="1024" spans="1:2" x14ac:dyDescent="0.3">
      <c r="A1024" s="55">
        <v>46044.208333333336</v>
      </c>
      <c r="B1024" s="56">
        <v>6.7</v>
      </c>
    </row>
    <row r="1025" spans="1:2" x14ac:dyDescent="0.3">
      <c r="A1025" s="55">
        <v>46044.229166666664</v>
      </c>
      <c r="B1025" s="56">
        <v>7.1</v>
      </c>
    </row>
    <row r="1026" spans="1:2" x14ac:dyDescent="0.3">
      <c r="A1026" s="55">
        <v>46044.25</v>
      </c>
      <c r="B1026" s="56">
        <v>7.5</v>
      </c>
    </row>
    <row r="1027" spans="1:2" x14ac:dyDescent="0.3">
      <c r="A1027" s="55">
        <v>46044.270833333336</v>
      </c>
      <c r="B1027" s="56">
        <v>7.4</v>
      </c>
    </row>
    <row r="1028" spans="1:2" x14ac:dyDescent="0.3">
      <c r="A1028" s="55">
        <v>46044.291666666664</v>
      </c>
      <c r="B1028" s="56">
        <v>7.6</v>
      </c>
    </row>
    <row r="1029" spans="1:2" x14ac:dyDescent="0.3">
      <c r="A1029" s="55">
        <v>46044.3125</v>
      </c>
      <c r="B1029" s="56">
        <v>7.7</v>
      </c>
    </row>
    <row r="1030" spans="1:2" x14ac:dyDescent="0.3">
      <c r="A1030" s="55">
        <v>46044.333333333336</v>
      </c>
      <c r="B1030" s="56">
        <v>7.6</v>
      </c>
    </row>
    <row r="1031" spans="1:2" x14ac:dyDescent="0.3">
      <c r="A1031" s="55">
        <v>46044.354166666664</v>
      </c>
      <c r="B1031" s="56">
        <v>7.8</v>
      </c>
    </row>
    <row r="1032" spans="1:2" x14ac:dyDescent="0.3">
      <c r="A1032" s="55">
        <v>46044.375</v>
      </c>
      <c r="B1032" s="56">
        <v>8.5</v>
      </c>
    </row>
    <row r="1033" spans="1:2" x14ac:dyDescent="0.3">
      <c r="A1033" s="55">
        <v>46044.395833333336</v>
      </c>
      <c r="B1033" s="56">
        <v>9.4</v>
      </c>
    </row>
    <row r="1034" spans="1:2" x14ac:dyDescent="0.3">
      <c r="A1034" s="55">
        <v>46044.416666666664</v>
      </c>
      <c r="B1034" s="56">
        <v>9.9</v>
      </c>
    </row>
    <row r="1035" spans="1:2" x14ac:dyDescent="0.3">
      <c r="A1035" s="55">
        <v>46044.4375</v>
      </c>
      <c r="B1035" s="56">
        <v>10.5</v>
      </c>
    </row>
    <row r="1036" spans="1:2" x14ac:dyDescent="0.3">
      <c r="A1036" s="55">
        <v>46044.458333333336</v>
      </c>
      <c r="B1036" s="56">
        <v>11.5</v>
      </c>
    </row>
    <row r="1037" spans="1:2" x14ac:dyDescent="0.3">
      <c r="A1037" s="55">
        <v>46044.479166666664</v>
      </c>
      <c r="B1037" s="56">
        <v>12.2</v>
      </c>
    </row>
    <row r="1038" spans="1:2" x14ac:dyDescent="0.3">
      <c r="A1038" s="55">
        <v>46044.5</v>
      </c>
      <c r="B1038" s="56">
        <v>12.3</v>
      </c>
    </row>
    <row r="1039" spans="1:2" x14ac:dyDescent="0.3">
      <c r="A1039" s="55">
        <v>46044.520833333336</v>
      </c>
      <c r="B1039" s="56">
        <v>12.4</v>
      </c>
    </row>
    <row r="1040" spans="1:2" x14ac:dyDescent="0.3">
      <c r="A1040" s="55">
        <v>46044.541666666664</v>
      </c>
      <c r="B1040" s="56">
        <v>12.5</v>
      </c>
    </row>
    <row r="1041" spans="1:2" x14ac:dyDescent="0.3">
      <c r="A1041" s="55">
        <v>46044.5625</v>
      </c>
      <c r="B1041" s="56">
        <v>12.7</v>
      </c>
    </row>
    <row r="1042" spans="1:2" x14ac:dyDescent="0.3">
      <c r="A1042" s="55">
        <v>46044.583333333336</v>
      </c>
      <c r="B1042" s="56">
        <v>12.7</v>
      </c>
    </row>
    <row r="1043" spans="1:2" x14ac:dyDescent="0.3">
      <c r="A1043" s="55">
        <v>46044.604166666664</v>
      </c>
      <c r="B1043" s="56">
        <v>12.6</v>
      </c>
    </row>
    <row r="1044" spans="1:2" x14ac:dyDescent="0.3">
      <c r="A1044" s="55">
        <v>46044.625</v>
      </c>
      <c r="B1044" s="56">
        <v>12.5</v>
      </c>
    </row>
    <row r="1045" spans="1:2" x14ac:dyDescent="0.3">
      <c r="A1045" s="55">
        <v>46044.645833333336</v>
      </c>
      <c r="B1045" s="56">
        <v>12</v>
      </c>
    </row>
    <row r="1046" spans="1:2" x14ac:dyDescent="0.3">
      <c r="A1046" s="55">
        <v>46044.666666666664</v>
      </c>
      <c r="B1046" s="56">
        <v>11.7</v>
      </c>
    </row>
    <row r="1047" spans="1:2" x14ac:dyDescent="0.3">
      <c r="A1047" s="55">
        <v>46044.6875</v>
      </c>
      <c r="B1047" s="56">
        <v>11.3</v>
      </c>
    </row>
    <row r="1048" spans="1:2" x14ac:dyDescent="0.3">
      <c r="A1048" s="55">
        <v>46044.708333333336</v>
      </c>
      <c r="B1048" s="56">
        <v>11</v>
      </c>
    </row>
    <row r="1049" spans="1:2" x14ac:dyDescent="0.3">
      <c r="A1049" s="55">
        <v>46044.729166666664</v>
      </c>
      <c r="B1049" s="56">
        <v>11</v>
      </c>
    </row>
    <row r="1050" spans="1:2" x14ac:dyDescent="0.3">
      <c r="A1050" s="55">
        <v>46044.75</v>
      </c>
      <c r="B1050" s="56">
        <v>10.9</v>
      </c>
    </row>
    <row r="1051" spans="1:2" x14ac:dyDescent="0.3">
      <c r="A1051" s="55">
        <v>46044.770833333336</v>
      </c>
      <c r="B1051" s="56">
        <v>11</v>
      </c>
    </row>
    <row r="1052" spans="1:2" x14ac:dyDescent="0.3">
      <c r="A1052" s="55">
        <v>46044.791666666664</v>
      </c>
      <c r="B1052" s="56">
        <v>10.8</v>
      </c>
    </row>
    <row r="1053" spans="1:2" x14ac:dyDescent="0.3">
      <c r="A1053" s="55">
        <v>46044.8125</v>
      </c>
      <c r="B1053" s="56">
        <v>10.5</v>
      </c>
    </row>
    <row r="1054" spans="1:2" x14ac:dyDescent="0.3">
      <c r="A1054" s="55">
        <v>46044.833333333336</v>
      </c>
      <c r="B1054" s="56">
        <v>9.9</v>
      </c>
    </row>
    <row r="1055" spans="1:2" x14ac:dyDescent="0.3">
      <c r="A1055" s="55">
        <v>46044.854166666664</v>
      </c>
      <c r="B1055" s="56">
        <v>9.8000000000000007</v>
      </c>
    </row>
    <row r="1056" spans="1:2" x14ac:dyDescent="0.3">
      <c r="A1056" s="55">
        <v>46044.875</v>
      </c>
      <c r="B1056" s="56">
        <v>9.6</v>
      </c>
    </row>
    <row r="1057" spans="1:2" x14ac:dyDescent="0.3">
      <c r="A1057" s="55">
        <v>46044.895833333336</v>
      </c>
      <c r="B1057" s="56">
        <v>9.5</v>
      </c>
    </row>
    <row r="1058" spans="1:2" x14ac:dyDescent="0.3">
      <c r="A1058" s="55">
        <v>46044.916666666664</v>
      </c>
      <c r="B1058" s="56">
        <v>9.3000000000000007</v>
      </c>
    </row>
    <row r="1059" spans="1:2" x14ac:dyDescent="0.3">
      <c r="A1059" s="55">
        <v>46044.9375</v>
      </c>
      <c r="B1059" s="56">
        <v>8.1999999999999993</v>
      </c>
    </row>
    <row r="1060" spans="1:2" x14ac:dyDescent="0.3">
      <c r="A1060" s="55">
        <v>46044.958333333336</v>
      </c>
      <c r="B1060" s="56">
        <v>7.9</v>
      </c>
    </row>
    <row r="1061" spans="1:2" x14ac:dyDescent="0.3">
      <c r="A1061" s="55">
        <v>46044.979166666664</v>
      </c>
      <c r="B1061" s="56">
        <v>6.6</v>
      </c>
    </row>
    <row r="1062" spans="1:2" x14ac:dyDescent="0.3">
      <c r="A1062" s="55">
        <v>46045</v>
      </c>
      <c r="B1062" s="56">
        <v>5.9</v>
      </c>
    </row>
    <row r="1063" spans="1:2" x14ac:dyDescent="0.3">
      <c r="A1063" s="55">
        <v>46045.020833333336</v>
      </c>
      <c r="B1063" s="56">
        <v>5.9</v>
      </c>
    </row>
    <row r="1064" spans="1:2" x14ac:dyDescent="0.3">
      <c r="A1064" s="55">
        <v>46045.041666666664</v>
      </c>
      <c r="B1064" s="56">
        <v>5.6</v>
      </c>
    </row>
    <row r="1065" spans="1:2" x14ac:dyDescent="0.3">
      <c r="A1065" s="55">
        <v>46045.0625</v>
      </c>
      <c r="B1065" s="56">
        <v>5.6</v>
      </c>
    </row>
    <row r="1066" spans="1:2" x14ac:dyDescent="0.3">
      <c r="A1066" s="55">
        <v>46045.083333333336</v>
      </c>
      <c r="B1066" s="56">
        <v>5.4</v>
      </c>
    </row>
    <row r="1067" spans="1:2" x14ac:dyDescent="0.3">
      <c r="A1067" s="55">
        <v>46045.104166666664</v>
      </c>
      <c r="B1067" s="56">
        <v>5.2</v>
      </c>
    </row>
    <row r="1068" spans="1:2" x14ac:dyDescent="0.3">
      <c r="A1068" s="55">
        <v>46045.125</v>
      </c>
      <c r="B1068" s="56">
        <v>5.2</v>
      </c>
    </row>
    <row r="1069" spans="1:2" x14ac:dyDescent="0.3">
      <c r="A1069" s="55">
        <v>46045.145833333336</v>
      </c>
      <c r="B1069" s="56">
        <v>5.0999999999999996</v>
      </c>
    </row>
    <row r="1070" spans="1:2" x14ac:dyDescent="0.3">
      <c r="A1070" s="55">
        <v>46045.166666666664</v>
      </c>
      <c r="B1070" s="56">
        <v>4.9000000000000004</v>
      </c>
    </row>
    <row r="1071" spans="1:2" x14ac:dyDescent="0.3">
      <c r="A1071" s="55">
        <v>46045.1875</v>
      </c>
      <c r="B1071" s="56">
        <v>4.9000000000000004</v>
      </c>
    </row>
    <row r="1072" spans="1:2" x14ac:dyDescent="0.3">
      <c r="A1072" s="55">
        <v>46045.208333333336</v>
      </c>
      <c r="B1072" s="56">
        <v>4.8</v>
      </c>
    </row>
    <row r="1073" spans="1:2" x14ac:dyDescent="0.3">
      <c r="A1073" s="55">
        <v>46045.229166666664</v>
      </c>
      <c r="B1073" s="56">
        <v>4.7</v>
      </c>
    </row>
    <row r="1074" spans="1:2" x14ac:dyDescent="0.3">
      <c r="A1074" s="55">
        <v>46045.25</v>
      </c>
      <c r="B1074" s="56">
        <v>4.7</v>
      </c>
    </row>
    <row r="1075" spans="1:2" x14ac:dyDescent="0.3">
      <c r="A1075" s="55">
        <v>46045.270833333336</v>
      </c>
      <c r="B1075" s="56">
        <v>4</v>
      </c>
    </row>
    <row r="1076" spans="1:2" x14ac:dyDescent="0.3">
      <c r="A1076" s="55">
        <v>46045.291666666664</v>
      </c>
      <c r="B1076" s="56">
        <v>3.8</v>
      </c>
    </row>
    <row r="1077" spans="1:2" x14ac:dyDescent="0.3">
      <c r="A1077" s="55">
        <v>46045.3125</v>
      </c>
      <c r="B1077" s="56">
        <v>4.5999999999999996</v>
      </c>
    </row>
    <row r="1078" spans="1:2" x14ac:dyDescent="0.3">
      <c r="A1078" s="55">
        <v>46045.333333333336</v>
      </c>
      <c r="B1078" s="56">
        <v>5</v>
      </c>
    </row>
    <row r="1079" spans="1:2" x14ac:dyDescent="0.3">
      <c r="A1079" s="55">
        <v>46045.354166666664</v>
      </c>
      <c r="B1079" s="56">
        <v>5.7</v>
      </c>
    </row>
    <row r="1080" spans="1:2" x14ac:dyDescent="0.3">
      <c r="A1080" s="55">
        <v>46045.375</v>
      </c>
      <c r="B1080" s="56">
        <v>7.4</v>
      </c>
    </row>
    <row r="1081" spans="1:2" x14ac:dyDescent="0.3">
      <c r="A1081" s="55">
        <v>46045.395833333336</v>
      </c>
      <c r="B1081" s="56">
        <v>8.5</v>
      </c>
    </row>
    <row r="1082" spans="1:2" x14ac:dyDescent="0.3">
      <c r="A1082" s="55">
        <v>46045.416666666664</v>
      </c>
      <c r="B1082" s="56">
        <v>9</v>
      </c>
    </row>
    <row r="1083" spans="1:2" x14ac:dyDescent="0.3">
      <c r="A1083" s="55">
        <v>46045.4375</v>
      </c>
      <c r="B1083" s="56">
        <v>10.3</v>
      </c>
    </row>
    <row r="1084" spans="1:2" x14ac:dyDescent="0.3">
      <c r="A1084" s="55">
        <v>46045.458333333336</v>
      </c>
      <c r="B1084" s="56">
        <v>11.4</v>
      </c>
    </row>
    <row r="1085" spans="1:2" x14ac:dyDescent="0.3">
      <c r="A1085" s="55">
        <v>46045.479166666664</v>
      </c>
      <c r="B1085" s="56">
        <v>12.2</v>
      </c>
    </row>
    <row r="1086" spans="1:2" x14ac:dyDescent="0.3">
      <c r="A1086" s="55">
        <v>46045.5</v>
      </c>
      <c r="B1086" s="56">
        <v>13.3</v>
      </c>
    </row>
    <row r="1087" spans="1:2" x14ac:dyDescent="0.3">
      <c r="A1087" s="55">
        <v>46045.520833333336</v>
      </c>
      <c r="B1087" s="56">
        <v>14.4</v>
      </c>
    </row>
    <row r="1088" spans="1:2" x14ac:dyDescent="0.3">
      <c r="A1088" s="55">
        <v>46045.541666666664</v>
      </c>
      <c r="B1088" s="56">
        <v>14.6</v>
      </c>
    </row>
    <row r="1089" spans="1:2" x14ac:dyDescent="0.3">
      <c r="A1089" s="55">
        <v>46045.5625</v>
      </c>
      <c r="B1089" s="56">
        <v>14.6</v>
      </c>
    </row>
    <row r="1090" spans="1:2" x14ac:dyDescent="0.3">
      <c r="A1090" s="55">
        <v>46045.583333333336</v>
      </c>
      <c r="B1090" s="56">
        <v>14.3</v>
      </c>
    </row>
    <row r="1091" spans="1:2" x14ac:dyDescent="0.3">
      <c r="A1091" s="55">
        <v>46045.604166666664</v>
      </c>
      <c r="B1091" s="56">
        <v>14.4</v>
      </c>
    </row>
    <row r="1092" spans="1:2" x14ac:dyDescent="0.3">
      <c r="A1092" s="55">
        <v>46045.625</v>
      </c>
      <c r="B1092" s="56">
        <v>14.4</v>
      </c>
    </row>
    <row r="1093" spans="1:2" x14ac:dyDescent="0.3">
      <c r="A1093" s="55">
        <v>46045.645833333336</v>
      </c>
      <c r="B1093" s="56">
        <v>14</v>
      </c>
    </row>
    <row r="1094" spans="1:2" x14ac:dyDescent="0.3">
      <c r="A1094" s="55">
        <v>46045.666666666664</v>
      </c>
      <c r="B1094" s="56">
        <v>13.7</v>
      </c>
    </row>
    <row r="1095" spans="1:2" x14ac:dyDescent="0.3">
      <c r="A1095" s="55">
        <v>46045.6875</v>
      </c>
      <c r="B1095" s="56">
        <v>13.4</v>
      </c>
    </row>
    <row r="1096" spans="1:2" x14ac:dyDescent="0.3">
      <c r="A1096" s="55">
        <v>46045.708333333336</v>
      </c>
      <c r="B1096" s="56">
        <v>13.1</v>
      </c>
    </row>
    <row r="1097" spans="1:2" x14ac:dyDescent="0.3">
      <c r="A1097" s="55">
        <v>46045.729166666664</v>
      </c>
      <c r="B1097" s="56">
        <v>13</v>
      </c>
    </row>
    <row r="1098" spans="1:2" x14ac:dyDescent="0.3">
      <c r="A1098" s="55">
        <v>46045.75</v>
      </c>
      <c r="B1098" s="56">
        <v>13</v>
      </c>
    </row>
    <row r="1099" spans="1:2" x14ac:dyDescent="0.3">
      <c r="A1099" s="55">
        <v>46045.770833333336</v>
      </c>
      <c r="B1099" s="56">
        <v>13</v>
      </c>
    </row>
    <row r="1100" spans="1:2" x14ac:dyDescent="0.3">
      <c r="A1100" s="55">
        <v>46045.791666666664</v>
      </c>
      <c r="B1100" s="56">
        <v>13</v>
      </c>
    </row>
    <row r="1101" spans="1:2" x14ac:dyDescent="0.3">
      <c r="A1101" s="55">
        <v>46045.8125</v>
      </c>
      <c r="B1101" s="56">
        <v>13.1</v>
      </c>
    </row>
    <row r="1102" spans="1:2" x14ac:dyDescent="0.3">
      <c r="A1102" s="55">
        <v>46045.833333333336</v>
      </c>
      <c r="B1102" s="56">
        <v>13</v>
      </c>
    </row>
    <row r="1103" spans="1:2" x14ac:dyDescent="0.3">
      <c r="A1103" s="55">
        <v>46045.854166666664</v>
      </c>
      <c r="B1103" s="56">
        <v>13</v>
      </c>
    </row>
    <row r="1104" spans="1:2" x14ac:dyDescent="0.3">
      <c r="A1104" s="55">
        <v>46045.875</v>
      </c>
      <c r="B1104" s="56">
        <v>12.9</v>
      </c>
    </row>
    <row r="1105" spans="1:2" x14ac:dyDescent="0.3">
      <c r="A1105" s="55">
        <v>46045.895833333336</v>
      </c>
      <c r="B1105" s="56">
        <v>12.9</v>
      </c>
    </row>
    <row r="1106" spans="1:2" x14ac:dyDescent="0.3">
      <c r="A1106" s="55">
        <v>46045.916666666664</v>
      </c>
      <c r="B1106" s="56">
        <v>12.9</v>
      </c>
    </row>
    <row r="1107" spans="1:2" x14ac:dyDescent="0.3">
      <c r="A1107" s="55">
        <v>46045.9375</v>
      </c>
      <c r="B1107" s="56">
        <v>12.9</v>
      </c>
    </row>
    <row r="1108" spans="1:2" x14ac:dyDescent="0.3">
      <c r="A1108" s="55">
        <v>46045.958333333336</v>
      </c>
      <c r="B1108" s="56">
        <v>13</v>
      </c>
    </row>
    <row r="1109" spans="1:2" x14ac:dyDescent="0.3">
      <c r="A1109" s="55">
        <v>46045.979166666664</v>
      </c>
      <c r="B1109" s="56">
        <v>12.9</v>
      </c>
    </row>
    <row r="1110" spans="1:2" x14ac:dyDescent="0.3">
      <c r="A1110" s="55">
        <v>46046</v>
      </c>
      <c r="B1110" s="56">
        <v>12.9</v>
      </c>
    </row>
    <row r="1111" spans="1:2" x14ac:dyDescent="0.3">
      <c r="A1111" s="55">
        <v>46046.020833333336</v>
      </c>
      <c r="B1111" s="56">
        <v>12.7</v>
      </c>
    </row>
    <row r="1112" spans="1:2" x14ac:dyDescent="0.3">
      <c r="A1112" s="55">
        <v>46046.041666666664</v>
      </c>
      <c r="B1112" s="56">
        <v>12.6</v>
      </c>
    </row>
    <row r="1113" spans="1:2" x14ac:dyDescent="0.3">
      <c r="A1113" s="55">
        <v>46046.0625</v>
      </c>
      <c r="B1113" s="56">
        <v>12.1</v>
      </c>
    </row>
    <row r="1114" spans="1:2" x14ac:dyDescent="0.3">
      <c r="A1114" s="55">
        <v>46046.083333333336</v>
      </c>
      <c r="B1114" s="56">
        <v>12</v>
      </c>
    </row>
    <row r="1115" spans="1:2" x14ac:dyDescent="0.3">
      <c r="A1115" s="55">
        <v>46046.104166666664</v>
      </c>
      <c r="B1115" s="56">
        <v>11.9</v>
      </c>
    </row>
    <row r="1116" spans="1:2" x14ac:dyDescent="0.3">
      <c r="A1116" s="55">
        <v>46046.125</v>
      </c>
      <c r="B1116" s="56">
        <v>11.4</v>
      </c>
    </row>
    <row r="1117" spans="1:2" x14ac:dyDescent="0.3">
      <c r="A1117" s="55">
        <v>46046.145833333336</v>
      </c>
      <c r="B1117" s="56">
        <v>11.5</v>
      </c>
    </row>
    <row r="1118" spans="1:2" x14ac:dyDescent="0.3">
      <c r="A1118" s="55">
        <v>46046.166666666664</v>
      </c>
      <c r="B1118" s="56">
        <v>11.7</v>
      </c>
    </row>
    <row r="1119" spans="1:2" x14ac:dyDescent="0.3">
      <c r="A1119" s="55">
        <v>46046.1875</v>
      </c>
      <c r="B1119" s="56">
        <v>11.8</v>
      </c>
    </row>
    <row r="1120" spans="1:2" x14ac:dyDescent="0.3">
      <c r="A1120" s="55">
        <v>46046.208333333336</v>
      </c>
      <c r="B1120" s="56">
        <v>11.6</v>
      </c>
    </row>
    <row r="1121" spans="1:2" x14ac:dyDescent="0.3">
      <c r="A1121" s="55">
        <v>46046.229166666664</v>
      </c>
      <c r="B1121" s="56">
        <v>11.4</v>
      </c>
    </row>
    <row r="1122" spans="1:2" x14ac:dyDescent="0.3">
      <c r="A1122" s="55">
        <v>46046.25</v>
      </c>
      <c r="B1122" s="56">
        <v>11.4</v>
      </c>
    </row>
    <row r="1123" spans="1:2" x14ac:dyDescent="0.3">
      <c r="A1123" s="55">
        <v>46046.270833333336</v>
      </c>
      <c r="B1123" s="56">
        <v>11.1</v>
      </c>
    </row>
    <row r="1124" spans="1:2" x14ac:dyDescent="0.3">
      <c r="A1124" s="55">
        <v>46046.291666666664</v>
      </c>
      <c r="B1124" s="56">
        <v>10.8</v>
      </c>
    </row>
    <row r="1125" spans="1:2" x14ac:dyDescent="0.3">
      <c r="A1125" s="55">
        <v>46046.3125</v>
      </c>
      <c r="B1125" s="56">
        <v>10.7</v>
      </c>
    </row>
    <row r="1126" spans="1:2" x14ac:dyDescent="0.3">
      <c r="A1126" s="55">
        <v>46046.333333333336</v>
      </c>
      <c r="B1126" s="56">
        <v>10.8</v>
      </c>
    </row>
    <row r="1127" spans="1:2" x14ac:dyDescent="0.3">
      <c r="A1127" s="55">
        <v>46046.354166666664</v>
      </c>
      <c r="B1127" s="56">
        <v>10.9</v>
      </c>
    </row>
    <row r="1128" spans="1:2" x14ac:dyDescent="0.3">
      <c r="A1128" s="55">
        <v>46046.375</v>
      </c>
      <c r="B1128" s="56">
        <v>11.9</v>
      </c>
    </row>
    <row r="1129" spans="1:2" x14ac:dyDescent="0.3">
      <c r="A1129" s="55">
        <v>46046.395833333336</v>
      </c>
      <c r="B1129" s="56">
        <v>12.3</v>
      </c>
    </row>
    <row r="1130" spans="1:2" x14ac:dyDescent="0.3">
      <c r="A1130" s="55">
        <v>46046.416666666664</v>
      </c>
      <c r="B1130" s="56">
        <v>13</v>
      </c>
    </row>
    <row r="1131" spans="1:2" x14ac:dyDescent="0.3">
      <c r="A1131" s="55">
        <v>46046.4375</v>
      </c>
      <c r="B1131" s="56">
        <v>13.3</v>
      </c>
    </row>
    <row r="1132" spans="1:2" x14ac:dyDescent="0.3">
      <c r="A1132" s="55">
        <v>46046.458333333336</v>
      </c>
      <c r="B1132" s="56">
        <v>13.8</v>
      </c>
    </row>
    <row r="1133" spans="1:2" x14ac:dyDescent="0.3">
      <c r="A1133" s="55">
        <v>46046.479166666664</v>
      </c>
      <c r="B1133" s="56">
        <v>14.8</v>
      </c>
    </row>
    <row r="1134" spans="1:2" x14ac:dyDescent="0.3">
      <c r="A1134" s="55">
        <v>46046.5</v>
      </c>
      <c r="B1134" s="56">
        <v>15</v>
      </c>
    </row>
    <row r="1135" spans="1:2" x14ac:dyDescent="0.3">
      <c r="A1135" s="55">
        <v>46046.520833333336</v>
      </c>
      <c r="B1135" s="56">
        <v>15</v>
      </c>
    </row>
    <row r="1136" spans="1:2" x14ac:dyDescent="0.3">
      <c r="A1136" s="55">
        <v>46046.541666666664</v>
      </c>
      <c r="B1136" s="56">
        <v>15.2</v>
      </c>
    </row>
    <row r="1137" spans="1:2" x14ac:dyDescent="0.3">
      <c r="A1137" s="55">
        <v>46046.5625</v>
      </c>
      <c r="B1137" s="56">
        <v>15.6</v>
      </c>
    </row>
    <row r="1138" spans="1:2" x14ac:dyDescent="0.3">
      <c r="A1138" s="55">
        <v>46046.583333333336</v>
      </c>
      <c r="B1138" s="56">
        <v>15.7</v>
      </c>
    </row>
    <row r="1139" spans="1:2" x14ac:dyDescent="0.3">
      <c r="A1139" s="55">
        <v>46046.604166666664</v>
      </c>
      <c r="B1139" s="56">
        <v>15.6</v>
      </c>
    </row>
    <row r="1140" spans="1:2" x14ac:dyDescent="0.3">
      <c r="A1140" s="55">
        <v>46046.625</v>
      </c>
      <c r="B1140" s="56">
        <v>15.3</v>
      </c>
    </row>
    <row r="1141" spans="1:2" x14ac:dyDescent="0.3">
      <c r="A1141" s="55">
        <v>46046.645833333336</v>
      </c>
      <c r="B1141" s="56">
        <v>14.9</v>
      </c>
    </row>
    <row r="1142" spans="1:2" x14ac:dyDescent="0.3">
      <c r="A1142" s="55">
        <v>46046.666666666664</v>
      </c>
      <c r="B1142" s="56">
        <v>14.1</v>
      </c>
    </row>
    <row r="1143" spans="1:2" x14ac:dyDescent="0.3">
      <c r="A1143" s="55">
        <v>46046.6875</v>
      </c>
      <c r="B1143" s="56">
        <v>13.5</v>
      </c>
    </row>
    <row r="1144" spans="1:2" x14ac:dyDescent="0.3">
      <c r="A1144" s="55">
        <v>46046.708333333336</v>
      </c>
      <c r="B1144" s="56">
        <v>13.6</v>
      </c>
    </row>
    <row r="1145" spans="1:2" x14ac:dyDescent="0.3">
      <c r="A1145" s="55">
        <v>46046.729166666664</v>
      </c>
      <c r="B1145" s="56">
        <v>13.4</v>
      </c>
    </row>
    <row r="1146" spans="1:2" x14ac:dyDescent="0.3">
      <c r="A1146" s="55">
        <v>46046.75</v>
      </c>
      <c r="B1146" s="56">
        <v>13.3</v>
      </c>
    </row>
    <row r="1147" spans="1:2" x14ac:dyDescent="0.3">
      <c r="A1147" s="55">
        <v>46046.770833333336</v>
      </c>
      <c r="B1147" s="56">
        <v>13</v>
      </c>
    </row>
    <row r="1148" spans="1:2" x14ac:dyDescent="0.3">
      <c r="A1148" s="55">
        <v>46046.791666666664</v>
      </c>
      <c r="B1148" s="56">
        <v>13.1</v>
      </c>
    </row>
    <row r="1149" spans="1:2" x14ac:dyDescent="0.3">
      <c r="A1149" s="55">
        <v>46046.8125</v>
      </c>
      <c r="B1149" s="56">
        <v>13.3</v>
      </c>
    </row>
    <row r="1150" spans="1:2" x14ac:dyDescent="0.3">
      <c r="A1150" s="55">
        <v>46046.833333333336</v>
      </c>
      <c r="B1150" s="56">
        <v>13.5</v>
      </c>
    </row>
    <row r="1151" spans="1:2" x14ac:dyDescent="0.3">
      <c r="A1151" s="55">
        <v>46046.854166666664</v>
      </c>
      <c r="B1151" s="56">
        <v>13.8</v>
      </c>
    </row>
    <row r="1152" spans="1:2" x14ac:dyDescent="0.3">
      <c r="A1152" s="55">
        <v>46046.875</v>
      </c>
      <c r="B1152" s="56">
        <v>13.9</v>
      </c>
    </row>
    <row r="1153" spans="1:2" x14ac:dyDescent="0.3">
      <c r="A1153" s="55">
        <v>46046.895833333336</v>
      </c>
      <c r="B1153" s="56">
        <v>14</v>
      </c>
    </row>
    <row r="1154" spans="1:2" x14ac:dyDescent="0.3">
      <c r="A1154" s="55">
        <v>46046.916666666664</v>
      </c>
      <c r="B1154" s="56">
        <v>12.1</v>
      </c>
    </row>
    <row r="1155" spans="1:2" x14ac:dyDescent="0.3">
      <c r="A1155" s="55">
        <v>46046.9375</v>
      </c>
      <c r="B1155" s="56">
        <v>12</v>
      </c>
    </row>
    <row r="1156" spans="1:2" x14ac:dyDescent="0.3">
      <c r="A1156" s="55">
        <v>46046.958333333336</v>
      </c>
      <c r="B1156" s="56">
        <v>12</v>
      </c>
    </row>
    <row r="1157" spans="1:2" x14ac:dyDescent="0.3">
      <c r="A1157" s="55">
        <v>46046.979166666664</v>
      </c>
      <c r="B1157" s="56">
        <v>11.7</v>
      </c>
    </row>
    <row r="1158" spans="1:2" x14ac:dyDescent="0.3">
      <c r="A1158" s="55">
        <v>46047</v>
      </c>
      <c r="B1158" s="56">
        <v>11.8</v>
      </c>
    </row>
    <row r="1159" spans="1:2" x14ac:dyDescent="0.3">
      <c r="A1159" s="55">
        <v>46047.020833333336</v>
      </c>
      <c r="B1159" s="56">
        <v>11.5</v>
      </c>
    </row>
    <row r="1160" spans="1:2" x14ac:dyDescent="0.3">
      <c r="A1160" s="55">
        <v>46047.041666666664</v>
      </c>
      <c r="B1160" s="56">
        <v>11.1</v>
      </c>
    </row>
    <row r="1161" spans="1:2" x14ac:dyDescent="0.3">
      <c r="A1161" s="55">
        <v>46047.0625</v>
      </c>
      <c r="B1161" s="56">
        <v>11.1</v>
      </c>
    </row>
    <row r="1162" spans="1:2" x14ac:dyDescent="0.3">
      <c r="A1162" s="55">
        <v>46047.083333333336</v>
      </c>
      <c r="B1162" s="56">
        <v>10.8</v>
      </c>
    </row>
    <row r="1163" spans="1:2" x14ac:dyDescent="0.3">
      <c r="A1163" s="55">
        <v>46047.104166666664</v>
      </c>
      <c r="B1163" s="56">
        <v>10.4</v>
      </c>
    </row>
    <row r="1164" spans="1:2" x14ac:dyDescent="0.3">
      <c r="A1164" s="55">
        <v>46047.125</v>
      </c>
      <c r="B1164" s="56">
        <v>9.9</v>
      </c>
    </row>
    <row r="1165" spans="1:2" x14ac:dyDescent="0.3">
      <c r="A1165" s="55">
        <v>46047.145833333336</v>
      </c>
      <c r="B1165" s="56">
        <v>9.1</v>
      </c>
    </row>
    <row r="1166" spans="1:2" x14ac:dyDescent="0.3">
      <c r="A1166" s="55">
        <v>46047.166666666664</v>
      </c>
      <c r="B1166" s="56">
        <v>8.6999999999999993</v>
      </c>
    </row>
    <row r="1167" spans="1:2" x14ac:dyDescent="0.3">
      <c r="A1167" s="55">
        <v>46047.1875</v>
      </c>
      <c r="B1167" s="56">
        <v>8.5</v>
      </c>
    </row>
    <row r="1168" spans="1:2" x14ac:dyDescent="0.3">
      <c r="A1168" s="55">
        <v>46047.208333333336</v>
      </c>
      <c r="B1168" s="56">
        <v>8.1999999999999993</v>
      </c>
    </row>
    <row r="1169" spans="1:2" x14ac:dyDescent="0.3">
      <c r="A1169" s="55">
        <v>46047.229166666664</v>
      </c>
      <c r="B1169" s="56">
        <v>8.4</v>
      </c>
    </row>
    <row r="1170" spans="1:2" x14ac:dyDescent="0.3">
      <c r="A1170" s="55">
        <v>46047.25</v>
      </c>
      <c r="B1170" s="56">
        <v>8.1999999999999993</v>
      </c>
    </row>
    <row r="1171" spans="1:2" x14ac:dyDescent="0.3">
      <c r="A1171" s="55">
        <v>46047.270833333336</v>
      </c>
      <c r="B1171" s="56">
        <v>8</v>
      </c>
    </row>
    <row r="1172" spans="1:2" x14ac:dyDescent="0.3">
      <c r="A1172" s="55">
        <v>46047.291666666664</v>
      </c>
      <c r="B1172" s="56">
        <v>8.1</v>
      </c>
    </row>
    <row r="1173" spans="1:2" x14ac:dyDescent="0.3">
      <c r="A1173" s="55">
        <v>46047.3125</v>
      </c>
      <c r="B1173" s="56">
        <v>7.9</v>
      </c>
    </row>
    <row r="1174" spans="1:2" x14ac:dyDescent="0.3">
      <c r="A1174" s="55">
        <v>46047.333333333336</v>
      </c>
      <c r="B1174" s="56">
        <v>8</v>
      </c>
    </row>
    <row r="1175" spans="1:2" x14ac:dyDescent="0.3">
      <c r="A1175" s="55">
        <v>46047.354166666664</v>
      </c>
      <c r="B1175" s="56">
        <v>8</v>
      </c>
    </row>
    <row r="1176" spans="1:2" x14ac:dyDescent="0.3">
      <c r="A1176" s="55">
        <v>46047.375</v>
      </c>
      <c r="B1176" s="56">
        <v>8.1999999999999993</v>
      </c>
    </row>
    <row r="1177" spans="1:2" x14ac:dyDescent="0.3">
      <c r="A1177" s="55">
        <v>46047.395833333336</v>
      </c>
      <c r="B1177" s="56">
        <v>8.8000000000000007</v>
      </c>
    </row>
    <row r="1178" spans="1:2" x14ac:dyDescent="0.3">
      <c r="A1178" s="55">
        <v>46047.416666666664</v>
      </c>
      <c r="B1178" s="56">
        <v>9.6</v>
      </c>
    </row>
    <row r="1179" spans="1:2" x14ac:dyDescent="0.3">
      <c r="A1179" s="55">
        <v>46047.4375</v>
      </c>
      <c r="B1179" s="56">
        <v>10.4</v>
      </c>
    </row>
    <row r="1180" spans="1:2" x14ac:dyDescent="0.3">
      <c r="A1180" s="55">
        <v>46047.458333333336</v>
      </c>
      <c r="B1180" s="56">
        <v>11.1</v>
      </c>
    </row>
    <row r="1181" spans="1:2" x14ac:dyDescent="0.3">
      <c r="A1181" s="55">
        <v>46047.479166666664</v>
      </c>
      <c r="B1181" s="56">
        <v>12</v>
      </c>
    </row>
    <row r="1182" spans="1:2" x14ac:dyDescent="0.3">
      <c r="A1182" s="55">
        <v>46047.5</v>
      </c>
      <c r="B1182" s="56">
        <v>12.5</v>
      </c>
    </row>
    <row r="1183" spans="1:2" x14ac:dyDescent="0.3">
      <c r="A1183" s="55">
        <v>46047.520833333336</v>
      </c>
      <c r="B1183" s="56">
        <v>12.7</v>
      </c>
    </row>
    <row r="1184" spans="1:2" x14ac:dyDescent="0.3">
      <c r="A1184" s="55">
        <v>46047.541666666664</v>
      </c>
      <c r="B1184" s="56">
        <v>13.1</v>
      </c>
    </row>
    <row r="1185" spans="1:2" x14ac:dyDescent="0.3">
      <c r="A1185" s="55">
        <v>46047.5625</v>
      </c>
      <c r="B1185" s="56">
        <v>13</v>
      </c>
    </row>
    <row r="1186" spans="1:2" x14ac:dyDescent="0.3">
      <c r="A1186" s="55">
        <v>46047.583333333336</v>
      </c>
      <c r="B1186" s="56">
        <v>12.6</v>
      </c>
    </row>
    <row r="1187" spans="1:2" x14ac:dyDescent="0.3">
      <c r="A1187" s="55">
        <v>46047.604166666664</v>
      </c>
      <c r="B1187" s="56">
        <v>12.1</v>
      </c>
    </row>
    <row r="1188" spans="1:2" x14ac:dyDescent="0.3">
      <c r="A1188" s="55">
        <v>46047.625</v>
      </c>
      <c r="B1188" s="56">
        <v>11.4</v>
      </c>
    </row>
    <row r="1189" spans="1:2" x14ac:dyDescent="0.3">
      <c r="A1189" s="55">
        <v>46047.645833333336</v>
      </c>
      <c r="B1189" s="56">
        <v>11.2</v>
      </c>
    </row>
    <row r="1190" spans="1:2" x14ac:dyDescent="0.3">
      <c r="A1190" s="55">
        <v>46047.666666666664</v>
      </c>
      <c r="B1190" s="56">
        <v>10.7</v>
      </c>
    </row>
    <row r="1191" spans="1:2" x14ac:dyDescent="0.3">
      <c r="A1191" s="55">
        <v>46047.6875</v>
      </c>
      <c r="B1191" s="56">
        <v>10.4</v>
      </c>
    </row>
    <row r="1192" spans="1:2" x14ac:dyDescent="0.3">
      <c r="A1192" s="55">
        <v>46047.708333333336</v>
      </c>
      <c r="B1192" s="56">
        <v>10.3</v>
      </c>
    </row>
    <row r="1193" spans="1:2" x14ac:dyDescent="0.3">
      <c r="A1193" s="55">
        <v>46047.729166666664</v>
      </c>
      <c r="B1193" s="56">
        <v>10.4</v>
      </c>
    </row>
    <row r="1194" spans="1:2" x14ac:dyDescent="0.3">
      <c r="A1194" s="55">
        <v>46047.75</v>
      </c>
      <c r="B1194" s="56">
        <v>9.6</v>
      </c>
    </row>
    <row r="1195" spans="1:2" x14ac:dyDescent="0.3">
      <c r="A1195" s="55">
        <v>46047.770833333336</v>
      </c>
      <c r="B1195" s="56">
        <v>9.6999999999999993</v>
      </c>
    </row>
    <row r="1196" spans="1:2" x14ac:dyDescent="0.3">
      <c r="A1196" s="55">
        <v>46047.791666666664</v>
      </c>
      <c r="B1196" s="56">
        <v>9.6</v>
      </c>
    </row>
    <row r="1197" spans="1:2" x14ac:dyDescent="0.3">
      <c r="A1197" s="55">
        <v>46047.8125</v>
      </c>
      <c r="B1197" s="56">
        <v>9.6</v>
      </c>
    </row>
    <row r="1198" spans="1:2" x14ac:dyDescent="0.3">
      <c r="A1198" s="55">
        <v>46047.833333333336</v>
      </c>
      <c r="B1198" s="56">
        <v>9.5</v>
      </c>
    </row>
    <row r="1199" spans="1:2" x14ac:dyDescent="0.3">
      <c r="A1199" s="55">
        <v>46047.854166666664</v>
      </c>
      <c r="B1199" s="56">
        <v>9.4</v>
      </c>
    </row>
    <row r="1200" spans="1:2" x14ac:dyDescent="0.3">
      <c r="A1200" s="55">
        <v>46047.875</v>
      </c>
      <c r="B1200" s="56">
        <v>9.3000000000000007</v>
      </c>
    </row>
    <row r="1201" spans="1:2" x14ac:dyDescent="0.3">
      <c r="A1201" s="55">
        <v>46047.895833333336</v>
      </c>
      <c r="B1201" s="56">
        <v>9.3000000000000007</v>
      </c>
    </row>
    <row r="1202" spans="1:2" x14ac:dyDescent="0.3">
      <c r="A1202" s="55">
        <v>46047.916666666664</v>
      </c>
      <c r="B1202" s="56">
        <v>9.1</v>
      </c>
    </row>
    <row r="1203" spans="1:2" x14ac:dyDescent="0.3">
      <c r="A1203" s="55">
        <v>46047.9375</v>
      </c>
      <c r="B1203" s="56">
        <v>8.9</v>
      </c>
    </row>
    <row r="1204" spans="1:2" x14ac:dyDescent="0.3">
      <c r="A1204" s="55">
        <v>46047.958333333336</v>
      </c>
      <c r="B1204" s="56">
        <v>8.6</v>
      </c>
    </row>
    <row r="1205" spans="1:2" x14ac:dyDescent="0.3">
      <c r="A1205" s="55">
        <v>46047.979166666664</v>
      </c>
      <c r="B1205" s="56">
        <v>8.4</v>
      </c>
    </row>
    <row r="1206" spans="1:2" x14ac:dyDescent="0.3">
      <c r="A1206" s="55">
        <v>46048</v>
      </c>
      <c r="B1206" s="56">
        <v>8.3000000000000007</v>
      </c>
    </row>
    <row r="1207" spans="1:2" x14ac:dyDescent="0.3">
      <c r="A1207" s="55">
        <v>46048.020833333336</v>
      </c>
      <c r="B1207" s="56">
        <v>8.1999999999999993</v>
      </c>
    </row>
    <row r="1208" spans="1:2" x14ac:dyDescent="0.3">
      <c r="A1208" s="55">
        <v>46048.041666666664</v>
      </c>
      <c r="B1208" s="56">
        <v>8.3000000000000007</v>
      </c>
    </row>
    <row r="1209" spans="1:2" x14ac:dyDescent="0.3">
      <c r="A1209" s="55">
        <v>46048.0625</v>
      </c>
      <c r="B1209" s="56">
        <v>8.3000000000000007</v>
      </c>
    </row>
    <row r="1210" spans="1:2" x14ac:dyDescent="0.3">
      <c r="A1210" s="55">
        <v>46048.083333333336</v>
      </c>
      <c r="B1210" s="56">
        <v>8</v>
      </c>
    </row>
    <row r="1211" spans="1:2" x14ac:dyDescent="0.3">
      <c r="A1211" s="55">
        <v>46048.104166666664</v>
      </c>
      <c r="B1211" s="56">
        <v>7.6</v>
      </c>
    </row>
    <row r="1212" spans="1:2" x14ac:dyDescent="0.3">
      <c r="A1212" s="55">
        <v>46048.125</v>
      </c>
      <c r="B1212" s="56">
        <v>7.4</v>
      </c>
    </row>
    <row r="1213" spans="1:2" x14ac:dyDescent="0.3">
      <c r="A1213" s="55">
        <v>46048.145833333336</v>
      </c>
      <c r="B1213" s="56">
        <v>6.9</v>
      </c>
    </row>
    <row r="1214" spans="1:2" x14ac:dyDescent="0.3">
      <c r="A1214" s="55">
        <v>46048.166666666664</v>
      </c>
      <c r="B1214" s="56">
        <v>6.5</v>
      </c>
    </row>
    <row r="1215" spans="1:2" x14ac:dyDescent="0.3">
      <c r="A1215" s="55">
        <v>46048.1875</v>
      </c>
      <c r="B1215" s="56">
        <v>6.6</v>
      </c>
    </row>
    <row r="1216" spans="1:2" x14ac:dyDescent="0.3">
      <c r="A1216" s="55">
        <v>46048.208333333336</v>
      </c>
      <c r="B1216" s="56">
        <v>5.8</v>
      </c>
    </row>
    <row r="1217" spans="1:2" x14ac:dyDescent="0.3">
      <c r="A1217" s="55">
        <v>46048.229166666664</v>
      </c>
      <c r="B1217" s="56">
        <v>5.6</v>
      </c>
    </row>
    <row r="1218" spans="1:2" x14ac:dyDescent="0.3">
      <c r="A1218" s="55">
        <v>46048.25</v>
      </c>
      <c r="B1218" s="56">
        <v>5.9</v>
      </c>
    </row>
    <row r="1219" spans="1:2" x14ac:dyDescent="0.3">
      <c r="A1219" s="55">
        <v>46048.270833333336</v>
      </c>
      <c r="B1219" s="56">
        <v>6.5</v>
      </c>
    </row>
    <row r="1220" spans="1:2" x14ac:dyDescent="0.3">
      <c r="A1220" s="55">
        <v>46048.291666666664</v>
      </c>
      <c r="B1220" s="56">
        <v>6.6</v>
      </c>
    </row>
    <row r="1221" spans="1:2" x14ac:dyDescent="0.3">
      <c r="A1221" s="55">
        <v>46048.3125</v>
      </c>
      <c r="B1221" s="56">
        <v>7.6</v>
      </c>
    </row>
    <row r="1222" spans="1:2" x14ac:dyDescent="0.3">
      <c r="A1222" s="55">
        <v>46048.333333333336</v>
      </c>
      <c r="B1222" s="56">
        <v>8</v>
      </c>
    </row>
    <row r="1223" spans="1:2" x14ac:dyDescent="0.3">
      <c r="A1223" s="55">
        <v>46048.354166666664</v>
      </c>
      <c r="B1223" s="56">
        <v>8.4</v>
      </c>
    </row>
    <row r="1224" spans="1:2" x14ac:dyDescent="0.3">
      <c r="A1224" s="55">
        <v>46048.375</v>
      </c>
      <c r="B1224" s="56">
        <v>8.6999999999999993</v>
      </c>
    </row>
    <row r="1225" spans="1:2" x14ac:dyDescent="0.3">
      <c r="A1225" s="55">
        <v>46048.395833333336</v>
      </c>
      <c r="B1225" s="56">
        <v>8.6</v>
      </c>
    </row>
    <row r="1226" spans="1:2" x14ac:dyDescent="0.3">
      <c r="A1226" s="55">
        <v>46048.416666666664</v>
      </c>
      <c r="B1226" s="56">
        <v>8.9</v>
      </c>
    </row>
    <row r="1227" spans="1:2" x14ac:dyDescent="0.3">
      <c r="A1227" s="55">
        <v>46048.4375</v>
      </c>
      <c r="B1227" s="56">
        <v>8.8000000000000007</v>
      </c>
    </row>
    <row r="1228" spans="1:2" x14ac:dyDescent="0.3">
      <c r="A1228" s="55">
        <v>46048.458333333336</v>
      </c>
      <c r="B1228" s="56">
        <v>9.3000000000000007</v>
      </c>
    </row>
    <row r="1229" spans="1:2" x14ac:dyDescent="0.3">
      <c r="A1229" s="55">
        <v>46048.479166666664</v>
      </c>
      <c r="B1229" s="56">
        <v>9.6</v>
      </c>
    </row>
    <row r="1230" spans="1:2" x14ac:dyDescent="0.3">
      <c r="A1230" s="55">
        <v>46048.5</v>
      </c>
      <c r="B1230" s="56">
        <v>10.1</v>
      </c>
    </row>
    <row r="1231" spans="1:2" x14ac:dyDescent="0.3">
      <c r="A1231" s="55">
        <v>46048.520833333336</v>
      </c>
      <c r="B1231" s="56">
        <v>10.4</v>
      </c>
    </row>
    <row r="1232" spans="1:2" x14ac:dyDescent="0.3">
      <c r="A1232" s="55">
        <v>46048.541666666664</v>
      </c>
      <c r="B1232" s="56">
        <v>9.8000000000000007</v>
      </c>
    </row>
    <row r="1233" spans="1:2" x14ac:dyDescent="0.3">
      <c r="A1233" s="55">
        <v>46048.5625</v>
      </c>
      <c r="B1233" s="56">
        <v>9.5</v>
      </c>
    </row>
    <row r="1234" spans="1:2" x14ac:dyDescent="0.3">
      <c r="A1234" s="55">
        <v>46048.583333333336</v>
      </c>
      <c r="B1234" s="56">
        <v>9.9</v>
      </c>
    </row>
    <row r="1235" spans="1:2" x14ac:dyDescent="0.3">
      <c r="A1235" s="55">
        <v>46048.604166666664</v>
      </c>
      <c r="B1235" s="56">
        <v>9.9</v>
      </c>
    </row>
    <row r="1236" spans="1:2" x14ac:dyDescent="0.3">
      <c r="A1236" s="55">
        <v>46048.625</v>
      </c>
      <c r="B1236" s="56">
        <v>10</v>
      </c>
    </row>
    <row r="1237" spans="1:2" x14ac:dyDescent="0.3">
      <c r="A1237" s="55">
        <v>46048.645833333336</v>
      </c>
      <c r="B1237" s="56">
        <v>10.1</v>
      </c>
    </row>
    <row r="1238" spans="1:2" x14ac:dyDescent="0.3">
      <c r="A1238" s="55">
        <v>46048.666666666664</v>
      </c>
      <c r="B1238" s="56">
        <v>10.199999999999999</v>
      </c>
    </row>
    <row r="1239" spans="1:2" x14ac:dyDescent="0.3">
      <c r="A1239" s="55">
        <v>46048.6875</v>
      </c>
      <c r="B1239" s="56">
        <v>10.1</v>
      </c>
    </row>
    <row r="1240" spans="1:2" x14ac:dyDescent="0.3">
      <c r="A1240" s="55">
        <v>46048.708333333336</v>
      </c>
      <c r="B1240" s="56">
        <v>10.199999999999999</v>
      </c>
    </row>
    <row r="1241" spans="1:2" x14ac:dyDescent="0.3">
      <c r="A1241" s="55">
        <v>46048.729166666664</v>
      </c>
      <c r="B1241" s="56">
        <v>10.199999999999999</v>
      </c>
    </row>
    <row r="1242" spans="1:2" x14ac:dyDescent="0.3">
      <c r="A1242" s="55">
        <v>46048.75</v>
      </c>
      <c r="B1242" s="56">
        <v>10.1</v>
      </c>
    </row>
    <row r="1243" spans="1:2" x14ac:dyDescent="0.3">
      <c r="A1243" s="55">
        <v>46048.770833333336</v>
      </c>
      <c r="B1243" s="56">
        <v>9.8000000000000007</v>
      </c>
    </row>
    <row r="1244" spans="1:2" x14ac:dyDescent="0.3">
      <c r="A1244" s="55">
        <v>46048.791666666664</v>
      </c>
      <c r="B1244" s="56">
        <v>9.6</v>
      </c>
    </row>
    <row r="1245" spans="1:2" x14ac:dyDescent="0.3">
      <c r="A1245" s="55">
        <v>46048.8125</v>
      </c>
      <c r="B1245" s="56">
        <v>9.3000000000000007</v>
      </c>
    </row>
    <row r="1246" spans="1:2" x14ac:dyDescent="0.3">
      <c r="A1246" s="55">
        <v>46048.833333333336</v>
      </c>
      <c r="B1246" s="56">
        <v>9</v>
      </c>
    </row>
    <row r="1247" spans="1:2" x14ac:dyDescent="0.3">
      <c r="A1247" s="55">
        <v>46048.854166666664</v>
      </c>
      <c r="B1247" s="56">
        <v>9.1</v>
      </c>
    </row>
    <row r="1248" spans="1:2" x14ac:dyDescent="0.3">
      <c r="A1248" s="55">
        <v>46048.875</v>
      </c>
      <c r="B1248" s="56">
        <v>8.8000000000000007</v>
      </c>
    </row>
    <row r="1249" spans="1:2" x14ac:dyDescent="0.3">
      <c r="A1249" s="55">
        <v>46048.895833333336</v>
      </c>
      <c r="B1249" s="56">
        <v>8</v>
      </c>
    </row>
    <row r="1250" spans="1:2" x14ac:dyDescent="0.3">
      <c r="A1250" s="55">
        <v>46048.916666666664</v>
      </c>
      <c r="B1250" s="56">
        <v>7.6</v>
      </c>
    </row>
    <row r="1251" spans="1:2" x14ac:dyDescent="0.3">
      <c r="A1251" s="55">
        <v>46048.9375</v>
      </c>
      <c r="B1251" s="56">
        <v>7.5</v>
      </c>
    </row>
    <row r="1252" spans="1:2" x14ac:dyDescent="0.3">
      <c r="A1252" s="55">
        <v>46048.958333333336</v>
      </c>
      <c r="B1252" s="56">
        <v>7.8</v>
      </c>
    </row>
    <row r="1253" spans="1:2" x14ac:dyDescent="0.3">
      <c r="A1253" s="55">
        <v>46048.979166666664</v>
      </c>
      <c r="B1253" s="56">
        <v>7.3</v>
      </c>
    </row>
    <row r="1254" spans="1:2" x14ac:dyDescent="0.3">
      <c r="A1254" s="55">
        <v>46049</v>
      </c>
      <c r="B1254" s="56">
        <v>7.3</v>
      </c>
    </row>
    <row r="1255" spans="1:2" x14ac:dyDescent="0.3">
      <c r="A1255" s="55">
        <v>46049.020833333336</v>
      </c>
      <c r="B1255" s="56">
        <v>7</v>
      </c>
    </row>
    <row r="1256" spans="1:2" x14ac:dyDescent="0.3">
      <c r="A1256" s="55">
        <v>46049.041666666664</v>
      </c>
      <c r="B1256" s="56">
        <v>6.6</v>
      </c>
    </row>
    <row r="1257" spans="1:2" x14ac:dyDescent="0.3">
      <c r="A1257" s="55">
        <v>46049.0625</v>
      </c>
      <c r="B1257" s="56">
        <v>6.3</v>
      </c>
    </row>
    <row r="1258" spans="1:2" x14ac:dyDescent="0.3">
      <c r="A1258" s="55">
        <v>46049.083333333336</v>
      </c>
      <c r="B1258" s="56">
        <v>6.4</v>
      </c>
    </row>
    <row r="1259" spans="1:2" x14ac:dyDescent="0.3">
      <c r="A1259" s="55">
        <v>46049.104166666664</v>
      </c>
      <c r="B1259" s="56">
        <v>6.4</v>
      </c>
    </row>
    <row r="1260" spans="1:2" x14ac:dyDescent="0.3">
      <c r="A1260" s="55">
        <v>46049.125</v>
      </c>
      <c r="B1260" s="56">
        <v>6.3</v>
      </c>
    </row>
    <row r="1261" spans="1:2" x14ac:dyDescent="0.3">
      <c r="A1261" s="55">
        <v>46049.145833333336</v>
      </c>
      <c r="B1261" s="56">
        <v>6.1</v>
      </c>
    </row>
    <row r="1262" spans="1:2" x14ac:dyDescent="0.3">
      <c r="A1262" s="55">
        <v>46049.166666666664</v>
      </c>
      <c r="B1262" s="56">
        <v>6.1</v>
      </c>
    </row>
    <row r="1263" spans="1:2" x14ac:dyDescent="0.3">
      <c r="A1263" s="55">
        <v>46049.1875</v>
      </c>
      <c r="B1263" s="56">
        <v>5.9</v>
      </c>
    </row>
    <row r="1264" spans="1:2" x14ac:dyDescent="0.3">
      <c r="A1264" s="55">
        <v>46049.208333333336</v>
      </c>
      <c r="B1264" s="56">
        <v>5.2</v>
      </c>
    </row>
    <row r="1265" spans="1:2" x14ac:dyDescent="0.3">
      <c r="A1265" s="55">
        <v>46049.229166666664</v>
      </c>
      <c r="B1265" s="56">
        <v>5.4</v>
      </c>
    </row>
    <row r="1266" spans="1:2" x14ac:dyDescent="0.3">
      <c r="A1266" s="55">
        <v>46049.25</v>
      </c>
      <c r="B1266" s="56">
        <v>5.7</v>
      </c>
    </row>
    <row r="1267" spans="1:2" x14ac:dyDescent="0.3">
      <c r="A1267" s="55">
        <v>46049.270833333336</v>
      </c>
      <c r="B1267" s="56">
        <v>5.4</v>
      </c>
    </row>
    <row r="1268" spans="1:2" x14ac:dyDescent="0.3">
      <c r="A1268" s="55">
        <v>46049.291666666664</v>
      </c>
      <c r="B1268" s="56">
        <v>5.0999999999999996</v>
      </c>
    </row>
    <row r="1269" spans="1:2" x14ac:dyDescent="0.3">
      <c r="A1269" s="55">
        <v>46049.3125</v>
      </c>
      <c r="B1269" s="56">
        <v>5.4</v>
      </c>
    </row>
    <row r="1270" spans="1:2" x14ac:dyDescent="0.3">
      <c r="A1270" s="55">
        <v>46049.333333333336</v>
      </c>
      <c r="B1270" s="56">
        <v>5.8</v>
      </c>
    </row>
    <row r="1271" spans="1:2" x14ac:dyDescent="0.3">
      <c r="A1271" s="55">
        <v>46049.354166666664</v>
      </c>
      <c r="B1271" s="56">
        <v>6.3</v>
      </c>
    </row>
    <row r="1272" spans="1:2" x14ac:dyDescent="0.3">
      <c r="A1272" s="55">
        <v>46049.375</v>
      </c>
      <c r="B1272" s="56">
        <v>6.7</v>
      </c>
    </row>
    <row r="1273" spans="1:2" x14ac:dyDescent="0.3">
      <c r="A1273" s="55">
        <v>46049.395833333336</v>
      </c>
      <c r="B1273" s="56">
        <v>7.3</v>
      </c>
    </row>
    <row r="1274" spans="1:2" x14ac:dyDescent="0.3">
      <c r="A1274" s="55">
        <v>46049.416666666664</v>
      </c>
      <c r="B1274" s="56">
        <v>8.1</v>
      </c>
    </row>
    <row r="1275" spans="1:2" x14ac:dyDescent="0.3">
      <c r="A1275" s="55">
        <v>46049.4375</v>
      </c>
      <c r="B1275" s="56">
        <v>9</v>
      </c>
    </row>
    <row r="1276" spans="1:2" x14ac:dyDescent="0.3">
      <c r="A1276" s="55">
        <v>46049.458333333336</v>
      </c>
      <c r="B1276" s="56">
        <v>9.6</v>
      </c>
    </row>
    <row r="1277" spans="1:2" x14ac:dyDescent="0.3">
      <c r="A1277" s="55">
        <v>46049.479166666664</v>
      </c>
      <c r="B1277" s="56">
        <v>10.4</v>
      </c>
    </row>
    <row r="1278" spans="1:2" x14ac:dyDescent="0.3">
      <c r="A1278" s="55">
        <v>46049.5</v>
      </c>
      <c r="B1278" s="56">
        <v>11.5</v>
      </c>
    </row>
    <row r="1279" spans="1:2" x14ac:dyDescent="0.3">
      <c r="A1279" s="55">
        <v>46049.520833333336</v>
      </c>
      <c r="B1279" s="56">
        <v>12</v>
      </c>
    </row>
    <row r="1280" spans="1:2" x14ac:dyDescent="0.3">
      <c r="A1280" s="55">
        <v>46049.541666666664</v>
      </c>
      <c r="B1280" s="56">
        <v>12.6</v>
      </c>
    </row>
    <row r="1281" spans="1:2" x14ac:dyDescent="0.3">
      <c r="A1281" s="55">
        <v>46049.5625</v>
      </c>
      <c r="B1281" s="56">
        <v>13.6</v>
      </c>
    </row>
    <row r="1282" spans="1:2" x14ac:dyDescent="0.3">
      <c r="A1282" s="55">
        <v>46049.583333333336</v>
      </c>
      <c r="B1282" s="56">
        <v>13.2</v>
      </c>
    </row>
    <row r="1283" spans="1:2" x14ac:dyDescent="0.3">
      <c r="A1283" s="55">
        <v>46049.604166666664</v>
      </c>
      <c r="B1283" s="56">
        <v>13.3</v>
      </c>
    </row>
    <row r="1284" spans="1:2" x14ac:dyDescent="0.3">
      <c r="A1284" s="55">
        <v>46049.625</v>
      </c>
      <c r="B1284" s="56">
        <v>12.8</v>
      </c>
    </row>
    <row r="1285" spans="1:2" x14ac:dyDescent="0.3">
      <c r="A1285" s="55">
        <v>46049.645833333336</v>
      </c>
      <c r="B1285" s="56">
        <v>12.5</v>
      </c>
    </row>
    <row r="1286" spans="1:2" x14ac:dyDescent="0.3">
      <c r="A1286" s="55">
        <v>46049.666666666664</v>
      </c>
      <c r="B1286" s="56">
        <v>12.4</v>
      </c>
    </row>
    <row r="1287" spans="1:2" x14ac:dyDescent="0.3">
      <c r="A1287" s="55">
        <v>46049.6875</v>
      </c>
      <c r="B1287" s="56">
        <v>12.3</v>
      </c>
    </row>
    <row r="1288" spans="1:2" x14ac:dyDescent="0.3">
      <c r="A1288" s="55">
        <v>46049.708333333336</v>
      </c>
      <c r="B1288" s="56">
        <v>12.1</v>
      </c>
    </row>
    <row r="1289" spans="1:2" x14ac:dyDescent="0.3">
      <c r="A1289" s="55">
        <v>46049.729166666664</v>
      </c>
      <c r="B1289" s="56">
        <v>12.1</v>
      </c>
    </row>
    <row r="1290" spans="1:2" x14ac:dyDescent="0.3">
      <c r="A1290" s="55">
        <v>46049.75</v>
      </c>
      <c r="B1290" s="56">
        <v>12</v>
      </c>
    </row>
    <row r="1291" spans="1:2" x14ac:dyDescent="0.3">
      <c r="A1291" s="55">
        <v>46049.770833333336</v>
      </c>
      <c r="B1291" s="56">
        <v>12.1</v>
      </c>
    </row>
    <row r="1292" spans="1:2" x14ac:dyDescent="0.3">
      <c r="A1292" s="55">
        <v>46049.791666666664</v>
      </c>
      <c r="B1292" s="56">
        <v>12.1</v>
      </c>
    </row>
    <row r="1293" spans="1:2" x14ac:dyDescent="0.3">
      <c r="A1293" s="55">
        <v>46049.8125</v>
      </c>
      <c r="B1293" s="56">
        <v>12.3</v>
      </c>
    </row>
    <row r="1294" spans="1:2" x14ac:dyDescent="0.3">
      <c r="A1294" s="55">
        <v>46049.833333333336</v>
      </c>
      <c r="B1294" s="56">
        <v>12.3</v>
      </c>
    </row>
    <row r="1295" spans="1:2" x14ac:dyDescent="0.3">
      <c r="A1295" s="55">
        <v>46049.854166666664</v>
      </c>
      <c r="B1295" s="56">
        <v>12.4</v>
      </c>
    </row>
    <row r="1296" spans="1:2" x14ac:dyDescent="0.3">
      <c r="A1296" s="55">
        <v>46049.875</v>
      </c>
      <c r="B1296" s="56">
        <v>12.4</v>
      </c>
    </row>
    <row r="1297" spans="1:2" x14ac:dyDescent="0.3">
      <c r="A1297" s="55">
        <v>46049.895833333336</v>
      </c>
      <c r="B1297" s="56">
        <v>12.5</v>
      </c>
    </row>
    <row r="1298" spans="1:2" x14ac:dyDescent="0.3">
      <c r="A1298" s="55">
        <v>46049.916666666664</v>
      </c>
      <c r="B1298" s="56">
        <v>12.1</v>
      </c>
    </row>
    <row r="1299" spans="1:2" x14ac:dyDescent="0.3">
      <c r="A1299" s="55">
        <v>46049.9375</v>
      </c>
      <c r="B1299" s="56">
        <v>12.1</v>
      </c>
    </row>
    <row r="1300" spans="1:2" x14ac:dyDescent="0.3">
      <c r="A1300" s="55">
        <v>46049.958333333336</v>
      </c>
      <c r="B1300" s="56">
        <v>11.9</v>
      </c>
    </row>
    <row r="1301" spans="1:2" x14ac:dyDescent="0.3">
      <c r="A1301" s="55">
        <v>46049.979166666664</v>
      </c>
      <c r="B1301" s="56">
        <v>11.5</v>
      </c>
    </row>
    <row r="1302" spans="1:2" x14ac:dyDescent="0.3">
      <c r="A1302" s="55">
        <v>46050</v>
      </c>
      <c r="B1302" s="56">
        <v>11.2</v>
      </c>
    </row>
    <row r="1303" spans="1:2" x14ac:dyDescent="0.3">
      <c r="A1303" s="55">
        <v>46050.020833333336</v>
      </c>
      <c r="B1303" s="56">
        <v>11</v>
      </c>
    </row>
    <row r="1304" spans="1:2" x14ac:dyDescent="0.3">
      <c r="A1304" s="55">
        <v>46050.041666666664</v>
      </c>
      <c r="B1304" s="56">
        <v>10.9</v>
      </c>
    </row>
    <row r="1305" spans="1:2" x14ac:dyDescent="0.3">
      <c r="A1305" s="55">
        <v>46050.0625</v>
      </c>
      <c r="B1305" s="56">
        <v>11.2</v>
      </c>
    </row>
    <row r="1306" spans="1:2" x14ac:dyDescent="0.3">
      <c r="A1306" s="55">
        <v>46050.083333333336</v>
      </c>
      <c r="B1306" s="56">
        <v>11.4</v>
      </c>
    </row>
    <row r="1307" spans="1:2" x14ac:dyDescent="0.3">
      <c r="A1307" s="55">
        <v>46050.104166666664</v>
      </c>
      <c r="B1307" s="56">
        <v>11.5</v>
      </c>
    </row>
    <row r="1308" spans="1:2" x14ac:dyDescent="0.3">
      <c r="A1308" s="55">
        <v>46050.125</v>
      </c>
      <c r="B1308" s="56">
        <v>11.5</v>
      </c>
    </row>
    <row r="1309" spans="1:2" x14ac:dyDescent="0.3">
      <c r="A1309" s="55">
        <v>46050.145833333336</v>
      </c>
      <c r="B1309" s="56">
        <v>11.9</v>
      </c>
    </row>
    <row r="1310" spans="1:2" x14ac:dyDescent="0.3">
      <c r="A1310" s="55">
        <v>46050.166666666664</v>
      </c>
      <c r="B1310" s="56">
        <v>12.4</v>
      </c>
    </row>
    <row r="1311" spans="1:2" x14ac:dyDescent="0.3">
      <c r="A1311" s="55">
        <v>46050.1875</v>
      </c>
      <c r="B1311" s="56">
        <v>13</v>
      </c>
    </row>
    <row r="1312" spans="1:2" x14ac:dyDescent="0.3">
      <c r="A1312" s="55">
        <v>46050.208333333336</v>
      </c>
      <c r="B1312" s="56">
        <v>13.1</v>
      </c>
    </row>
    <row r="1313" spans="1:2" x14ac:dyDescent="0.3">
      <c r="A1313" s="55">
        <v>46050.229166666664</v>
      </c>
      <c r="B1313" s="56">
        <v>13.1</v>
      </c>
    </row>
    <row r="1314" spans="1:2" x14ac:dyDescent="0.3">
      <c r="A1314" s="55">
        <v>46050.25</v>
      </c>
      <c r="B1314" s="56">
        <v>13.3</v>
      </c>
    </row>
    <row r="1315" spans="1:2" x14ac:dyDescent="0.3">
      <c r="A1315" s="55">
        <v>46050.270833333336</v>
      </c>
      <c r="B1315" s="56">
        <v>13.3</v>
      </c>
    </row>
    <row r="1316" spans="1:2" x14ac:dyDescent="0.3">
      <c r="A1316" s="55">
        <v>46050.291666666664</v>
      </c>
      <c r="B1316" s="56">
        <v>13.4</v>
      </c>
    </row>
    <row r="1317" spans="1:2" x14ac:dyDescent="0.3">
      <c r="A1317" s="55">
        <v>46050.3125</v>
      </c>
      <c r="B1317" s="56">
        <v>13.5</v>
      </c>
    </row>
    <row r="1318" spans="1:2" x14ac:dyDescent="0.3">
      <c r="A1318" s="55">
        <v>46050.333333333336</v>
      </c>
      <c r="B1318" s="56">
        <v>14</v>
      </c>
    </row>
    <row r="1319" spans="1:2" x14ac:dyDescent="0.3">
      <c r="A1319" s="55">
        <v>46050.354166666664</v>
      </c>
      <c r="B1319" s="56">
        <v>12.3</v>
      </c>
    </row>
    <row r="1320" spans="1:2" x14ac:dyDescent="0.3">
      <c r="A1320" s="55">
        <v>46050.375</v>
      </c>
      <c r="B1320" s="56">
        <v>12.8</v>
      </c>
    </row>
    <row r="1321" spans="1:2" x14ac:dyDescent="0.3">
      <c r="A1321" s="55">
        <v>46050.395833333336</v>
      </c>
      <c r="B1321" s="56">
        <v>13.2</v>
      </c>
    </row>
    <row r="1322" spans="1:2" x14ac:dyDescent="0.3">
      <c r="A1322" s="55">
        <v>46050.416666666664</v>
      </c>
      <c r="B1322" s="56">
        <v>12.8</v>
      </c>
    </row>
    <row r="1323" spans="1:2" x14ac:dyDescent="0.3">
      <c r="A1323" s="55">
        <v>46050.4375</v>
      </c>
      <c r="B1323" s="56">
        <v>12.5</v>
      </c>
    </row>
    <row r="1324" spans="1:2" x14ac:dyDescent="0.3">
      <c r="A1324" s="55">
        <v>46050.458333333336</v>
      </c>
      <c r="B1324" s="56">
        <v>12.4</v>
      </c>
    </row>
    <row r="1325" spans="1:2" x14ac:dyDescent="0.3">
      <c r="A1325" s="55">
        <v>46050.479166666664</v>
      </c>
      <c r="B1325" s="56">
        <v>12.7</v>
      </c>
    </row>
    <row r="1326" spans="1:2" x14ac:dyDescent="0.3">
      <c r="A1326" s="55">
        <v>46050.5</v>
      </c>
      <c r="B1326" s="56">
        <v>12.9</v>
      </c>
    </row>
    <row r="1327" spans="1:2" x14ac:dyDescent="0.3">
      <c r="A1327" s="55">
        <v>46050.520833333336</v>
      </c>
      <c r="B1327" s="56">
        <v>13.1</v>
      </c>
    </row>
    <row r="1328" spans="1:2" x14ac:dyDescent="0.3">
      <c r="A1328" s="55">
        <v>46050.541666666664</v>
      </c>
      <c r="B1328" s="56">
        <v>13.5</v>
      </c>
    </row>
    <row r="1329" spans="1:2" x14ac:dyDescent="0.3">
      <c r="A1329" s="55">
        <v>46050.5625</v>
      </c>
      <c r="B1329" s="56">
        <v>13</v>
      </c>
    </row>
    <row r="1330" spans="1:2" x14ac:dyDescent="0.3">
      <c r="A1330" s="55">
        <v>46050.583333333336</v>
      </c>
      <c r="B1330" s="56">
        <v>13.1</v>
      </c>
    </row>
    <row r="1331" spans="1:2" x14ac:dyDescent="0.3">
      <c r="A1331" s="55">
        <v>46050.604166666664</v>
      </c>
      <c r="B1331" s="56">
        <v>12.9</v>
      </c>
    </row>
    <row r="1332" spans="1:2" x14ac:dyDescent="0.3">
      <c r="A1332" s="55">
        <v>46050.625</v>
      </c>
      <c r="B1332" s="56">
        <v>13</v>
      </c>
    </row>
    <row r="1333" spans="1:2" x14ac:dyDescent="0.3">
      <c r="A1333" s="55">
        <v>46050.645833333336</v>
      </c>
      <c r="B1333" s="56">
        <v>12.8</v>
      </c>
    </row>
    <row r="1334" spans="1:2" x14ac:dyDescent="0.3">
      <c r="A1334" s="55">
        <v>46050.666666666664</v>
      </c>
      <c r="B1334" s="56">
        <v>12.8</v>
      </c>
    </row>
    <row r="1335" spans="1:2" x14ac:dyDescent="0.3">
      <c r="A1335" s="55">
        <v>46050.6875</v>
      </c>
      <c r="B1335" s="56">
        <v>12.5</v>
      </c>
    </row>
    <row r="1336" spans="1:2" x14ac:dyDescent="0.3">
      <c r="A1336" s="55">
        <v>46050.708333333336</v>
      </c>
      <c r="B1336" s="56">
        <v>12.4</v>
      </c>
    </row>
    <row r="1337" spans="1:2" x14ac:dyDescent="0.3">
      <c r="A1337" s="55">
        <v>46050.729166666664</v>
      </c>
      <c r="B1337" s="56">
        <v>12.4</v>
      </c>
    </row>
    <row r="1338" spans="1:2" x14ac:dyDescent="0.3">
      <c r="A1338" s="55">
        <v>46050.75</v>
      </c>
      <c r="B1338" s="56">
        <v>12.4</v>
      </c>
    </row>
    <row r="1339" spans="1:2" x14ac:dyDescent="0.3">
      <c r="A1339" s="55">
        <v>46050.770833333336</v>
      </c>
      <c r="B1339" s="56">
        <v>12.2</v>
      </c>
    </row>
    <row r="1340" spans="1:2" x14ac:dyDescent="0.3">
      <c r="A1340" s="55">
        <v>46050.791666666664</v>
      </c>
      <c r="B1340" s="56">
        <v>12</v>
      </c>
    </row>
    <row r="1341" spans="1:2" x14ac:dyDescent="0.3">
      <c r="A1341" s="55">
        <v>46050.8125</v>
      </c>
      <c r="B1341" s="56">
        <v>11.8</v>
      </c>
    </row>
    <row r="1342" spans="1:2" x14ac:dyDescent="0.3">
      <c r="A1342" s="55">
        <v>46050.833333333336</v>
      </c>
      <c r="B1342" s="56">
        <v>11.7</v>
      </c>
    </row>
    <row r="1343" spans="1:2" x14ac:dyDescent="0.3">
      <c r="A1343" s="55">
        <v>46050.854166666664</v>
      </c>
      <c r="B1343" s="56">
        <v>11.5</v>
      </c>
    </row>
    <row r="1344" spans="1:2" x14ac:dyDescent="0.3">
      <c r="A1344" s="55">
        <v>46050.875</v>
      </c>
      <c r="B1344" s="56">
        <v>11.3</v>
      </c>
    </row>
    <row r="1345" spans="1:2" x14ac:dyDescent="0.3">
      <c r="A1345" s="55">
        <v>46050.895833333336</v>
      </c>
      <c r="B1345" s="56">
        <v>11</v>
      </c>
    </row>
    <row r="1346" spans="1:2" x14ac:dyDescent="0.3">
      <c r="A1346" s="55">
        <v>46050.916666666664</v>
      </c>
      <c r="B1346" s="56">
        <v>10.9</v>
      </c>
    </row>
    <row r="1347" spans="1:2" x14ac:dyDescent="0.3">
      <c r="A1347" s="55">
        <v>46050.9375</v>
      </c>
      <c r="B1347" s="56">
        <v>10.7</v>
      </c>
    </row>
    <row r="1348" spans="1:2" x14ac:dyDescent="0.3">
      <c r="A1348" s="55">
        <v>46050.958333333336</v>
      </c>
      <c r="B1348" s="56">
        <v>10.199999999999999</v>
      </c>
    </row>
    <row r="1349" spans="1:2" x14ac:dyDescent="0.3">
      <c r="A1349" s="55">
        <v>46050.979166666664</v>
      </c>
      <c r="B1349" s="56">
        <v>10</v>
      </c>
    </row>
    <row r="1350" spans="1:2" x14ac:dyDescent="0.3">
      <c r="A1350" s="55">
        <v>46051</v>
      </c>
      <c r="B1350" s="56">
        <v>10.199999999999999</v>
      </c>
    </row>
    <row r="1351" spans="1:2" x14ac:dyDescent="0.3">
      <c r="A1351" s="55">
        <v>46051.020833333336</v>
      </c>
      <c r="B1351" s="56">
        <v>10.199999999999999</v>
      </c>
    </row>
    <row r="1352" spans="1:2" x14ac:dyDescent="0.3">
      <c r="A1352" s="55">
        <v>46051.041666666664</v>
      </c>
      <c r="B1352" s="56">
        <v>10.199999999999999</v>
      </c>
    </row>
    <row r="1353" spans="1:2" x14ac:dyDescent="0.3">
      <c r="A1353" s="55">
        <v>46051.0625</v>
      </c>
      <c r="B1353" s="56">
        <v>9.9</v>
      </c>
    </row>
    <row r="1354" spans="1:2" x14ac:dyDescent="0.3">
      <c r="A1354" s="55">
        <v>46051.083333333336</v>
      </c>
      <c r="B1354" s="56">
        <v>9.6</v>
      </c>
    </row>
    <row r="1355" spans="1:2" x14ac:dyDescent="0.3">
      <c r="A1355" s="55">
        <v>46051.104166666664</v>
      </c>
      <c r="B1355" s="56">
        <v>8.6999999999999993</v>
      </c>
    </row>
    <row r="1356" spans="1:2" x14ac:dyDescent="0.3">
      <c r="A1356" s="55">
        <v>46051.125</v>
      </c>
      <c r="B1356" s="56">
        <v>8.6999999999999993</v>
      </c>
    </row>
    <row r="1357" spans="1:2" x14ac:dyDescent="0.3">
      <c r="A1357" s="55">
        <v>46051.145833333336</v>
      </c>
      <c r="B1357" s="56">
        <v>8.6</v>
      </c>
    </row>
    <row r="1358" spans="1:2" x14ac:dyDescent="0.3">
      <c r="A1358" s="55">
        <v>46051.166666666664</v>
      </c>
      <c r="B1358" s="56">
        <v>8.6</v>
      </c>
    </row>
    <row r="1359" spans="1:2" x14ac:dyDescent="0.3">
      <c r="A1359" s="55">
        <v>46051.1875</v>
      </c>
      <c r="B1359" s="56">
        <v>8.9</v>
      </c>
    </row>
    <row r="1360" spans="1:2" x14ac:dyDescent="0.3">
      <c r="A1360" s="55">
        <v>46051.208333333336</v>
      </c>
      <c r="B1360" s="56">
        <v>8.8000000000000007</v>
      </c>
    </row>
    <row r="1361" spans="1:2" x14ac:dyDescent="0.3">
      <c r="A1361" s="55">
        <v>46051.229166666664</v>
      </c>
      <c r="B1361" s="56">
        <v>8.8000000000000007</v>
      </c>
    </row>
    <row r="1362" spans="1:2" x14ac:dyDescent="0.3">
      <c r="A1362" s="55">
        <v>46051.25</v>
      </c>
      <c r="B1362" s="56">
        <v>9</v>
      </c>
    </row>
    <row r="1363" spans="1:2" x14ac:dyDescent="0.3">
      <c r="A1363" s="55">
        <v>46051.270833333336</v>
      </c>
      <c r="B1363" s="56">
        <v>9.1999999999999993</v>
      </c>
    </row>
    <row r="1364" spans="1:2" x14ac:dyDescent="0.3">
      <c r="A1364" s="55">
        <v>46051.291666666664</v>
      </c>
      <c r="B1364" s="56">
        <v>8.8000000000000007</v>
      </c>
    </row>
    <row r="1365" spans="1:2" x14ac:dyDescent="0.3">
      <c r="A1365" s="55">
        <v>46051.3125</v>
      </c>
      <c r="B1365" s="56">
        <v>8.9</v>
      </c>
    </row>
    <row r="1366" spans="1:2" x14ac:dyDescent="0.3">
      <c r="A1366" s="55">
        <v>46051.333333333336</v>
      </c>
      <c r="B1366" s="56">
        <v>9.3000000000000007</v>
      </c>
    </row>
    <row r="1367" spans="1:2" x14ac:dyDescent="0.3">
      <c r="A1367" s="55">
        <v>46051.354166666664</v>
      </c>
      <c r="B1367" s="56">
        <v>10</v>
      </c>
    </row>
    <row r="1368" spans="1:2" x14ac:dyDescent="0.3">
      <c r="A1368" s="55">
        <v>46051.375</v>
      </c>
      <c r="B1368" s="56">
        <v>10.9</v>
      </c>
    </row>
    <row r="1369" spans="1:2" x14ac:dyDescent="0.3">
      <c r="A1369" s="55">
        <v>46051.395833333336</v>
      </c>
      <c r="B1369" s="56">
        <v>11.2</v>
      </c>
    </row>
    <row r="1370" spans="1:2" x14ac:dyDescent="0.3">
      <c r="A1370" s="55">
        <v>46051.416666666664</v>
      </c>
      <c r="B1370" s="56">
        <v>11.7</v>
      </c>
    </row>
    <row r="1371" spans="1:2" x14ac:dyDescent="0.3">
      <c r="A1371" s="55">
        <v>46051.4375</v>
      </c>
      <c r="B1371" s="56">
        <v>12.2</v>
      </c>
    </row>
    <row r="1372" spans="1:2" x14ac:dyDescent="0.3">
      <c r="A1372" s="55">
        <v>46051.458333333336</v>
      </c>
      <c r="B1372" s="56">
        <v>12.8</v>
      </c>
    </row>
    <row r="1373" spans="1:2" x14ac:dyDescent="0.3">
      <c r="A1373" s="55">
        <v>46051.479166666664</v>
      </c>
      <c r="B1373" s="56">
        <v>12.9</v>
      </c>
    </row>
    <row r="1374" spans="1:2" x14ac:dyDescent="0.3">
      <c r="A1374" s="55">
        <v>46051.5</v>
      </c>
      <c r="B1374" s="56">
        <v>13.4</v>
      </c>
    </row>
    <row r="1375" spans="1:2" x14ac:dyDescent="0.3">
      <c r="A1375" s="55">
        <v>46051.520833333336</v>
      </c>
      <c r="B1375" s="56">
        <v>13.6</v>
      </c>
    </row>
    <row r="1376" spans="1:2" x14ac:dyDescent="0.3">
      <c r="A1376" s="55">
        <v>46051.541666666664</v>
      </c>
      <c r="B1376" s="56">
        <v>13.4</v>
      </c>
    </row>
    <row r="1377" spans="1:2" x14ac:dyDescent="0.3">
      <c r="A1377" s="55">
        <v>46051.5625</v>
      </c>
      <c r="B1377" s="56">
        <v>13.7</v>
      </c>
    </row>
    <row r="1378" spans="1:2" x14ac:dyDescent="0.3">
      <c r="A1378" s="55">
        <v>46051.583333333336</v>
      </c>
      <c r="B1378" s="56">
        <v>13.9</v>
      </c>
    </row>
    <row r="1379" spans="1:2" x14ac:dyDescent="0.3">
      <c r="A1379" s="55">
        <v>46051.604166666664</v>
      </c>
      <c r="B1379" s="56">
        <v>12.3</v>
      </c>
    </row>
    <row r="1380" spans="1:2" x14ac:dyDescent="0.3">
      <c r="A1380" s="55">
        <v>46051.625</v>
      </c>
      <c r="B1380" s="56">
        <v>12.9</v>
      </c>
    </row>
    <row r="1381" spans="1:2" x14ac:dyDescent="0.3">
      <c r="A1381" s="55">
        <v>46051.645833333336</v>
      </c>
      <c r="B1381" s="56">
        <v>11.6</v>
      </c>
    </row>
    <row r="1382" spans="1:2" x14ac:dyDescent="0.3">
      <c r="A1382" s="55">
        <v>46051.666666666664</v>
      </c>
      <c r="B1382" s="56">
        <v>11</v>
      </c>
    </row>
    <row r="1383" spans="1:2" x14ac:dyDescent="0.3">
      <c r="A1383" s="55">
        <v>46051.6875</v>
      </c>
      <c r="B1383" s="56">
        <v>10.6</v>
      </c>
    </row>
    <row r="1384" spans="1:2" x14ac:dyDescent="0.3">
      <c r="A1384" s="55">
        <v>46051.708333333336</v>
      </c>
      <c r="B1384" s="56">
        <v>10.3</v>
      </c>
    </row>
    <row r="1385" spans="1:2" x14ac:dyDescent="0.3">
      <c r="A1385" s="55">
        <v>46051.729166666664</v>
      </c>
      <c r="B1385" s="56">
        <v>10.3</v>
      </c>
    </row>
    <row r="1386" spans="1:2" x14ac:dyDescent="0.3">
      <c r="A1386" s="55">
        <v>46051.75</v>
      </c>
      <c r="B1386" s="56">
        <v>10.4</v>
      </c>
    </row>
    <row r="1387" spans="1:2" x14ac:dyDescent="0.3">
      <c r="A1387" s="55">
        <v>46051.770833333336</v>
      </c>
      <c r="B1387" s="56">
        <v>10.5</v>
      </c>
    </row>
    <row r="1388" spans="1:2" x14ac:dyDescent="0.3">
      <c r="A1388" s="55">
        <v>46051.791666666664</v>
      </c>
      <c r="B1388" s="56">
        <v>10.8</v>
      </c>
    </row>
    <row r="1389" spans="1:2" x14ac:dyDescent="0.3">
      <c r="A1389" s="55">
        <v>46051.8125</v>
      </c>
      <c r="B1389" s="56">
        <v>10.7</v>
      </c>
    </row>
    <row r="1390" spans="1:2" x14ac:dyDescent="0.3">
      <c r="A1390" s="55">
        <v>46051.833333333336</v>
      </c>
      <c r="B1390" s="56">
        <v>10.8</v>
      </c>
    </row>
    <row r="1391" spans="1:2" x14ac:dyDescent="0.3">
      <c r="A1391" s="55">
        <v>46051.854166666664</v>
      </c>
      <c r="B1391" s="56">
        <v>9.6</v>
      </c>
    </row>
    <row r="1392" spans="1:2" x14ac:dyDescent="0.3">
      <c r="A1392" s="55">
        <v>46051.875</v>
      </c>
      <c r="B1392" s="56">
        <v>9</v>
      </c>
    </row>
    <row r="1393" spans="1:2" x14ac:dyDescent="0.3">
      <c r="A1393" s="55">
        <v>46051.895833333336</v>
      </c>
      <c r="B1393" s="56">
        <v>9.1</v>
      </c>
    </row>
    <row r="1394" spans="1:2" x14ac:dyDescent="0.3">
      <c r="A1394" s="55">
        <v>46051.916666666664</v>
      </c>
      <c r="B1394" s="56">
        <v>9.1999999999999993</v>
      </c>
    </row>
    <row r="1395" spans="1:2" x14ac:dyDescent="0.3">
      <c r="A1395" s="55">
        <v>46051.9375</v>
      </c>
      <c r="B1395" s="56">
        <v>8.9</v>
      </c>
    </row>
    <row r="1396" spans="1:2" x14ac:dyDescent="0.3">
      <c r="A1396" s="55">
        <v>46051.958333333336</v>
      </c>
      <c r="B1396" s="56">
        <v>8.4</v>
      </c>
    </row>
    <row r="1397" spans="1:2" x14ac:dyDescent="0.3">
      <c r="A1397" s="55">
        <v>46051.979166666664</v>
      </c>
      <c r="B1397" s="56">
        <v>7.9</v>
      </c>
    </row>
    <row r="1398" spans="1:2" x14ac:dyDescent="0.3">
      <c r="A1398" s="55">
        <v>46052</v>
      </c>
      <c r="B1398" s="56">
        <v>7.4</v>
      </c>
    </row>
    <row r="1399" spans="1:2" x14ac:dyDescent="0.3">
      <c r="A1399" s="55">
        <v>46052.020833333336</v>
      </c>
      <c r="B1399" s="56">
        <v>7</v>
      </c>
    </row>
    <row r="1400" spans="1:2" x14ac:dyDescent="0.3">
      <c r="A1400" s="55">
        <v>46052.041666666664</v>
      </c>
      <c r="B1400" s="56">
        <v>6.6</v>
      </c>
    </row>
    <row r="1401" spans="1:2" x14ac:dyDescent="0.3">
      <c r="A1401" s="55">
        <v>46052.0625</v>
      </c>
      <c r="B1401" s="56">
        <v>6.5</v>
      </c>
    </row>
    <row r="1402" spans="1:2" x14ac:dyDescent="0.3">
      <c r="A1402" s="55">
        <v>46052.083333333336</v>
      </c>
      <c r="B1402" s="56">
        <v>6.5</v>
      </c>
    </row>
    <row r="1403" spans="1:2" x14ac:dyDescent="0.3">
      <c r="A1403" s="55">
        <v>46052.104166666664</v>
      </c>
      <c r="B1403" s="56">
        <v>6.2</v>
      </c>
    </row>
    <row r="1404" spans="1:2" x14ac:dyDescent="0.3">
      <c r="A1404" s="55">
        <v>46052.125</v>
      </c>
      <c r="B1404" s="56">
        <v>5.8</v>
      </c>
    </row>
    <row r="1405" spans="1:2" x14ac:dyDescent="0.3">
      <c r="A1405" s="55">
        <v>46052.145833333336</v>
      </c>
      <c r="B1405" s="56">
        <v>5.2</v>
      </c>
    </row>
    <row r="1406" spans="1:2" x14ac:dyDescent="0.3">
      <c r="A1406" s="55">
        <v>46052.166666666664</v>
      </c>
      <c r="B1406" s="56">
        <v>4.8</v>
      </c>
    </row>
    <row r="1407" spans="1:2" x14ac:dyDescent="0.3">
      <c r="A1407" s="55">
        <v>46052.1875</v>
      </c>
      <c r="B1407" s="56">
        <v>4.8</v>
      </c>
    </row>
    <row r="1408" spans="1:2" x14ac:dyDescent="0.3">
      <c r="A1408" s="55">
        <v>46052.208333333336</v>
      </c>
      <c r="B1408" s="56">
        <v>4.5999999999999996</v>
      </c>
    </row>
    <row r="1409" spans="1:2" x14ac:dyDescent="0.3">
      <c r="A1409" s="55">
        <v>46052.229166666664</v>
      </c>
      <c r="B1409" s="56">
        <v>4.7</v>
      </c>
    </row>
    <row r="1410" spans="1:2" x14ac:dyDescent="0.3">
      <c r="A1410" s="55">
        <v>46052.25</v>
      </c>
      <c r="B1410" s="56">
        <v>5</v>
      </c>
    </row>
    <row r="1411" spans="1:2" x14ac:dyDescent="0.3">
      <c r="A1411" s="55">
        <v>46052.270833333336</v>
      </c>
      <c r="B1411" s="56">
        <v>5.6</v>
      </c>
    </row>
    <row r="1412" spans="1:2" x14ac:dyDescent="0.3">
      <c r="A1412" s="55">
        <v>46052.291666666664</v>
      </c>
      <c r="B1412" s="56">
        <v>5.6</v>
      </c>
    </row>
    <row r="1413" spans="1:2" x14ac:dyDescent="0.3">
      <c r="A1413" s="55">
        <v>46052.3125</v>
      </c>
      <c r="B1413" s="56">
        <v>5.9</v>
      </c>
    </row>
    <row r="1414" spans="1:2" x14ac:dyDescent="0.3">
      <c r="A1414" s="55">
        <v>46052.333333333336</v>
      </c>
      <c r="B1414" s="56">
        <v>5.7</v>
      </c>
    </row>
    <row r="1415" spans="1:2" x14ac:dyDescent="0.3">
      <c r="A1415" s="55">
        <v>46052.354166666664</v>
      </c>
      <c r="B1415" s="56">
        <v>5.6</v>
      </c>
    </row>
    <row r="1416" spans="1:2" x14ac:dyDescent="0.3">
      <c r="A1416" s="55">
        <v>46052.375</v>
      </c>
      <c r="B1416" s="56">
        <v>6.3</v>
      </c>
    </row>
    <row r="1417" spans="1:2" x14ac:dyDescent="0.3">
      <c r="A1417" s="55">
        <v>46052.395833333336</v>
      </c>
      <c r="B1417" s="56">
        <v>7.5</v>
      </c>
    </row>
    <row r="1418" spans="1:2" x14ac:dyDescent="0.3">
      <c r="A1418" s="55">
        <v>46052.416666666664</v>
      </c>
      <c r="B1418" s="56">
        <v>8.3000000000000007</v>
      </c>
    </row>
    <row r="1419" spans="1:2" x14ac:dyDescent="0.3">
      <c r="A1419" s="55">
        <v>46052.4375</v>
      </c>
      <c r="B1419" s="56">
        <v>9.1999999999999993</v>
      </c>
    </row>
    <row r="1420" spans="1:2" x14ac:dyDescent="0.3">
      <c r="A1420" s="55">
        <v>46052.458333333336</v>
      </c>
      <c r="B1420" s="56">
        <v>10.1</v>
      </c>
    </row>
    <row r="1421" spans="1:2" x14ac:dyDescent="0.3">
      <c r="A1421" s="55">
        <v>46052.479166666664</v>
      </c>
      <c r="B1421" s="56">
        <v>10.6</v>
      </c>
    </row>
    <row r="1422" spans="1:2" x14ac:dyDescent="0.3">
      <c r="A1422" s="55">
        <v>46052.5</v>
      </c>
      <c r="B1422" s="56">
        <v>11.5</v>
      </c>
    </row>
    <row r="1423" spans="1:2" x14ac:dyDescent="0.3">
      <c r="A1423" s="55">
        <v>46052.520833333336</v>
      </c>
      <c r="B1423" s="56">
        <v>12</v>
      </c>
    </row>
    <row r="1424" spans="1:2" x14ac:dyDescent="0.3">
      <c r="A1424" s="55">
        <v>46052.541666666664</v>
      </c>
      <c r="B1424" s="56">
        <v>13</v>
      </c>
    </row>
    <row r="1425" spans="1:2" x14ac:dyDescent="0.3">
      <c r="A1425" s="55">
        <v>46052.5625</v>
      </c>
      <c r="B1425" s="56">
        <v>13.4</v>
      </c>
    </row>
    <row r="1426" spans="1:2" x14ac:dyDescent="0.3">
      <c r="A1426" s="55">
        <v>46052.583333333336</v>
      </c>
      <c r="B1426" s="56">
        <v>14</v>
      </c>
    </row>
    <row r="1427" spans="1:2" x14ac:dyDescent="0.3">
      <c r="A1427" s="55">
        <v>46052.604166666664</v>
      </c>
      <c r="B1427" s="56">
        <v>13.6</v>
      </c>
    </row>
    <row r="1428" spans="1:2" x14ac:dyDescent="0.3">
      <c r="A1428" s="55">
        <v>46052.625</v>
      </c>
      <c r="B1428" s="56">
        <v>13.5</v>
      </c>
    </row>
    <row r="1429" spans="1:2" x14ac:dyDescent="0.3">
      <c r="A1429" s="55">
        <v>46052.645833333336</v>
      </c>
      <c r="B1429" s="56">
        <v>13.2</v>
      </c>
    </row>
    <row r="1430" spans="1:2" x14ac:dyDescent="0.3">
      <c r="A1430" s="55">
        <v>46052.666666666664</v>
      </c>
      <c r="B1430" s="56">
        <v>13</v>
      </c>
    </row>
    <row r="1431" spans="1:2" x14ac:dyDescent="0.3">
      <c r="A1431" s="55">
        <v>46052.6875</v>
      </c>
      <c r="B1431" s="56">
        <v>11.7</v>
      </c>
    </row>
    <row r="1432" spans="1:2" x14ac:dyDescent="0.3">
      <c r="A1432" s="55">
        <v>46052.708333333336</v>
      </c>
      <c r="B1432" s="56">
        <v>11.9</v>
      </c>
    </row>
    <row r="1433" spans="1:2" x14ac:dyDescent="0.3">
      <c r="A1433" s="55">
        <v>46052.729166666664</v>
      </c>
      <c r="B1433" s="56">
        <v>11.7</v>
      </c>
    </row>
    <row r="1434" spans="1:2" x14ac:dyDescent="0.3">
      <c r="A1434" s="55">
        <v>46052.75</v>
      </c>
      <c r="B1434" s="56">
        <v>11.4</v>
      </c>
    </row>
    <row r="1435" spans="1:2" x14ac:dyDescent="0.3">
      <c r="A1435" s="55">
        <v>46052.770833333336</v>
      </c>
      <c r="B1435" s="56">
        <v>11.3</v>
      </c>
    </row>
    <row r="1436" spans="1:2" x14ac:dyDescent="0.3">
      <c r="A1436" s="55">
        <v>46052.791666666664</v>
      </c>
      <c r="B1436" s="56">
        <v>11.3</v>
      </c>
    </row>
    <row r="1437" spans="1:2" x14ac:dyDescent="0.3">
      <c r="A1437" s="55">
        <v>46052.8125</v>
      </c>
      <c r="B1437" s="56">
        <v>11.2</v>
      </c>
    </row>
    <row r="1438" spans="1:2" x14ac:dyDescent="0.3">
      <c r="A1438" s="55">
        <v>46052.833333333336</v>
      </c>
      <c r="B1438" s="56">
        <v>11.2</v>
      </c>
    </row>
    <row r="1439" spans="1:2" x14ac:dyDescent="0.3">
      <c r="A1439" s="55">
        <v>46052.854166666664</v>
      </c>
      <c r="B1439" s="56">
        <v>11</v>
      </c>
    </row>
    <row r="1440" spans="1:2" x14ac:dyDescent="0.3">
      <c r="A1440" s="55">
        <v>46052.875</v>
      </c>
      <c r="B1440" s="56">
        <v>10.9</v>
      </c>
    </row>
    <row r="1441" spans="1:2" x14ac:dyDescent="0.3">
      <c r="A1441" s="55">
        <v>46052.895833333336</v>
      </c>
      <c r="B1441" s="56">
        <v>10.7</v>
      </c>
    </row>
    <row r="1442" spans="1:2" x14ac:dyDescent="0.3">
      <c r="A1442" s="55">
        <v>46052.916666666664</v>
      </c>
      <c r="B1442" s="56">
        <v>11</v>
      </c>
    </row>
    <row r="1443" spans="1:2" x14ac:dyDescent="0.3">
      <c r="A1443" s="55">
        <v>46052.9375</v>
      </c>
      <c r="B1443" s="56">
        <v>10.9</v>
      </c>
    </row>
    <row r="1444" spans="1:2" x14ac:dyDescent="0.3">
      <c r="A1444" s="55">
        <v>46052.958333333336</v>
      </c>
      <c r="B1444" s="56">
        <v>9.9</v>
      </c>
    </row>
    <row r="1445" spans="1:2" x14ac:dyDescent="0.3">
      <c r="A1445" s="55">
        <v>46052.979166666664</v>
      </c>
      <c r="B1445" s="56">
        <v>9.1999999999999993</v>
      </c>
    </row>
    <row r="1446" spans="1:2" x14ac:dyDescent="0.3">
      <c r="A1446" s="55">
        <v>46053</v>
      </c>
      <c r="B1446" s="56">
        <v>8.9</v>
      </c>
    </row>
    <row r="1447" spans="1:2" x14ac:dyDescent="0.3">
      <c r="A1447" s="55">
        <v>46053.020833333336</v>
      </c>
      <c r="B1447" s="56">
        <v>8.6999999999999993</v>
      </c>
    </row>
    <row r="1448" spans="1:2" x14ac:dyDescent="0.3">
      <c r="A1448" s="55">
        <v>46053.041666666664</v>
      </c>
      <c r="B1448" s="56">
        <v>9</v>
      </c>
    </row>
    <row r="1449" spans="1:2" x14ac:dyDescent="0.3">
      <c r="A1449" s="55">
        <v>46053.0625</v>
      </c>
      <c r="B1449" s="56">
        <v>8.4</v>
      </c>
    </row>
    <row r="1450" spans="1:2" x14ac:dyDescent="0.3">
      <c r="A1450" s="55">
        <v>46053.083333333336</v>
      </c>
      <c r="B1450" s="56">
        <v>8.1999999999999993</v>
      </c>
    </row>
    <row r="1451" spans="1:2" x14ac:dyDescent="0.3">
      <c r="A1451" s="55">
        <v>46053.104166666664</v>
      </c>
      <c r="B1451" s="56">
        <v>8.1</v>
      </c>
    </row>
    <row r="1452" spans="1:2" x14ac:dyDescent="0.3">
      <c r="A1452" s="55">
        <v>46053.125</v>
      </c>
      <c r="B1452" s="56">
        <v>8</v>
      </c>
    </row>
    <row r="1453" spans="1:2" x14ac:dyDescent="0.3">
      <c r="A1453" s="55">
        <v>46053.145833333336</v>
      </c>
      <c r="B1453" s="56">
        <v>7.8</v>
      </c>
    </row>
    <row r="1454" spans="1:2" x14ac:dyDescent="0.3">
      <c r="A1454" s="55">
        <v>46053.166666666664</v>
      </c>
      <c r="B1454" s="56">
        <v>7.9</v>
      </c>
    </row>
    <row r="1455" spans="1:2" x14ac:dyDescent="0.3">
      <c r="A1455" s="55">
        <v>46053.1875</v>
      </c>
      <c r="B1455" s="56">
        <v>7.9</v>
      </c>
    </row>
    <row r="1456" spans="1:2" x14ac:dyDescent="0.3">
      <c r="A1456" s="55">
        <v>46053.208333333336</v>
      </c>
      <c r="B1456" s="56">
        <v>7.8</v>
      </c>
    </row>
    <row r="1457" spans="1:2" x14ac:dyDescent="0.3">
      <c r="A1457" s="55">
        <v>46053.229166666664</v>
      </c>
      <c r="B1457" s="56">
        <v>8</v>
      </c>
    </row>
    <row r="1458" spans="1:2" x14ac:dyDescent="0.3">
      <c r="A1458" s="55">
        <v>46053.25</v>
      </c>
      <c r="B1458" s="56">
        <v>7.9</v>
      </c>
    </row>
    <row r="1459" spans="1:2" x14ac:dyDescent="0.3">
      <c r="A1459" s="55">
        <v>46053.270833333336</v>
      </c>
      <c r="B1459" s="56">
        <v>7.5</v>
      </c>
    </row>
    <row r="1460" spans="1:2" x14ac:dyDescent="0.3">
      <c r="A1460" s="55">
        <v>46053.291666666664</v>
      </c>
      <c r="B1460" s="56">
        <v>7.3</v>
      </c>
    </row>
    <row r="1461" spans="1:2" x14ac:dyDescent="0.3">
      <c r="A1461" s="55">
        <v>46053.3125</v>
      </c>
      <c r="B1461" s="56">
        <v>7.8</v>
      </c>
    </row>
    <row r="1462" spans="1:2" x14ac:dyDescent="0.3">
      <c r="A1462" s="55">
        <v>46053.333333333336</v>
      </c>
      <c r="B1462" s="56">
        <v>8.9</v>
      </c>
    </row>
    <row r="1463" spans="1:2" x14ac:dyDescent="0.3">
      <c r="A1463" s="55">
        <v>46053.354166666664</v>
      </c>
      <c r="B1463" s="56">
        <v>9.5</v>
      </c>
    </row>
    <row r="1464" spans="1:2" x14ac:dyDescent="0.3">
      <c r="A1464" s="55">
        <v>46053.375</v>
      </c>
      <c r="B1464" s="56">
        <v>10.3</v>
      </c>
    </row>
    <row r="1465" spans="1:2" x14ac:dyDescent="0.3">
      <c r="A1465" s="55">
        <v>46053.395833333336</v>
      </c>
      <c r="B1465" s="56">
        <v>10.6</v>
      </c>
    </row>
    <row r="1466" spans="1:2" x14ac:dyDescent="0.3">
      <c r="A1466" s="55">
        <v>46053.416666666664</v>
      </c>
      <c r="B1466" s="56">
        <v>10.6</v>
      </c>
    </row>
    <row r="1467" spans="1:2" x14ac:dyDescent="0.3">
      <c r="A1467" s="55">
        <v>46053.4375</v>
      </c>
      <c r="B1467" s="56">
        <v>11.3</v>
      </c>
    </row>
    <row r="1468" spans="1:2" x14ac:dyDescent="0.3">
      <c r="A1468" s="55">
        <v>46053.458333333336</v>
      </c>
      <c r="B1468" s="56">
        <v>12.3</v>
      </c>
    </row>
    <row r="1469" spans="1:2" x14ac:dyDescent="0.3">
      <c r="A1469" s="55">
        <v>46053.479166666664</v>
      </c>
      <c r="B1469" s="56">
        <v>13.2</v>
      </c>
    </row>
    <row r="1470" spans="1:2" x14ac:dyDescent="0.3">
      <c r="A1470" s="55">
        <v>46053.5</v>
      </c>
      <c r="B1470" s="56">
        <v>13.6</v>
      </c>
    </row>
    <row r="1471" spans="1:2" x14ac:dyDescent="0.3">
      <c r="A1471" s="55">
        <v>46053.520833333336</v>
      </c>
      <c r="B1471" s="56">
        <v>13.3</v>
      </c>
    </row>
    <row r="1472" spans="1:2" x14ac:dyDescent="0.3">
      <c r="A1472" s="55">
        <v>46053.541666666664</v>
      </c>
      <c r="B1472" s="56">
        <v>13.3</v>
      </c>
    </row>
    <row r="1473" spans="1:2" x14ac:dyDescent="0.3">
      <c r="A1473" s="55">
        <v>46053.5625</v>
      </c>
      <c r="B1473" s="56">
        <v>13.5</v>
      </c>
    </row>
    <row r="1474" spans="1:2" x14ac:dyDescent="0.3">
      <c r="A1474" s="55">
        <v>46053.583333333336</v>
      </c>
      <c r="B1474" s="56">
        <v>13.8</v>
      </c>
    </row>
    <row r="1475" spans="1:2" x14ac:dyDescent="0.3">
      <c r="A1475" s="55">
        <v>46053.604166666664</v>
      </c>
      <c r="B1475" s="56">
        <v>13.6</v>
      </c>
    </row>
    <row r="1476" spans="1:2" x14ac:dyDescent="0.3">
      <c r="A1476" s="55">
        <v>46053.625</v>
      </c>
      <c r="B1476" s="56">
        <v>13.5</v>
      </c>
    </row>
    <row r="1477" spans="1:2" x14ac:dyDescent="0.3">
      <c r="A1477" s="55">
        <v>46053.645833333336</v>
      </c>
      <c r="B1477" s="56">
        <v>13.4</v>
      </c>
    </row>
    <row r="1478" spans="1:2" x14ac:dyDescent="0.3">
      <c r="A1478" s="55">
        <v>46053.666666666664</v>
      </c>
      <c r="B1478" s="56">
        <v>13.1</v>
      </c>
    </row>
    <row r="1479" spans="1:2" x14ac:dyDescent="0.3">
      <c r="A1479" s="55">
        <v>46053.6875</v>
      </c>
      <c r="B1479" s="56">
        <v>12.8</v>
      </c>
    </row>
    <row r="1480" spans="1:2" x14ac:dyDescent="0.3">
      <c r="A1480" s="55">
        <v>46053.708333333336</v>
      </c>
      <c r="B1480" s="56">
        <v>12.5</v>
      </c>
    </row>
    <row r="1481" spans="1:2" x14ac:dyDescent="0.3">
      <c r="A1481" s="55">
        <v>46053.729166666664</v>
      </c>
      <c r="B1481" s="56">
        <v>12.2</v>
      </c>
    </row>
    <row r="1482" spans="1:2" x14ac:dyDescent="0.3">
      <c r="A1482" s="55">
        <v>46053.75</v>
      </c>
      <c r="B1482" s="56">
        <v>11.9</v>
      </c>
    </row>
    <row r="1483" spans="1:2" x14ac:dyDescent="0.3">
      <c r="A1483" s="55">
        <v>46053.770833333336</v>
      </c>
      <c r="B1483" s="56">
        <v>11.9</v>
      </c>
    </row>
    <row r="1484" spans="1:2" x14ac:dyDescent="0.3">
      <c r="A1484" s="55">
        <v>46053.791666666664</v>
      </c>
      <c r="B1484" s="56">
        <v>11.3</v>
      </c>
    </row>
    <row r="1485" spans="1:2" x14ac:dyDescent="0.3">
      <c r="A1485" s="55">
        <v>46053.8125</v>
      </c>
      <c r="B1485" s="56">
        <v>10.8</v>
      </c>
    </row>
    <row r="1486" spans="1:2" x14ac:dyDescent="0.3">
      <c r="A1486" s="55">
        <v>46053.833333333336</v>
      </c>
      <c r="B1486" s="56">
        <v>10.3</v>
      </c>
    </row>
    <row r="1487" spans="1:2" x14ac:dyDescent="0.3">
      <c r="A1487" s="55">
        <v>46053.854166666664</v>
      </c>
      <c r="B1487" s="56">
        <v>9.8000000000000007</v>
      </c>
    </row>
    <row r="1488" spans="1:2" x14ac:dyDescent="0.3">
      <c r="A1488" s="55">
        <v>46053.875</v>
      </c>
      <c r="B1488" s="56">
        <v>9.3000000000000007</v>
      </c>
    </row>
    <row r="1489" spans="1:2" x14ac:dyDescent="0.3">
      <c r="A1489" s="55">
        <v>46053.895833333336</v>
      </c>
      <c r="B1489" s="56">
        <v>9.1</v>
      </c>
    </row>
    <row r="1490" spans="1:2" x14ac:dyDescent="0.3">
      <c r="A1490" s="55">
        <v>46053.916666666664</v>
      </c>
      <c r="B1490" s="56">
        <v>8.9</v>
      </c>
    </row>
    <row r="1491" spans="1:2" x14ac:dyDescent="0.3">
      <c r="A1491" s="55">
        <v>46053.9375</v>
      </c>
      <c r="B1491" s="56">
        <v>8.6999999999999993</v>
      </c>
    </row>
    <row r="1492" spans="1:2" x14ac:dyDescent="0.3">
      <c r="A1492" s="55">
        <v>46053.958333333336</v>
      </c>
      <c r="B1492" s="56">
        <v>8.6</v>
      </c>
    </row>
    <row r="1493" spans="1:2" x14ac:dyDescent="0.3">
      <c r="A1493" s="55">
        <v>46053.979166666664</v>
      </c>
      <c r="B1493" s="56">
        <v>8.4</v>
      </c>
    </row>
  </sheetData>
  <mergeCells count="6">
    <mergeCell ref="J11:N11"/>
    <mergeCell ref="O11:Q11"/>
    <mergeCell ref="G1:H1"/>
    <mergeCell ref="J4:K4"/>
    <mergeCell ref="J5:K5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Roma Collegio Romano CREA - Tem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2026-02-06T22:09:55Z</dcterms:created>
  <dcterms:modified xsi:type="dcterms:W3CDTF">2026-05-18T15:56:04Z</dcterms:modified>
</cp:coreProperties>
</file>