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sella.brandini\Desktop\iafrate\ELAB\Pioggia Cumulata\2026\"/>
    </mc:Choice>
  </mc:AlternateContent>
  <xr:revisionPtr revIDLastSave="0" documentId="8_{4C7C8918-27E9-41B5-8DAB-1A9E0E76BE99}" xr6:coauthVersionLast="47" xr6:coauthVersionMax="47" xr10:uidLastSave="{00000000-0000-0000-0000-000000000000}"/>
  <bookViews>
    <workbookView xWindow="-108" yWindow="-108" windowWidth="23256" windowHeight="12456" activeTab="1" xr2:uid="{9B96B819-BEC4-47F5-9CBD-EEF316812E87}"/>
  </bookViews>
  <sheets>
    <sheet name="Foglio1" sheetId="2" r:id="rId1"/>
    <sheet name="Roma Collegio Romano CREA - Pio" sheetId="1" r:id="rId2"/>
  </sheets>
  <calcPr calcId="191029"/>
  <pivotCaches>
    <pivotCache cacheId="33" r:id="rId3"/>
    <pivotCache cacheId="37" r:id="rId4"/>
    <pivotCache cacheId="41" r:id="rId5"/>
    <pivotCache cacheId="4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3" i="1" l="1"/>
  <c r="Y13" i="1"/>
  <c r="V13" i="1" a="1"/>
  <c r="V13" i="1" s="1"/>
  <c r="S13" i="1"/>
  <c r="M33" i="1"/>
  <c r="J33" i="1"/>
  <c r="Q33" i="1" s="1"/>
  <c r="M32" i="1"/>
  <c r="J32" i="1"/>
  <c r="Q32" i="1" s="1"/>
  <c r="M31" i="1"/>
  <c r="J31" i="1"/>
  <c r="Q31" i="1" s="1"/>
  <c r="M30" i="1"/>
  <c r="J30" i="1"/>
  <c r="Q30" i="1" s="1"/>
  <c r="Q29" i="1"/>
  <c r="M29" i="1"/>
  <c r="J29" i="1"/>
  <c r="M28" i="1"/>
  <c r="J28" i="1"/>
  <c r="Q28" i="1" s="1"/>
  <c r="M27" i="1"/>
  <c r="J27" i="1"/>
  <c r="Q27" i="1" s="1"/>
  <c r="M26" i="1"/>
  <c r="J26" i="1"/>
  <c r="Q26" i="1" s="1"/>
  <c r="M25" i="1"/>
  <c r="J25" i="1"/>
  <c r="Q25" i="1" s="1"/>
  <c r="M24" i="1"/>
  <c r="J24" i="1"/>
  <c r="M23" i="1"/>
  <c r="J23" i="1"/>
  <c r="Q23" i="1" s="1"/>
  <c r="M22" i="1"/>
  <c r="J22" i="1"/>
  <c r="M21" i="1"/>
  <c r="J21" i="1"/>
  <c r="Q21" i="1" s="1"/>
  <c r="M20" i="1"/>
  <c r="J20" i="1"/>
  <c r="Q19" i="1"/>
  <c r="M19" i="1"/>
  <c r="J19" i="1"/>
  <c r="M18" i="1"/>
  <c r="J18" i="1"/>
  <c r="Q18" i="1" s="1"/>
  <c r="M17" i="1"/>
  <c r="J17" i="1"/>
  <c r="Q17" i="1" s="1"/>
  <c r="M16" i="1"/>
  <c r="J16" i="1"/>
  <c r="Q16" i="1" s="1"/>
  <c r="M15" i="1"/>
  <c r="J15" i="1"/>
  <c r="Q15" i="1" s="1"/>
  <c r="Q14" i="1"/>
  <c r="M14" i="1"/>
  <c r="J14" i="1"/>
  <c r="M13" i="1"/>
  <c r="J13" i="1"/>
  <c r="Q13" i="1" s="1"/>
  <c r="M12" i="1"/>
  <c r="J12" i="1"/>
  <c r="M11" i="1"/>
  <c r="J11" i="1"/>
  <c r="M10" i="1"/>
  <c r="J10" i="1"/>
  <c r="Q10" i="1" s="1"/>
  <c r="M9" i="1"/>
  <c r="J9" i="1"/>
  <c r="Q9" i="1" s="1"/>
  <c r="M8" i="1"/>
  <c r="J8" i="1"/>
  <c r="Q8" i="1" s="1"/>
  <c r="M7" i="1"/>
  <c r="J7" i="1"/>
  <c r="M6" i="1"/>
  <c r="J6" i="1"/>
  <c r="M5" i="1"/>
  <c r="J5" i="1"/>
  <c r="Q5" i="1" s="1"/>
  <c r="M4" i="1"/>
  <c r="J4" i="1"/>
  <c r="M3" i="1"/>
  <c r="J3" i="1"/>
  <c r="Q3" i="1" s="1"/>
  <c r="B33" i="1"/>
  <c r="Q12" i="1" l="1"/>
  <c r="Q22" i="1"/>
  <c r="Q7" i="1"/>
  <c r="K7" i="1"/>
  <c r="O26" i="1"/>
  <c r="U13" i="1"/>
  <c r="Q4" i="1"/>
  <c r="Q34" i="1" s="1"/>
  <c r="R13" i="1"/>
  <c r="S9" i="1"/>
  <c r="S7" i="1"/>
  <c r="K12" i="1" s="1"/>
  <c r="S8" i="1"/>
  <c r="L9" i="1" s="1"/>
  <c r="K16" i="1"/>
  <c r="O30" i="1"/>
  <c r="K28" i="1"/>
  <c r="O25" i="1"/>
  <c r="N25" i="1"/>
  <c r="Q24" i="1"/>
  <c r="Q6" i="1"/>
  <c r="K13" i="1"/>
  <c r="L20" i="1"/>
  <c r="Q20" i="1"/>
  <c r="N19" i="1"/>
  <c r="Y9" i="1"/>
  <c r="X13" i="1"/>
  <c r="Y8" i="1"/>
  <c r="O18" i="1" s="1"/>
  <c r="K21" i="1"/>
  <c r="K26" i="1"/>
  <c r="L31" i="1"/>
  <c r="Y7" i="1"/>
  <c r="N16" i="1" s="1"/>
  <c r="AA13" i="1"/>
  <c r="Q11" i="1"/>
  <c r="L15" i="1"/>
  <c r="L5" i="1"/>
  <c r="K30" i="1"/>
  <c r="N12" i="1"/>
  <c r="L19" i="1"/>
  <c r="K10" i="1"/>
  <c r="N15" i="1" l="1"/>
  <c r="N8" i="1"/>
  <c r="N26" i="1"/>
  <c r="N33" i="1"/>
  <c r="K18" i="1"/>
  <c r="N7" i="1"/>
  <c r="L11" i="1"/>
  <c r="O10" i="1"/>
  <c r="N31" i="1"/>
  <c r="N13" i="1"/>
  <c r="N10" i="1"/>
  <c r="N6" i="1"/>
  <c r="O7" i="1"/>
  <c r="N27" i="1"/>
  <c r="N29" i="1"/>
  <c r="N28" i="1"/>
  <c r="N23" i="1"/>
  <c r="O13" i="1"/>
  <c r="L10" i="1"/>
  <c r="N4" i="1"/>
  <c r="N18" i="1"/>
  <c r="N22" i="1"/>
  <c r="O20" i="1"/>
  <c r="O12" i="1"/>
  <c r="O28" i="1"/>
  <c r="O21" i="1"/>
  <c r="O6" i="1"/>
  <c r="O24" i="1"/>
  <c r="O11" i="1"/>
  <c r="O32" i="1"/>
  <c r="O3" i="1"/>
  <c r="O19" i="1"/>
  <c r="O8" i="1"/>
  <c r="O33" i="1"/>
  <c r="O9" i="1"/>
  <c r="O14" i="1"/>
  <c r="O17" i="1"/>
  <c r="O5" i="1"/>
  <c r="O22" i="1"/>
  <c r="L3" i="1"/>
  <c r="L23" i="1"/>
  <c r="L17" i="1"/>
  <c r="L29" i="1"/>
  <c r="L18" i="1"/>
  <c r="L27" i="1"/>
  <c r="L8" i="1"/>
  <c r="L30" i="1"/>
  <c r="L25" i="1"/>
  <c r="L26" i="1"/>
  <c r="K9" i="1"/>
  <c r="K23" i="1"/>
  <c r="K17" i="1"/>
  <c r="K29" i="1"/>
  <c r="K8" i="1"/>
  <c r="K27" i="1"/>
  <c r="K25" i="1"/>
  <c r="K22" i="1"/>
  <c r="L21" i="1"/>
  <c r="L33" i="1"/>
  <c r="K24" i="1"/>
  <c r="L13" i="1"/>
  <c r="K20" i="1"/>
  <c r="O31" i="1"/>
  <c r="L24" i="1"/>
  <c r="O16" i="1"/>
  <c r="E26" i="1"/>
  <c r="E14" i="1"/>
  <c r="E27" i="1"/>
  <c r="E15" i="1"/>
  <c r="E28" i="1"/>
  <c r="E22" i="1"/>
  <c r="E6" i="1"/>
  <c r="E17" i="1"/>
  <c r="E31" i="1"/>
  <c r="E19" i="1"/>
  <c r="E16" i="1"/>
  <c r="E4" i="1"/>
  <c r="E8" i="1"/>
  <c r="E25" i="1"/>
  <c r="E9" i="1"/>
  <c r="E20" i="1"/>
  <c r="E10" i="1"/>
  <c r="E23" i="1"/>
  <c r="E13" i="1"/>
  <c r="E5" i="1"/>
  <c r="E18" i="1"/>
  <c r="E12" i="1"/>
  <c r="E2" i="1"/>
  <c r="E30" i="1"/>
  <c r="E29" i="1"/>
  <c r="E21" i="1"/>
  <c r="E24" i="1"/>
  <c r="E11" i="1"/>
  <c r="E7" i="1"/>
  <c r="E32" i="1"/>
  <c r="E3" i="1"/>
  <c r="L7" i="1"/>
  <c r="L12" i="1"/>
  <c r="K14" i="1"/>
  <c r="K15" i="1"/>
  <c r="O27" i="1"/>
  <c r="K31" i="1"/>
  <c r="K32" i="1"/>
  <c r="L14" i="1"/>
  <c r="K33" i="1"/>
  <c r="F27" i="1"/>
  <c r="F15" i="1"/>
  <c r="F28" i="1"/>
  <c r="F16" i="1"/>
  <c r="F29" i="1"/>
  <c r="F17" i="1"/>
  <c r="F31" i="1"/>
  <c r="F7" i="1"/>
  <c r="F23" i="1"/>
  <c r="F18" i="1"/>
  <c r="F10" i="1"/>
  <c r="F12" i="1"/>
  <c r="F2" i="1"/>
  <c r="F25" i="1"/>
  <c r="F14" i="1"/>
  <c r="F9" i="1"/>
  <c r="F20" i="1"/>
  <c r="F13" i="1"/>
  <c r="F5" i="1"/>
  <c r="F21" i="1"/>
  <c r="F30" i="1"/>
  <c r="F22" i="1"/>
  <c r="F8" i="1"/>
  <c r="F26" i="1"/>
  <c r="F11" i="1"/>
  <c r="F6" i="1"/>
  <c r="F3" i="1"/>
  <c r="F24" i="1"/>
  <c r="F19" i="1"/>
  <c r="F4" i="1"/>
  <c r="F32" i="1"/>
  <c r="G28" i="1"/>
  <c r="G16" i="1"/>
  <c r="G29" i="1"/>
  <c r="G17" i="1"/>
  <c r="G30" i="1"/>
  <c r="G31" i="1"/>
  <c r="G7" i="1"/>
  <c r="G27" i="1"/>
  <c r="G23" i="1"/>
  <c r="G18" i="1"/>
  <c r="G10" i="1"/>
  <c r="G9" i="1"/>
  <c r="G8" i="1"/>
  <c r="G22" i="1"/>
  <c r="G20" i="1"/>
  <c r="G13" i="1"/>
  <c r="G5" i="1"/>
  <c r="G11" i="1"/>
  <c r="G6" i="1"/>
  <c r="G3" i="1"/>
  <c r="G24" i="1"/>
  <c r="G25" i="1"/>
  <c r="G14" i="1"/>
  <c r="G15" i="1"/>
  <c r="G26" i="1"/>
  <c r="G21" i="1"/>
  <c r="G32" i="1"/>
  <c r="G2" i="1"/>
  <c r="G19" i="1"/>
  <c r="G4" i="1"/>
  <c r="G12" i="1"/>
  <c r="L6" i="1"/>
  <c r="L16" i="1"/>
  <c r="D25" i="1"/>
  <c r="D26" i="1"/>
  <c r="D14" i="1"/>
  <c r="D30" i="1"/>
  <c r="D22" i="1"/>
  <c r="D6" i="1"/>
  <c r="D27" i="1"/>
  <c r="D17" i="1"/>
  <c r="D32" i="1"/>
  <c r="D7" i="1"/>
  <c r="D12" i="1"/>
  <c r="D2" i="1"/>
  <c r="D8" i="1"/>
  <c r="D28" i="1"/>
  <c r="D9" i="1"/>
  <c r="D20" i="1"/>
  <c r="D10" i="1"/>
  <c r="D31" i="1"/>
  <c r="D23" i="1"/>
  <c r="D13" i="1"/>
  <c r="D15" i="1"/>
  <c r="D19" i="1"/>
  <c r="D16" i="1"/>
  <c r="D4" i="1"/>
  <c r="D5" i="1"/>
  <c r="D18" i="1"/>
  <c r="D24" i="1"/>
  <c r="D11" i="1"/>
  <c r="D29" i="1"/>
  <c r="D21" i="1"/>
  <c r="D3" i="1"/>
  <c r="K6" i="1"/>
  <c r="L32" i="1"/>
  <c r="L28" i="1"/>
  <c r="N32" i="1"/>
  <c r="N11" i="1"/>
  <c r="N20" i="1"/>
  <c r="N3" i="1"/>
  <c r="N24" i="1"/>
  <c r="N5" i="1"/>
  <c r="N9" i="1"/>
  <c r="N14" i="1"/>
  <c r="O23" i="1"/>
  <c r="O29" i="1"/>
  <c r="O4" i="1"/>
  <c r="K5" i="1"/>
  <c r="K4" i="1"/>
  <c r="L22" i="1"/>
  <c r="K19" i="1"/>
  <c r="O15" i="1"/>
  <c r="N21" i="1"/>
  <c r="K3" i="1"/>
  <c r="K11" i="1"/>
  <c r="N30" i="1"/>
  <c r="L4" i="1"/>
  <c r="N1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<sst xmlns="http://schemas.openxmlformats.org/spreadsheetml/2006/main" count="57" uniqueCount="34">
  <si>
    <t>Orario</t>
  </si>
  <si>
    <t>Roma Collegio Romano CREA - Pioggia Cumulata - 76598 (mm)</t>
  </si>
  <si>
    <t>Variazione</t>
  </si>
  <si>
    <t>Totale mensile</t>
  </si>
  <si>
    <t>Min Pioggia</t>
  </si>
  <si>
    <t>Max Pioggia</t>
  </si>
  <si>
    <t>Min Variazione</t>
  </si>
  <si>
    <t>Max Variazione</t>
  </si>
  <si>
    <t>PIOGGIA CUMULATA</t>
  </si>
  <si>
    <t>Variazione giornaliera</t>
  </si>
  <si>
    <t>giorno</t>
  </si>
  <si>
    <t>Totale Giornaliero</t>
  </si>
  <si>
    <t>DAY Tmax</t>
  </si>
  <si>
    <t>DAY Tmin</t>
  </si>
  <si>
    <t>Totale giornaliero</t>
  </si>
  <si>
    <t>gg &gt;= 1 mm</t>
  </si>
  <si>
    <t>Pioggia Cumulata</t>
  </si>
  <si>
    <t>Su somma dei valori giornalieri</t>
  </si>
  <si>
    <t>Valore Max</t>
  </si>
  <si>
    <t>Valore Min</t>
  </si>
  <si>
    <t>Media Mensile</t>
  </si>
  <si>
    <t>su singolo rilevamento</t>
  </si>
  <si>
    <t xml:space="preserve"> su singolo rilevamento</t>
  </si>
  <si>
    <t>MAX</t>
  </si>
  <si>
    <r>
      <rPr>
        <b/>
        <sz val="11"/>
        <color theme="1"/>
        <rFont val="Aptos Narrow"/>
        <family val="2"/>
        <scheme val="minor"/>
      </rPr>
      <t xml:space="preserve">giorno/ora </t>
    </r>
    <r>
      <rPr>
        <b/>
        <sz val="11"/>
        <color theme="3" tint="0.249977111117893"/>
        <rFont val="Aptos Narrow"/>
        <family val="2"/>
        <scheme val="minor"/>
      </rPr>
      <t>MAX</t>
    </r>
  </si>
  <si>
    <t>MIN</t>
  </si>
  <si>
    <r>
      <t xml:space="preserve">giorno/ora </t>
    </r>
    <r>
      <rPr>
        <b/>
        <sz val="11"/>
        <color rgb="FFC00000"/>
        <rFont val="Aptos Narrow"/>
        <family val="2"/>
        <scheme val="minor"/>
      </rPr>
      <t>MIN</t>
    </r>
  </si>
  <si>
    <r>
      <rPr>
        <b/>
        <sz val="11"/>
        <color theme="1"/>
        <rFont val="Aptos Narrow"/>
        <family val="2"/>
        <scheme val="minor"/>
      </rPr>
      <t>MARZO</t>
    </r>
    <r>
      <rPr>
        <sz val="11"/>
        <color theme="1"/>
        <rFont val="Aptos Narrow"/>
        <family val="2"/>
        <scheme val="minor"/>
      </rPr>
      <t>_2026-Roma Collegio Romano CREA
Temperatura Aria - 76607 (°C)</t>
    </r>
  </si>
  <si>
    <t>MARZO_2026-Roma Collegio Romano
Temperatura Aria - 76607 (°C)</t>
  </si>
  <si>
    <t>Etichette di riga</t>
  </si>
  <si>
    <t>0</t>
  </si>
  <si>
    <t>Totale complessivo</t>
  </si>
  <si>
    <t>PIOGGIA</t>
  </si>
  <si>
    <t>VARIAZIONE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</si>
</sst>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0]d\-mmm;@"/>
    <numFmt numFmtId="165" formatCode="0.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22" fontId="0" fillId="0" borderId="10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0" fillId="0" borderId="0" xfId="0" applyNumberFormat="1"/>
    <xf numFmtId="164" fontId="18" fillId="33" borderId="11" xfId="0" applyNumberFormat="1" applyFont="1" applyFill="1" applyBorder="1" applyAlignment="1">
      <alignment horizontal="center" wrapText="1"/>
    </xf>
    <xf numFmtId="164" fontId="18" fillId="33" borderId="12" xfId="0" applyNumberFormat="1" applyFont="1" applyFill="1" applyBorder="1" applyAlignment="1">
      <alignment horizontal="center" wrapText="1"/>
    </xf>
    <xf numFmtId="0" fontId="16" fillId="34" borderId="0" xfId="0" applyFont="1" applyFill="1" applyAlignment="1">
      <alignment horizontal="center" wrapText="1"/>
    </xf>
    <xf numFmtId="0" fontId="0" fillId="0" borderId="10" xfId="0" applyBorder="1"/>
    <xf numFmtId="22" fontId="0" fillId="0" borderId="0" xfId="0" applyNumberFormat="1"/>
    <xf numFmtId="165" fontId="19" fillId="35" borderId="13" xfId="0" applyNumberFormat="1" applyFont="1" applyFill="1" applyBorder="1" applyAlignment="1">
      <alignment horizontal="center" vertical="center"/>
    </xf>
    <xf numFmtId="0" fontId="19" fillId="36" borderId="14" xfId="0" applyFont="1" applyFill="1" applyBorder="1" applyAlignment="1">
      <alignment horizontal="left" vertical="center"/>
    </xf>
    <xf numFmtId="165" fontId="19" fillId="34" borderId="15" xfId="0" applyNumberFormat="1" applyFont="1" applyFill="1" applyBorder="1" applyAlignment="1">
      <alignment horizontal="center" vertical="center"/>
    </xf>
    <xf numFmtId="0" fontId="16" fillId="37" borderId="16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20" fillId="38" borderId="0" xfId="0" applyFont="1" applyFill="1" applyAlignment="1">
      <alignment horizontal="center" vertical="center"/>
    </xf>
    <xf numFmtId="164" fontId="0" fillId="0" borderId="17" xfId="0" applyNumberFormat="1" applyBorder="1"/>
    <xf numFmtId="165" fontId="0" fillId="0" borderId="18" xfId="0" applyNumberFormat="1" applyBorder="1" applyAlignment="1">
      <alignment horizontal="center"/>
    </xf>
    <xf numFmtId="164" fontId="20" fillId="0" borderId="10" xfId="0" applyNumberFormat="1" applyFont="1" applyBorder="1"/>
    <xf numFmtId="164" fontId="20" fillId="39" borderId="10" xfId="0" applyNumberFormat="1" applyFont="1" applyFill="1" applyBorder="1"/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18" fillId="0" borderId="22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22" fillId="0" borderId="22" xfId="0" applyFont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4" borderId="25" xfId="0" applyFont="1" applyFill="1" applyBorder="1" applyAlignment="1">
      <alignment horizontal="center"/>
    </xf>
    <xf numFmtId="164" fontId="0" fillId="0" borderId="14" xfId="0" applyNumberFormat="1" applyBorder="1"/>
    <xf numFmtId="165" fontId="0" fillId="0" borderId="26" xfId="0" applyNumberFormat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164" fontId="0" fillId="0" borderId="10" xfId="0" applyNumberFormat="1" applyBorder="1"/>
    <xf numFmtId="165" fontId="0" fillId="0" borderId="17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4" fontId="0" fillId="40" borderId="10" xfId="0" applyNumberFormat="1" applyFill="1" applyBorder="1"/>
    <xf numFmtId="165" fontId="0" fillId="40" borderId="17" xfId="0" applyNumberFormat="1" applyFill="1" applyBorder="1" applyAlignment="1">
      <alignment horizontal="center"/>
    </xf>
    <xf numFmtId="165" fontId="0" fillId="40" borderId="10" xfId="0" applyNumberFormat="1" applyFill="1" applyBorder="1" applyAlignment="1">
      <alignment horizontal="center"/>
    </xf>
    <xf numFmtId="164" fontId="18" fillId="0" borderId="10" xfId="0" applyNumberFormat="1" applyFont="1" applyBorder="1" applyAlignment="1">
      <alignment horizontal="center"/>
    </xf>
    <xf numFmtId="0" fontId="18" fillId="39" borderId="27" xfId="0" applyFont="1" applyFill="1" applyBorder="1" applyAlignment="1">
      <alignment horizontal="center"/>
    </xf>
    <xf numFmtId="164" fontId="24" fillId="0" borderId="10" xfId="0" applyNumberFormat="1" applyFont="1" applyBorder="1" applyAlignment="1">
      <alignment horizontal="center"/>
    </xf>
    <xf numFmtId="22" fontId="16" fillId="39" borderId="28" xfId="0" applyNumberFormat="1" applyFont="1" applyFill="1" applyBorder="1" applyAlignment="1">
      <alignment horizontal="center"/>
    </xf>
    <xf numFmtId="0" fontId="18" fillId="34" borderId="28" xfId="0" applyFont="1" applyFill="1" applyBorder="1" applyAlignment="1">
      <alignment horizontal="center"/>
    </xf>
    <xf numFmtId="22" fontId="16" fillId="34" borderId="28" xfId="0" applyNumberFormat="1" applyFont="1" applyFill="1" applyBorder="1" applyAlignment="1">
      <alignment horizontal="center"/>
    </xf>
    <xf numFmtId="165" fontId="25" fillId="0" borderId="17" xfId="0" applyNumberFormat="1" applyFont="1" applyBorder="1" applyAlignment="1">
      <alignment horizontal="center"/>
    </xf>
    <xf numFmtId="22" fontId="26" fillId="0" borderId="10" xfId="0" applyNumberFormat="1" applyFont="1" applyBorder="1"/>
    <xf numFmtId="165" fontId="27" fillId="0" borderId="17" xfId="0" applyNumberFormat="1" applyFont="1" applyBorder="1" applyAlignment="1">
      <alignment horizontal="center"/>
    </xf>
    <xf numFmtId="22" fontId="26" fillId="0" borderId="0" xfId="0" applyNumberFormat="1" applyFont="1"/>
    <xf numFmtId="164" fontId="20" fillId="0" borderId="0" xfId="0" applyNumberFormat="1" applyFont="1"/>
    <xf numFmtId="0" fontId="14" fillId="0" borderId="29" xfId="0" applyFont="1" applyBorder="1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164" fontId="20" fillId="0" borderId="10" xfId="0" applyNumberFormat="1" applyFont="1" applyFill="1" applyBorder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3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26.805784143522" createdVersion="8" refreshedVersion="8" minRefreshableVersion="3" recordCount="31" xr:uid="{3A90ACC2-9DCE-4275-A14C-72B3FC786717}">
  <cacheSource type="worksheet">
    <worksheetSource ref="D1:D32" sheet="Roma Collegio Romano CREA - Pio"/>
  </cacheSource>
  <cacheFields count="1">
    <cacheField name="Min Pioggia" numFmtId="22">
      <sharedItems containsDate="1" containsMixedTypes="1" minDate="2026-03-01T23:59:00" maxDate="2026-03-31T23:59:00" count="26">
        <d v="2026-03-01T23:59:00"/>
        <d v="2026-03-02T23:59:00"/>
        <d v="2026-03-03T23:59:00"/>
        <d v="2026-03-04T23:59:00"/>
        <d v="2026-03-05T23:59:00"/>
        <d v="2026-03-06T23:59:00"/>
        <d v="2026-03-07T23:59:00"/>
        <s v="0"/>
        <d v="2026-03-10T23:59:00"/>
        <d v="2026-03-11T23:59:00"/>
        <d v="2026-03-14T23:59:00"/>
        <d v="2026-03-15T23:59:00"/>
        <d v="2026-03-16T23:59:00"/>
        <d v="2026-03-17T23:59:00"/>
        <d v="2026-03-18T23:59:00"/>
        <d v="2026-03-19T23:59:00"/>
        <d v="2026-03-20T23:59:00"/>
        <d v="2026-03-21T23:59:00"/>
        <d v="2026-03-22T23:59:00"/>
        <d v="2026-03-24T23:59:00"/>
        <d v="2026-03-25T23:59:00"/>
        <d v="2026-03-27T23:59:00"/>
        <d v="2026-03-28T23:59:00"/>
        <d v="2026-03-29T23:59:00"/>
        <d v="2026-03-30T23:59:00"/>
        <d v="2026-03-31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26.806272222224" createdVersion="8" refreshedVersion="8" minRefreshableVersion="3" recordCount="31" xr:uid="{270D6C58-FCC6-4844-8094-C558F4283394}">
  <cacheSource type="worksheet">
    <worksheetSource ref="E1:E32" sheet="Roma Collegio Romano CREA - Pio"/>
  </cacheSource>
  <cacheFields count="1">
    <cacheField name="Max Pioggia" numFmtId="22">
      <sharedItems containsDate="1" containsMixedTypes="1" minDate="2026-03-12T23:59:00" maxDate="2026-03-12T23:59:00" count="2">
        <s v="0"/>
        <d v="2026-03-12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26.806544907406" createdVersion="8" refreshedVersion="8" minRefreshableVersion="3" recordCount="31" xr:uid="{16680102-EE58-4851-AA25-A79F51D60003}">
  <cacheSource type="worksheet">
    <worksheetSource ref="F1:F32" sheet="Roma Collegio Romano CREA - Pio"/>
  </cacheSource>
  <cacheFields count="1">
    <cacheField name="Min Variazione" numFmtId="22">
      <sharedItems containsDate="1" containsMixedTypes="1" minDate="2026-03-13T23:59:00" maxDate="2026-03-13T23:59:00" count="2">
        <s v="0"/>
        <d v="2026-03-13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26.806911689811" createdVersion="8" refreshedVersion="8" minRefreshableVersion="3" recordCount="31" xr:uid="{8BD91B55-44EF-46F3-97DA-307132018DA1}">
  <cacheSource type="worksheet">
    <worksheetSource ref="G1:G32" sheet="Roma Collegio Romano CREA - Pio"/>
  </cacheSource>
  <cacheFields count="1">
    <cacheField name="Max Variazione" numFmtId="22">
      <sharedItems containsDate="1" containsMixedTypes="1" minDate="2026-03-12T23:59:00" maxDate="2026-03-12T23:59:00" count="2">
        <s v="0"/>
        <d v="2026-03-12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1"/>
  </r>
  <r>
    <x v="2"/>
  </r>
  <r>
    <x v="3"/>
  </r>
  <r>
    <x v="4"/>
  </r>
  <r>
    <x v="5"/>
  </r>
  <r>
    <x v="6"/>
  </r>
  <r>
    <x v="7"/>
  </r>
  <r>
    <x v="7"/>
  </r>
  <r>
    <x v="8"/>
  </r>
  <r>
    <x v="9"/>
  </r>
  <r>
    <x v="7"/>
  </r>
  <r>
    <x v="7"/>
  </r>
  <r>
    <x v="10"/>
  </r>
  <r>
    <x v="11"/>
  </r>
  <r>
    <x v="12"/>
  </r>
  <r>
    <x v="13"/>
  </r>
  <r>
    <x v="14"/>
  </r>
  <r>
    <x v="15"/>
  </r>
  <r>
    <x v="16"/>
  </r>
  <r>
    <x v="17"/>
  </r>
  <r>
    <x v="18"/>
  </r>
  <r>
    <x v="7"/>
  </r>
  <r>
    <x v="19"/>
  </r>
  <r>
    <x v="20"/>
  </r>
  <r>
    <x v="7"/>
  </r>
  <r>
    <x v="21"/>
  </r>
  <r>
    <x v="22"/>
  </r>
  <r>
    <x v="23"/>
  </r>
  <r>
    <x v="24"/>
  </r>
  <r>
    <x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E123F-81C2-4CC3-8CB3-B8047B054434}" name="Tabella pivot6" cacheId="45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E3:E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DF809-4D60-45DF-BD47-A0E54CCDD260}" name="Tabella pivot5" cacheId="4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D3:D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C86AEA-A108-4260-94F1-701137908575}" name="Tabella pivot4" cacheId="37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B3:B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D8DF7-D743-4177-851B-BBF609D5633B}" name="Tabella pivot3" cacheId="3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A30" firstHeaderRow="1" firstDataRow="1" firstDataCol="1"/>
  <pivotFields count="1">
    <pivotField axis="axisRow" showAll="0">
      <items count="27">
        <item x="7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835C5-F076-477D-8423-68CC5F125E45}">
  <dimension ref="A1:E30"/>
  <sheetViews>
    <sheetView workbookViewId="0">
      <selection activeCell="I14" sqref="I14"/>
    </sheetView>
  </sheetViews>
  <sheetFormatPr defaultRowHeight="14.4" x14ac:dyDescent="0.3"/>
  <cols>
    <col min="1" max="2" width="17.21875" bestFit="1" customWidth="1"/>
    <col min="4" max="5" width="17.21875" bestFit="1" customWidth="1"/>
  </cols>
  <sheetData>
    <row r="1" spans="1:5" x14ac:dyDescent="0.3">
      <c r="A1" t="s">
        <v>32</v>
      </c>
      <c r="D1" t="s">
        <v>33</v>
      </c>
    </row>
    <row r="2" spans="1:5" x14ac:dyDescent="0.3">
      <c r="A2" t="s">
        <v>25</v>
      </c>
      <c r="B2" t="s">
        <v>23</v>
      </c>
      <c r="D2" t="s">
        <v>25</v>
      </c>
    </row>
    <row r="3" spans="1:5" x14ac:dyDescent="0.3">
      <c r="A3" s="54" t="s">
        <v>29</v>
      </c>
      <c r="B3" s="54" t="s">
        <v>29</v>
      </c>
      <c r="D3" s="54" t="s">
        <v>29</v>
      </c>
      <c r="E3" s="54" t="s">
        <v>29</v>
      </c>
    </row>
    <row r="4" spans="1:5" x14ac:dyDescent="0.3">
      <c r="A4" s="55" t="s">
        <v>30</v>
      </c>
      <c r="B4" s="55" t="s">
        <v>30</v>
      </c>
      <c r="D4" s="55" t="s">
        <v>30</v>
      </c>
      <c r="E4" s="55" t="s">
        <v>30</v>
      </c>
    </row>
    <row r="5" spans="1:5" x14ac:dyDescent="0.3">
      <c r="A5" s="56">
        <v>46082.999305555553</v>
      </c>
      <c r="B5" s="56">
        <v>46093.999305555553</v>
      </c>
      <c r="D5" s="56">
        <v>46094.999305555553</v>
      </c>
      <c r="E5" s="56">
        <v>46093.999305555553</v>
      </c>
    </row>
    <row r="6" spans="1:5" x14ac:dyDescent="0.3">
      <c r="A6" s="56">
        <v>46083.999305555553</v>
      </c>
      <c r="B6" s="55" t="s">
        <v>31</v>
      </c>
      <c r="D6" s="55" t="s">
        <v>31</v>
      </c>
      <c r="E6" s="55" t="s">
        <v>31</v>
      </c>
    </row>
    <row r="7" spans="1:5" x14ac:dyDescent="0.3">
      <c r="A7" s="56">
        <v>46084.999305555553</v>
      </c>
    </row>
    <row r="8" spans="1:5" x14ac:dyDescent="0.3">
      <c r="A8" s="56">
        <v>46085.999305555553</v>
      </c>
    </row>
    <row r="9" spans="1:5" x14ac:dyDescent="0.3">
      <c r="A9" s="56">
        <v>46086.999305555553</v>
      </c>
    </row>
    <row r="10" spans="1:5" x14ac:dyDescent="0.3">
      <c r="A10" s="56">
        <v>46087.999305555553</v>
      </c>
    </row>
    <row r="11" spans="1:5" x14ac:dyDescent="0.3">
      <c r="A11" s="56">
        <v>46088.999305555553</v>
      </c>
    </row>
    <row r="12" spans="1:5" x14ac:dyDescent="0.3">
      <c r="A12" s="56">
        <v>46091.999305555553</v>
      </c>
    </row>
    <row r="13" spans="1:5" x14ac:dyDescent="0.3">
      <c r="A13" s="56">
        <v>46092.999305555553</v>
      </c>
    </row>
    <row r="14" spans="1:5" x14ac:dyDescent="0.3">
      <c r="A14" s="56">
        <v>46095.999305555553</v>
      </c>
    </row>
    <row r="15" spans="1:5" x14ac:dyDescent="0.3">
      <c r="A15" s="56">
        <v>46096.999305555553</v>
      </c>
    </row>
    <row r="16" spans="1:5" x14ac:dyDescent="0.3">
      <c r="A16" s="56">
        <v>46097.999305555553</v>
      </c>
    </row>
    <row r="17" spans="1:1" x14ac:dyDescent="0.3">
      <c r="A17" s="56">
        <v>46098.999305555553</v>
      </c>
    </row>
    <row r="18" spans="1:1" x14ac:dyDescent="0.3">
      <c r="A18" s="56">
        <v>46099.999305555553</v>
      </c>
    </row>
    <row r="19" spans="1:1" x14ac:dyDescent="0.3">
      <c r="A19" s="56">
        <v>46100.999305555553</v>
      </c>
    </row>
    <row r="20" spans="1:1" x14ac:dyDescent="0.3">
      <c r="A20" s="56">
        <v>46101.999305555553</v>
      </c>
    </row>
    <row r="21" spans="1:1" x14ac:dyDescent="0.3">
      <c r="A21" s="56">
        <v>46102.999305555553</v>
      </c>
    </row>
    <row r="22" spans="1:1" x14ac:dyDescent="0.3">
      <c r="A22" s="56">
        <v>46103.999305555553</v>
      </c>
    </row>
    <row r="23" spans="1:1" x14ac:dyDescent="0.3">
      <c r="A23" s="56">
        <v>46105.999305555553</v>
      </c>
    </row>
    <row r="24" spans="1:1" x14ac:dyDescent="0.3">
      <c r="A24" s="56">
        <v>46106.999305555553</v>
      </c>
    </row>
    <row r="25" spans="1:1" x14ac:dyDescent="0.3">
      <c r="A25" s="56">
        <v>46108.999305555553</v>
      </c>
    </row>
    <row r="26" spans="1:1" x14ac:dyDescent="0.3">
      <c r="A26" s="56">
        <v>46109.999305555553</v>
      </c>
    </row>
    <row r="27" spans="1:1" x14ac:dyDescent="0.3">
      <c r="A27" s="56">
        <v>46110.999305555553</v>
      </c>
    </row>
    <row r="28" spans="1:1" x14ac:dyDescent="0.3">
      <c r="A28" s="56">
        <v>46111.999305555553</v>
      </c>
    </row>
    <row r="29" spans="1:1" x14ac:dyDescent="0.3">
      <c r="A29" s="56">
        <v>46112.999305555553</v>
      </c>
    </row>
    <row r="30" spans="1:1" x14ac:dyDescent="0.3">
      <c r="A30" s="55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D71B-8E42-495A-92BF-429EE89E568E}">
  <dimension ref="A1:AB37"/>
  <sheetViews>
    <sheetView tabSelected="1" zoomScale="80" zoomScaleNormal="80" workbookViewId="0">
      <selection activeCell="K14" sqref="K14"/>
    </sheetView>
  </sheetViews>
  <sheetFormatPr defaultRowHeight="14.4" x14ac:dyDescent="0.3"/>
  <cols>
    <col min="1" max="1" width="16.33203125" style="1" customWidth="1"/>
    <col min="2" max="2" width="28.6640625" style="1" customWidth="1"/>
    <col min="3" max="3" width="11" style="1" customWidth="1"/>
    <col min="4" max="7" width="15.33203125" style="1" bestFit="1" customWidth="1"/>
    <col min="8" max="8" width="16.44140625" style="1" customWidth="1"/>
    <col min="9" max="9" width="9.21875" customWidth="1"/>
    <col min="10" max="10" width="13.44140625" bestFit="1" customWidth="1"/>
    <col min="11" max="11" width="7.6640625" bestFit="1" customWidth="1"/>
    <col min="12" max="12" width="7.44140625" bestFit="1" customWidth="1"/>
    <col min="13" max="13" width="13.109375" bestFit="1" customWidth="1"/>
    <col min="14" max="14" width="9.109375" bestFit="1" customWidth="1"/>
    <col min="15" max="15" width="8.77734375" bestFit="1" customWidth="1"/>
    <col min="16" max="16" width="2.109375" customWidth="1"/>
    <col min="17" max="17" width="10.109375" bestFit="1" customWidth="1"/>
    <col min="18" max="18" width="12.44140625" bestFit="1" customWidth="1"/>
    <col min="19" max="19" width="13.5546875" bestFit="1" customWidth="1"/>
    <col min="20" max="20" width="4.6640625" customWidth="1"/>
    <col min="21" max="21" width="4.33203125" bestFit="1" customWidth="1"/>
    <col min="22" max="22" width="13.21875" bestFit="1" customWidth="1"/>
    <col min="23" max="23" width="2.5546875" customWidth="1"/>
    <col min="24" max="24" width="12.44140625" bestFit="1" customWidth="1"/>
    <col min="25" max="25" width="13.5546875" bestFit="1" customWidth="1"/>
    <col min="26" max="26" width="3.109375" customWidth="1"/>
    <col min="27" max="27" width="5.5546875" bestFit="1" customWidth="1"/>
    <col min="28" max="28" width="13.21875" bestFit="1" customWidth="1"/>
  </cols>
  <sheetData>
    <row r="1" spans="1:28" ht="15" thickBot="1" x14ac:dyDescent="0.35">
      <c r="A1" s="1" t="s">
        <v>0</v>
      </c>
      <c r="B1" s="1" t="s">
        <v>1</v>
      </c>
      <c r="C1" s="1" t="s">
        <v>2</v>
      </c>
      <c r="D1" s="4" t="s">
        <v>4</v>
      </c>
      <c r="E1" s="4" t="s">
        <v>5</v>
      </c>
      <c r="F1" s="5" t="s">
        <v>6</v>
      </c>
      <c r="G1" s="4" t="s">
        <v>7</v>
      </c>
      <c r="H1" s="3"/>
      <c r="I1" s="6"/>
      <c r="J1" s="7" t="s">
        <v>8</v>
      </c>
      <c r="K1" s="8"/>
      <c r="L1" s="8"/>
      <c r="M1" s="9" t="s">
        <v>9</v>
      </c>
      <c r="N1" s="9"/>
      <c r="O1" s="9"/>
      <c r="Q1" s="10"/>
    </row>
    <row r="2" spans="1:28" x14ac:dyDescent="0.3">
      <c r="A2" s="2">
        <v>46082.999305555553</v>
      </c>
      <c r="B2" s="1">
        <v>0</v>
      </c>
      <c r="D2" s="11">
        <f t="shared" ref="D2:D32" si="0">IF(B2=$U$13,A2,"0")</f>
        <v>46082.999305555553</v>
      </c>
      <c r="E2" s="11" t="str">
        <f>IF(B2=$R$13,A2,"0")</f>
        <v>0</v>
      </c>
      <c r="F2" s="11" t="str">
        <f t="shared" ref="F2:F32" si="1">IF(C2=$AA$13,A2,"0")</f>
        <v>0</v>
      </c>
      <c r="G2" s="11" t="str">
        <f>IF(C2=$X$13,A2,"0")</f>
        <v>0</v>
      </c>
      <c r="I2" s="6" t="s">
        <v>10</v>
      </c>
      <c r="J2" s="12" t="s">
        <v>11</v>
      </c>
      <c r="K2" s="13" t="s">
        <v>12</v>
      </c>
      <c r="L2" s="13" t="s">
        <v>13</v>
      </c>
      <c r="M2" s="14" t="s">
        <v>14</v>
      </c>
      <c r="N2" s="15" t="s">
        <v>12</v>
      </c>
      <c r="O2" s="15" t="s">
        <v>13</v>
      </c>
      <c r="P2" s="16"/>
      <c r="Q2" s="17" t="s">
        <v>15</v>
      </c>
    </row>
    <row r="3" spans="1:28" ht="15" thickBot="1" x14ac:dyDescent="0.35">
      <c r="A3" s="2">
        <v>46083.999305497688</v>
      </c>
      <c r="B3" s="1">
        <v>0</v>
      </c>
      <c r="C3" s="1">
        <v>0</v>
      </c>
      <c r="D3" s="11">
        <f t="shared" si="0"/>
        <v>46083.999305497688</v>
      </c>
      <c r="E3" s="11" t="str">
        <f t="shared" ref="E3:E32" si="2">IF(B3=$R$13,A3,"0")</f>
        <v>0</v>
      </c>
      <c r="F3" s="11" t="str">
        <f t="shared" si="1"/>
        <v>0</v>
      </c>
      <c r="G3" s="11" t="str">
        <f t="shared" ref="G3:G32" si="3">IF(C3=$X$13,A3,"0")</f>
        <v>0</v>
      </c>
      <c r="I3" s="18">
        <v>46082</v>
      </c>
      <c r="J3" s="19">
        <f>SUM(B2)</f>
        <v>0</v>
      </c>
      <c r="K3" s="20" t="str">
        <f t="shared" ref="K3:K33" si="4">IF(VALUE(J3)=VALUE($S$7),I3,"")</f>
        <v/>
      </c>
      <c r="L3" s="21">
        <f t="shared" ref="L3:L33" si="5">IF(VALUE(J3)=VALUE($S$8),I3,"")</f>
        <v>46082</v>
      </c>
      <c r="M3" s="19">
        <f>SUM(C2)</f>
        <v>0</v>
      </c>
      <c r="N3" s="20" t="str">
        <f>IF(VALUE(M3)=VALUE($Y$7),I3,"")</f>
        <v/>
      </c>
      <c r="O3" s="20" t="str">
        <f>IF(VALUE(M3)=VALUE($Y$8),I3,"")</f>
        <v/>
      </c>
      <c r="Q3" s="10">
        <f t="shared" ref="Q3:Q33" si="6">IF(J3&gt;=1,1,0)</f>
        <v>0</v>
      </c>
    </row>
    <row r="4" spans="1:28" x14ac:dyDescent="0.3">
      <c r="A4" s="2">
        <v>46084.999305497688</v>
      </c>
      <c r="B4" s="1">
        <v>0</v>
      </c>
      <c r="C4" s="1">
        <v>0</v>
      </c>
      <c r="D4" s="11">
        <f t="shared" si="0"/>
        <v>46084.999305497688</v>
      </c>
      <c r="E4" s="11" t="str">
        <f t="shared" si="2"/>
        <v>0</v>
      </c>
      <c r="F4" s="11" t="str">
        <f t="shared" si="1"/>
        <v>0</v>
      </c>
      <c r="G4" s="11" t="str">
        <f t="shared" si="3"/>
        <v>0</v>
      </c>
      <c r="I4" s="18">
        <v>46083</v>
      </c>
      <c r="J4" s="19">
        <f t="shared" ref="J4:J33" si="7">SUM(B3)</f>
        <v>0</v>
      </c>
      <c r="K4" s="20" t="str">
        <f t="shared" si="4"/>
        <v/>
      </c>
      <c r="L4" s="21">
        <f t="shared" si="5"/>
        <v>46083</v>
      </c>
      <c r="M4" s="19">
        <f t="shared" ref="M4:M33" si="8">SUM(C3)</f>
        <v>0</v>
      </c>
      <c r="N4" s="20" t="str">
        <f t="shared" ref="N4:N33" si="9">IF(VALUE(M4)=VALUE($Y$7),I4,"")</f>
        <v/>
      </c>
      <c r="O4" s="20" t="str">
        <f t="shared" ref="O4:O33" si="10">IF(VALUE(M4)=VALUE($Y$8),I4,"")</f>
        <v/>
      </c>
      <c r="Q4" s="10">
        <f t="shared" si="6"/>
        <v>0</v>
      </c>
      <c r="R4" s="22" t="s">
        <v>27</v>
      </c>
      <c r="S4" s="23"/>
      <c r="X4" s="22" t="s">
        <v>28</v>
      </c>
      <c r="Y4" s="24"/>
    </row>
    <row r="5" spans="1:28" ht="15" thickBot="1" x14ac:dyDescent="0.35">
      <c r="A5" s="2">
        <v>46085.999305497688</v>
      </c>
      <c r="B5" s="1">
        <v>0</v>
      </c>
      <c r="C5" s="1">
        <v>0</v>
      </c>
      <c r="D5" s="11">
        <f t="shared" si="0"/>
        <v>46085.999305497688</v>
      </c>
      <c r="E5" s="11" t="str">
        <f t="shared" si="2"/>
        <v>0</v>
      </c>
      <c r="F5" s="11" t="str">
        <f t="shared" si="1"/>
        <v>0</v>
      </c>
      <c r="G5" s="11" t="str">
        <f t="shared" si="3"/>
        <v>0</v>
      </c>
      <c r="I5" s="18">
        <v>46084</v>
      </c>
      <c r="J5" s="19">
        <f t="shared" si="7"/>
        <v>0</v>
      </c>
      <c r="K5" s="20" t="str">
        <f t="shared" si="4"/>
        <v/>
      </c>
      <c r="L5" s="21">
        <f t="shared" si="5"/>
        <v>46084</v>
      </c>
      <c r="M5" s="19">
        <f t="shared" si="8"/>
        <v>0</v>
      </c>
      <c r="N5" s="20" t="str">
        <f t="shared" si="9"/>
        <v/>
      </c>
      <c r="O5" s="20" t="str">
        <f t="shared" si="10"/>
        <v/>
      </c>
      <c r="Q5" s="10">
        <f t="shared" si="6"/>
        <v>0</v>
      </c>
      <c r="R5" s="25" t="s">
        <v>16</v>
      </c>
      <c r="S5" s="26"/>
      <c r="X5" s="27" t="s">
        <v>2</v>
      </c>
      <c r="Y5" s="28"/>
    </row>
    <row r="6" spans="1:28" ht="15" thickBot="1" x14ac:dyDescent="0.35">
      <c r="A6" s="2">
        <v>46086.999305497688</v>
      </c>
      <c r="B6" s="1">
        <v>0</v>
      </c>
      <c r="C6" s="1">
        <v>0</v>
      </c>
      <c r="D6" s="11">
        <f t="shared" si="0"/>
        <v>46086.999305497688</v>
      </c>
      <c r="E6" s="11" t="str">
        <f t="shared" si="2"/>
        <v>0</v>
      </c>
      <c r="F6" s="11" t="str">
        <f t="shared" si="1"/>
        <v>0</v>
      </c>
      <c r="G6" s="11" t="str">
        <f t="shared" si="3"/>
        <v>0</v>
      </c>
      <c r="I6" s="18">
        <v>46085</v>
      </c>
      <c r="J6" s="19">
        <f t="shared" si="7"/>
        <v>0</v>
      </c>
      <c r="K6" s="20" t="str">
        <f t="shared" si="4"/>
        <v/>
      </c>
      <c r="L6" s="21">
        <f t="shared" si="5"/>
        <v>46085</v>
      </c>
      <c r="M6" s="19">
        <f t="shared" si="8"/>
        <v>0</v>
      </c>
      <c r="N6" s="20" t="str">
        <f t="shared" si="9"/>
        <v/>
      </c>
      <c r="O6" s="20" t="str">
        <f t="shared" si="10"/>
        <v/>
      </c>
      <c r="Q6" s="10">
        <f t="shared" si="6"/>
        <v>0</v>
      </c>
      <c r="R6" s="29" t="s">
        <v>17</v>
      </c>
      <c r="S6" s="30"/>
      <c r="X6" s="31" t="s">
        <v>17</v>
      </c>
      <c r="Y6" s="32"/>
    </row>
    <row r="7" spans="1:28" x14ac:dyDescent="0.3">
      <c r="A7" s="2">
        <v>46087.999305497688</v>
      </c>
      <c r="B7" s="1">
        <v>0</v>
      </c>
      <c r="C7" s="1">
        <v>0</v>
      </c>
      <c r="D7" s="11">
        <f t="shared" si="0"/>
        <v>46087.999305497688</v>
      </c>
      <c r="E7" s="11" t="str">
        <f t="shared" si="2"/>
        <v>0</v>
      </c>
      <c r="F7" s="11" t="str">
        <f t="shared" si="1"/>
        <v>0</v>
      </c>
      <c r="G7" s="11" t="str">
        <f t="shared" si="3"/>
        <v>0</v>
      </c>
      <c r="I7" s="18">
        <v>46086</v>
      </c>
      <c r="J7" s="19">
        <f t="shared" si="7"/>
        <v>0</v>
      </c>
      <c r="K7" s="20" t="str">
        <f t="shared" si="4"/>
        <v/>
      </c>
      <c r="L7" s="21">
        <f t="shared" si="5"/>
        <v>46086</v>
      </c>
      <c r="M7" s="19">
        <f t="shared" si="8"/>
        <v>0</v>
      </c>
      <c r="N7" s="20" t="str">
        <f t="shared" si="9"/>
        <v/>
      </c>
      <c r="O7" s="20" t="str">
        <f t="shared" si="10"/>
        <v/>
      </c>
      <c r="Q7" s="10">
        <f t="shared" si="6"/>
        <v>0</v>
      </c>
      <c r="R7" s="33" t="s">
        <v>18</v>
      </c>
      <c r="S7" s="34">
        <f>MAXA(J3:J33)</f>
        <v>36.5</v>
      </c>
      <c r="X7" s="33" t="s">
        <v>18</v>
      </c>
      <c r="Y7" s="35">
        <f>MAXA(M3:M33)</f>
        <v>36.5</v>
      </c>
    </row>
    <row r="8" spans="1:28" x14ac:dyDescent="0.3">
      <c r="A8" s="2">
        <v>46088.999305497688</v>
      </c>
      <c r="B8" s="1">
        <v>0</v>
      </c>
      <c r="C8" s="1">
        <v>0</v>
      </c>
      <c r="D8" s="11">
        <f t="shared" si="0"/>
        <v>46088.999305497688</v>
      </c>
      <c r="E8" s="11" t="str">
        <f t="shared" si="2"/>
        <v>0</v>
      </c>
      <c r="F8" s="11" t="str">
        <f t="shared" si="1"/>
        <v>0</v>
      </c>
      <c r="G8" s="11" t="str">
        <f t="shared" si="3"/>
        <v>0</v>
      </c>
      <c r="I8" s="18">
        <v>46087</v>
      </c>
      <c r="J8" s="19">
        <f t="shared" si="7"/>
        <v>0</v>
      </c>
      <c r="K8" s="20" t="str">
        <f t="shared" si="4"/>
        <v/>
      </c>
      <c r="L8" s="21">
        <f t="shared" si="5"/>
        <v>46087</v>
      </c>
      <c r="M8" s="19">
        <f t="shared" si="8"/>
        <v>0</v>
      </c>
      <c r="N8" s="20" t="str">
        <f t="shared" si="9"/>
        <v/>
      </c>
      <c r="O8" s="20" t="str">
        <f t="shared" si="10"/>
        <v/>
      </c>
      <c r="Q8" s="10">
        <f t="shared" si="6"/>
        <v>0</v>
      </c>
      <c r="R8" s="36" t="s">
        <v>19</v>
      </c>
      <c r="S8" s="37">
        <f>MINA(J3:J33)</f>
        <v>0</v>
      </c>
      <c r="X8" s="36" t="s">
        <v>19</v>
      </c>
      <c r="Y8" s="38">
        <f>MINA(M3:M33)</f>
        <v>-35.1</v>
      </c>
    </row>
    <row r="9" spans="1:28" x14ac:dyDescent="0.3">
      <c r="A9" s="2">
        <v>46089.999305497688</v>
      </c>
      <c r="B9" s="1">
        <v>14.8</v>
      </c>
      <c r="C9" s="1">
        <v>14.8</v>
      </c>
      <c r="D9" s="11" t="str">
        <f t="shared" si="0"/>
        <v>0</v>
      </c>
      <c r="E9" s="11" t="str">
        <f t="shared" si="2"/>
        <v>0</v>
      </c>
      <c r="F9" s="11" t="str">
        <f t="shared" si="1"/>
        <v>0</v>
      </c>
      <c r="G9" s="11" t="str">
        <f t="shared" si="3"/>
        <v>0</v>
      </c>
      <c r="I9" s="18">
        <v>46088</v>
      </c>
      <c r="J9" s="19">
        <f t="shared" si="7"/>
        <v>0</v>
      </c>
      <c r="K9" s="20" t="str">
        <f t="shared" si="4"/>
        <v/>
      </c>
      <c r="L9" s="21">
        <f t="shared" si="5"/>
        <v>46088</v>
      </c>
      <c r="M9" s="19">
        <f t="shared" si="8"/>
        <v>0</v>
      </c>
      <c r="N9" s="20" t="str">
        <f t="shared" si="9"/>
        <v/>
      </c>
      <c r="O9" s="20" t="str">
        <f t="shared" si="10"/>
        <v/>
      </c>
      <c r="Q9" s="10">
        <f t="shared" si="6"/>
        <v>0</v>
      </c>
      <c r="R9" s="39" t="s">
        <v>20</v>
      </c>
      <c r="S9" s="40">
        <f>AVERAGEA(J3:J33)</f>
        <v>2.0677419354838706</v>
      </c>
      <c r="X9" s="39" t="s">
        <v>20</v>
      </c>
      <c r="Y9" s="41">
        <f>AVERAGEA(M3:M33)</f>
        <v>-5.7301833529040336E-17</v>
      </c>
    </row>
    <row r="10" spans="1:28" ht="15" thickBot="1" x14ac:dyDescent="0.35">
      <c r="A10" s="2">
        <v>46090.999305497688</v>
      </c>
      <c r="B10" s="1">
        <v>3.4</v>
      </c>
      <c r="C10" s="1">
        <v>-11.4</v>
      </c>
      <c r="D10" s="11" t="str">
        <f t="shared" si="0"/>
        <v>0</v>
      </c>
      <c r="E10" s="11" t="str">
        <f t="shared" si="2"/>
        <v>0</v>
      </c>
      <c r="F10" s="11" t="str">
        <f t="shared" si="1"/>
        <v>0</v>
      </c>
      <c r="G10" s="11" t="str">
        <f t="shared" si="3"/>
        <v>0</v>
      </c>
      <c r="I10" s="18">
        <v>46089</v>
      </c>
      <c r="J10" s="19">
        <f t="shared" si="7"/>
        <v>14.8</v>
      </c>
      <c r="K10" s="20" t="str">
        <f t="shared" si="4"/>
        <v/>
      </c>
      <c r="L10" s="57" t="str">
        <f t="shared" si="5"/>
        <v/>
      </c>
      <c r="M10" s="19">
        <f t="shared" si="8"/>
        <v>14.8</v>
      </c>
      <c r="N10" s="20" t="str">
        <f t="shared" si="9"/>
        <v/>
      </c>
      <c r="O10" s="20" t="str">
        <f t="shared" si="10"/>
        <v/>
      </c>
      <c r="Q10" s="10">
        <f t="shared" si="6"/>
        <v>1</v>
      </c>
    </row>
    <row r="11" spans="1:28" ht="15" thickBot="1" x14ac:dyDescent="0.35">
      <c r="A11" s="2">
        <v>46091.999305497688</v>
      </c>
      <c r="B11" s="1">
        <v>0</v>
      </c>
      <c r="C11" s="1">
        <v>-3.4</v>
      </c>
      <c r="D11" s="11">
        <f t="shared" si="0"/>
        <v>46091.999305497688</v>
      </c>
      <c r="E11" s="11" t="str">
        <f t="shared" si="2"/>
        <v>0</v>
      </c>
      <c r="F11" s="11" t="str">
        <f t="shared" si="1"/>
        <v>0</v>
      </c>
      <c r="G11" s="11" t="str">
        <f t="shared" si="3"/>
        <v>0</v>
      </c>
      <c r="I11" s="18">
        <v>46090</v>
      </c>
      <c r="J11" s="19">
        <f t="shared" si="7"/>
        <v>3.4</v>
      </c>
      <c r="K11" s="20" t="str">
        <f t="shared" si="4"/>
        <v/>
      </c>
      <c r="L11" s="57" t="str">
        <f t="shared" si="5"/>
        <v/>
      </c>
      <c r="M11" s="19">
        <f t="shared" si="8"/>
        <v>-11.4</v>
      </c>
      <c r="N11" s="20" t="str">
        <f t="shared" si="9"/>
        <v/>
      </c>
      <c r="O11" s="20" t="str">
        <f t="shared" si="10"/>
        <v/>
      </c>
      <c r="Q11" s="10">
        <f t="shared" si="6"/>
        <v>1</v>
      </c>
      <c r="R11" s="29" t="s">
        <v>21</v>
      </c>
      <c r="S11" s="30"/>
      <c r="X11" s="31" t="s">
        <v>22</v>
      </c>
      <c r="Y11" s="32"/>
    </row>
    <row r="12" spans="1:28" x14ac:dyDescent="0.3">
      <c r="A12" s="2">
        <v>46092.999305497688</v>
      </c>
      <c r="B12" s="1">
        <v>0</v>
      </c>
      <c r="C12" s="1">
        <v>0</v>
      </c>
      <c r="D12" s="11">
        <f t="shared" si="0"/>
        <v>46092.999305497688</v>
      </c>
      <c r="E12" s="11" t="str">
        <f t="shared" si="2"/>
        <v>0</v>
      </c>
      <c r="F12" s="11" t="str">
        <f t="shared" si="1"/>
        <v>0</v>
      </c>
      <c r="G12" s="11" t="str">
        <f t="shared" si="3"/>
        <v>0</v>
      </c>
      <c r="I12" s="18">
        <v>46091</v>
      </c>
      <c r="J12" s="19">
        <f t="shared" si="7"/>
        <v>0</v>
      </c>
      <c r="K12" s="20" t="str">
        <f t="shared" si="4"/>
        <v/>
      </c>
      <c r="L12" s="21">
        <f t="shared" si="5"/>
        <v>46091</v>
      </c>
      <c r="M12" s="19">
        <f t="shared" si="8"/>
        <v>-3.4</v>
      </c>
      <c r="N12" s="20" t="str">
        <f t="shared" si="9"/>
        <v/>
      </c>
      <c r="O12" s="20" t="str">
        <f t="shared" si="10"/>
        <v/>
      </c>
      <c r="Q12" s="10">
        <f t="shared" si="6"/>
        <v>0</v>
      </c>
      <c r="R12" s="42" t="s">
        <v>23</v>
      </c>
      <c r="S12" s="43" t="s">
        <v>24</v>
      </c>
      <c r="U12" s="44" t="s">
        <v>25</v>
      </c>
      <c r="V12" s="45" t="s">
        <v>26</v>
      </c>
      <c r="X12" s="42" t="s">
        <v>23</v>
      </c>
      <c r="Y12" s="46" t="s">
        <v>24</v>
      </c>
      <c r="AA12" s="44" t="s">
        <v>25</v>
      </c>
      <c r="AB12" s="47" t="s">
        <v>26</v>
      </c>
    </row>
    <row r="13" spans="1:28" ht="15.6" x14ac:dyDescent="0.3">
      <c r="A13" s="2">
        <v>46093.999305497688</v>
      </c>
      <c r="B13" s="1">
        <v>36.5</v>
      </c>
      <c r="C13" s="1">
        <v>36.5</v>
      </c>
      <c r="D13" s="11" t="str">
        <f t="shared" si="0"/>
        <v>0</v>
      </c>
      <c r="E13" s="11">
        <f t="shared" si="2"/>
        <v>46093.999305497688</v>
      </c>
      <c r="F13" s="11" t="str">
        <f t="shared" si="1"/>
        <v>0</v>
      </c>
      <c r="G13" s="11">
        <f t="shared" si="3"/>
        <v>46093.999305497688</v>
      </c>
      <c r="I13" s="18">
        <v>46092</v>
      </c>
      <c r="J13" s="19">
        <f t="shared" si="7"/>
        <v>0</v>
      </c>
      <c r="K13" s="20" t="str">
        <f t="shared" si="4"/>
        <v/>
      </c>
      <c r="L13" s="21">
        <f t="shared" si="5"/>
        <v>46092</v>
      </c>
      <c r="M13" s="19">
        <f t="shared" si="8"/>
        <v>0</v>
      </c>
      <c r="N13" s="20" t="str">
        <f t="shared" si="9"/>
        <v/>
      </c>
      <c r="O13" s="20" t="str">
        <f t="shared" si="10"/>
        <v/>
      </c>
      <c r="Q13" s="10">
        <f t="shared" si="6"/>
        <v>0</v>
      </c>
      <c r="R13" s="48">
        <f>MAXA(J3:J33)</f>
        <v>36.5</v>
      </c>
      <c r="S13" s="49">
        <f>Foglio1!B5</f>
        <v>46093.999305555553</v>
      </c>
      <c r="U13" s="50">
        <f>MINA(J3:J33)</f>
        <v>0</v>
      </c>
      <c r="V13" s="49" cm="1">
        <f t="array" ref="V13:V37">Foglio1!A5:A29</f>
        <v>46082.999305555553</v>
      </c>
      <c r="X13" s="48">
        <f>MAXA(M3:M33)</f>
        <v>36.5</v>
      </c>
      <c r="Y13" s="49">
        <f>Foglio1!E5</f>
        <v>46093.999305555553</v>
      </c>
      <c r="AA13" s="50">
        <f>MINA(M3:M33)</f>
        <v>-35.1</v>
      </c>
      <c r="AB13" s="49">
        <f>Foglio1!D5</f>
        <v>46094.999305555553</v>
      </c>
    </row>
    <row r="14" spans="1:28" x14ac:dyDescent="0.3">
      <c r="A14" s="2">
        <v>46094.999305497688</v>
      </c>
      <c r="B14" s="1">
        <v>1.4</v>
      </c>
      <c r="C14" s="1">
        <v>-35.1</v>
      </c>
      <c r="D14" s="11" t="str">
        <f t="shared" si="0"/>
        <v>0</v>
      </c>
      <c r="E14" s="11" t="str">
        <f t="shared" si="2"/>
        <v>0</v>
      </c>
      <c r="F14" s="11">
        <f t="shared" si="1"/>
        <v>46094.999305497688</v>
      </c>
      <c r="G14" s="11" t="str">
        <f t="shared" si="3"/>
        <v>0</v>
      </c>
      <c r="I14" s="18">
        <v>46093</v>
      </c>
      <c r="J14" s="19">
        <f t="shared" si="7"/>
        <v>36.5</v>
      </c>
      <c r="K14" s="21">
        <f t="shared" si="4"/>
        <v>46093</v>
      </c>
      <c r="L14" s="57" t="str">
        <f t="shared" si="5"/>
        <v/>
      </c>
      <c r="M14" s="19">
        <f t="shared" si="8"/>
        <v>36.5</v>
      </c>
      <c r="N14" s="20">
        <f t="shared" si="9"/>
        <v>46093</v>
      </c>
      <c r="O14" s="20" t="str">
        <f t="shared" si="10"/>
        <v/>
      </c>
      <c r="Q14" s="10">
        <f t="shared" si="6"/>
        <v>1</v>
      </c>
      <c r="S14" s="51"/>
      <c r="V14" s="49">
        <v>46083.999305555553</v>
      </c>
      <c r="AB14" s="51"/>
    </row>
    <row r="15" spans="1:28" x14ac:dyDescent="0.3">
      <c r="A15" s="2">
        <v>46095.999305497688</v>
      </c>
      <c r="B15" s="1">
        <v>0</v>
      </c>
      <c r="C15" s="1">
        <v>-1.4</v>
      </c>
      <c r="D15" s="11">
        <f t="shared" si="0"/>
        <v>46095.999305497688</v>
      </c>
      <c r="E15" s="11" t="str">
        <f t="shared" si="2"/>
        <v>0</v>
      </c>
      <c r="F15" s="11" t="str">
        <f t="shared" si="1"/>
        <v>0</v>
      </c>
      <c r="G15" s="11" t="str">
        <f t="shared" si="3"/>
        <v>0</v>
      </c>
      <c r="I15" s="18">
        <v>46094</v>
      </c>
      <c r="J15" s="19">
        <f t="shared" si="7"/>
        <v>1.4</v>
      </c>
      <c r="K15" s="20" t="str">
        <f t="shared" si="4"/>
        <v/>
      </c>
      <c r="L15" s="57" t="str">
        <f t="shared" si="5"/>
        <v/>
      </c>
      <c r="M15" s="19">
        <f t="shared" si="8"/>
        <v>-35.1</v>
      </c>
      <c r="N15" s="20" t="str">
        <f t="shared" si="9"/>
        <v/>
      </c>
      <c r="O15" s="20">
        <f t="shared" si="10"/>
        <v>46094</v>
      </c>
      <c r="Q15" s="10">
        <f t="shared" si="6"/>
        <v>1</v>
      </c>
      <c r="S15" s="51"/>
      <c r="V15" s="49">
        <v>46084.999305555553</v>
      </c>
      <c r="AB15" s="51"/>
    </row>
    <row r="16" spans="1:28" x14ac:dyDescent="0.3">
      <c r="A16" s="2">
        <v>46096.999305497688</v>
      </c>
      <c r="B16" s="1">
        <v>0</v>
      </c>
      <c r="C16" s="1">
        <v>0</v>
      </c>
      <c r="D16" s="11">
        <f t="shared" si="0"/>
        <v>46096.999305497688</v>
      </c>
      <c r="E16" s="11" t="str">
        <f t="shared" si="2"/>
        <v>0</v>
      </c>
      <c r="F16" s="11" t="str">
        <f t="shared" si="1"/>
        <v>0</v>
      </c>
      <c r="G16" s="11" t="str">
        <f t="shared" si="3"/>
        <v>0</v>
      </c>
      <c r="I16" s="18">
        <v>46095</v>
      </c>
      <c r="J16" s="19">
        <f t="shared" si="7"/>
        <v>0</v>
      </c>
      <c r="K16" s="20" t="str">
        <f t="shared" si="4"/>
        <v/>
      </c>
      <c r="L16" s="21">
        <f t="shared" si="5"/>
        <v>46095</v>
      </c>
      <c r="M16" s="19">
        <f t="shared" si="8"/>
        <v>-1.4</v>
      </c>
      <c r="N16" s="20" t="str">
        <f t="shared" si="9"/>
        <v/>
      </c>
      <c r="O16" s="20" t="str">
        <f t="shared" si="10"/>
        <v/>
      </c>
      <c r="Q16" s="10">
        <f t="shared" si="6"/>
        <v>0</v>
      </c>
      <c r="S16" s="51"/>
      <c r="V16" s="49">
        <v>46085.999305555553</v>
      </c>
      <c r="AB16" s="51"/>
    </row>
    <row r="17" spans="1:28" x14ac:dyDescent="0.3">
      <c r="A17" s="2">
        <v>46097.999305497688</v>
      </c>
      <c r="B17" s="1">
        <v>0</v>
      </c>
      <c r="C17" s="1">
        <v>0</v>
      </c>
      <c r="D17" s="11">
        <f t="shared" si="0"/>
        <v>46097.999305497688</v>
      </c>
      <c r="E17" s="11" t="str">
        <f t="shared" si="2"/>
        <v>0</v>
      </c>
      <c r="F17" s="11" t="str">
        <f t="shared" si="1"/>
        <v>0</v>
      </c>
      <c r="G17" s="11" t="str">
        <f t="shared" si="3"/>
        <v>0</v>
      </c>
      <c r="I17" s="18">
        <v>46096</v>
      </c>
      <c r="J17" s="19">
        <f t="shared" si="7"/>
        <v>0</v>
      </c>
      <c r="K17" s="20" t="str">
        <f t="shared" si="4"/>
        <v/>
      </c>
      <c r="L17" s="21">
        <f t="shared" si="5"/>
        <v>46096</v>
      </c>
      <c r="M17" s="19">
        <f t="shared" si="8"/>
        <v>0</v>
      </c>
      <c r="N17" s="20" t="str">
        <f t="shared" si="9"/>
        <v/>
      </c>
      <c r="O17" s="20" t="str">
        <f t="shared" si="10"/>
        <v/>
      </c>
      <c r="Q17" s="10">
        <f t="shared" si="6"/>
        <v>0</v>
      </c>
      <c r="S17" s="51"/>
      <c r="V17" s="49">
        <v>46086.999305555553</v>
      </c>
      <c r="AB17" s="51"/>
    </row>
    <row r="18" spans="1:28" x14ac:dyDescent="0.3">
      <c r="A18" s="2">
        <v>46098.999305497688</v>
      </c>
      <c r="B18" s="1">
        <v>0</v>
      </c>
      <c r="C18" s="1">
        <v>0</v>
      </c>
      <c r="D18" s="11">
        <f t="shared" si="0"/>
        <v>46098.999305497688</v>
      </c>
      <c r="E18" s="11" t="str">
        <f t="shared" si="2"/>
        <v>0</v>
      </c>
      <c r="F18" s="11" t="str">
        <f t="shared" si="1"/>
        <v>0</v>
      </c>
      <c r="G18" s="11" t="str">
        <f t="shared" si="3"/>
        <v>0</v>
      </c>
      <c r="I18" s="18">
        <v>46097</v>
      </c>
      <c r="J18" s="19">
        <f t="shared" si="7"/>
        <v>0</v>
      </c>
      <c r="K18" s="20" t="str">
        <f t="shared" si="4"/>
        <v/>
      </c>
      <c r="L18" s="21">
        <f t="shared" si="5"/>
        <v>46097</v>
      </c>
      <c r="M18" s="19">
        <f t="shared" si="8"/>
        <v>0</v>
      </c>
      <c r="N18" s="20" t="str">
        <f t="shared" si="9"/>
        <v/>
      </c>
      <c r="O18" s="20" t="str">
        <f t="shared" si="10"/>
        <v/>
      </c>
      <c r="Q18" s="10">
        <f t="shared" si="6"/>
        <v>0</v>
      </c>
      <c r="S18" s="51"/>
      <c r="V18" s="49">
        <v>46087.999305555553</v>
      </c>
      <c r="AB18" s="51"/>
    </row>
    <row r="19" spans="1:28" x14ac:dyDescent="0.3">
      <c r="A19" s="2">
        <v>46099.999305497688</v>
      </c>
      <c r="B19" s="1">
        <v>0</v>
      </c>
      <c r="C19" s="1">
        <v>0</v>
      </c>
      <c r="D19" s="11">
        <f t="shared" si="0"/>
        <v>46099.999305497688</v>
      </c>
      <c r="E19" s="11" t="str">
        <f t="shared" si="2"/>
        <v>0</v>
      </c>
      <c r="F19" s="11" t="str">
        <f t="shared" si="1"/>
        <v>0</v>
      </c>
      <c r="G19" s="11" t="str">
        <f t="shared" si="3"/>
        <v>0</v>
      </c>
      <c r="I19" s="18">
        <v>46098</v>
      </c>
      <c r="J19" s="19">
        <f t="shared" si="7"/>
        <v>0</v>
      </c>
      <c r="K19" s="20" t="str">
        <f t="shared" si="4"/>
        <v/>
      </c>
      <c r="L19" s="21">
        <f t="shared" si="5"/>
        <v>46098</v>
      </c>
      <c r="M19" s="19">
        <f t="shared" si="8"/>
        <v>0</v>
      </c>
      <c r="N19" s="20" t="str">
        <f t="shared" si="9"/>
        <v/>
      </c>
      <c r="O19" s="20" t="str">
        <f t="shared" si="10"/>
        <v/>
      </c>
      <c r="Q19" s="10">
        <f t="shared" si="6"/>
        <v>0</v>
      </c>
      <c r="S19" s="51"/>
      <c r="V19" s="49">
        <v>46088.999305555553</v>
      </c>
      <c r="AB19" s="51"/>
    </row>
    <row r="20" spans="1:28" x14ac:dyDescent="0.3">
      <c r="A20" s="2">
        <v>46100.999305497688</v>
      </c>
      <c r="B20" s="1">
        <v>0</v>
      </c>
      <c r="C20" s="1">
        <v>0</v>
      </c>
      <c r="D20" s="11">
        <f t="shared" si="0"/>
        <v>46100.999305497688</v>
      </c>
      <c r="E20" s="11" t="str">
        <f t="shared" si="2"/>
        <v>0</v>
      </c>
      <c r="F20" s="11" t="str">
        <f t="shared" si="1"/>
        <v>0</v>
      </c>
      <c r="G20" s="11" t="str">
        <f t="shared" si="3"/>
        <v>0</v>
      </c>
      <c r="I20" s="18">
        <v>46099</v>
      </c>
      <c r="J20" s="19">
        <f t="shared" si="7"/>
        <v>0</v>
      </c>
      <c r="K20" s="20" t="str">
        <f t="shared" si="4"/>
        <v/>
      </c>
      <c r="L20" s="21">
        <f t="shared" si="5"/>
        <v>46099</v>
      </c>
      <c r="M20" s="19">
        <f t="shared" si="8"/>
        <v>0</v>
      </c>
      <c r="N20" s="20" t="str">
        <f t="shared" si="9"/>
        <v/>
      </c>
      <c r="O20" s="20" t="str">
        <f t="shared" si="10"/>
        <v/>
      </c>
      <c r="Q20" s="10">
        <f t="shared" si="6"/>
        <v>0</v>
      </c>
      <c r="S20" s="51"/>
      <c r="V20" s="49">
        <v>46091.999305555553</v>
      </c>
      <c r="AB20" s="51"/>
    </row>
    <row r="21" spans="1:28" x14ac:dyDescent="0.3">
      <c r="A21" s="2">
        <v>46101.999305497688</v>
      </c>
      <c r="B21" s="1">
        <v>0</v>
      </c>
      <c r="C21" s="1">
        <v>0</v>
      </c>
      <c r="D21" s="11">
        <f t="shared" si="0"/>
        <v>46101.999305497688</v>
      </c>
      <c r="E21" s="11" t="str">
        <f t="shared" si="2"/>
        <v>0</v>
      </c>
      <c r="F21" s="11" t="str">
        <f t="shared" si="1"/>
        <v>0</v>
      </c>
      <c r="G21" s="11" t="str">
        <f t="shared" si="3"/>
        <v>0</v>
      </c>
      <c r="I21" s="18">
        <v>46100</v>
      </c>
      <c r="J21" s="19">
        <f t="shared" si="7"/>
        <v>0</v>
      </c>
      <c r="K21" s="20" t="str">
        <f t="shared" si="4"/>
        <v/>
      </c>
      <c r="L21" s="21">
        <f t="shared" si="5"/>
        <v>46100</v>
      </c>
      <c r="M21" s="19">
        <f t="shared" si="8"/>
        <v>0</v>
      </c>
      <c r="N21" s="20" t="str">
        <f t="shared" si="9"/>
        <v/>
      </c>
      <c r="O21" s="20" t="str">
        <f t="shared" si="10"/>
        <v/>
      </c>
      <c r="Q21" s="10">
        <f t="shared" si="6"/>
        <v>0</v>
      </c>
      <c r="S21" s="51"/>
      <c r="V21" s="49">
        <v>46092.999305555553</v>
      </c>
      <c r="AB21" s="51"/>
    </row>
    <row r="22" spans="1:28" x14ac:dyDescent="0.3">
      <c r="A22" s="2">
        <v>46102.999305497688</v>
      </c>
      <c r="B22" s="1">
        <v>0</v>
      </c>
      <c r="C22" s="1">
        <v>0</v>
      </c>
      <c r="D22" s="11">
        <f t="shared" si="0"/>
        <v>46102.999305497688</v>
      </c>
      <c r="E22" s="11" t="str">
        <f t="shared" si="2"/>
        <v>0</v>
      </c>
      <c r="F22" s="11" t="str">
        <f t="shared" si="1"/>
        <v>0</v>
      </c>
      <c r="G22" s="11" t="str">
        <f t="shared" si="3"/>
        <v>0</v>
      </c>
      <c r="I22" s="18">
        <v>46101</v>
      </c>
      <c r="J22" s="19">
        <f t="shared" si="7"/>
        <v>0</v>
      </c>
      <c r="K22" s="20" t="str">
        <f t="shared" si="4"/>
        <v/>
      </c>
      <c r="L22" s="21">
        <f t="shared" si="5"/>
        <v>46101</v>
      </c>
      <c r="M22" s="19">
        <f t="shared" si="8"/>
        <v>0</v>
      </c>
      <c r="N22" s="20" t="str">
        <f t="shared" si="9"/>
        <v/>
      </c>
      <c r="O22" s="20" t="str">
        <f t="shared" si="10"/>
        <v/>
      </c>
      <c r="Q22" s="10">
        <f t="shared" si="6"/>
        <v>0</v>
      </c>
      <c r="S22" s="51"/>
      <c r="V22" s="49">
        <v>46095.999305555553</v>
      </c>
      <c r="AB22" s="51"/>
    </row>
    <row r="23" spans="1:28" x14ac:dyDescent="0.3">
      <c r="A23" s="2">
        <v>46103.999305497688</v>
      </c>
      <c r="B23" s="1">
        <v>0</v>
      </c>
      <c r="C23" s="1">
        <v>0</v>
      </c>
      <c r="D23" s="11">
        <f t="shared" si="0"/>
        <v>46103.999305497688</v>
      </c>
      <c r="E23" s="11" t="str">
        <f t="shared" si="2"/>
        <v>0</v>
      </c>
      <c r="F23" s="11" t="str">
        <f t="shared" si="1"/>
        <v>0</v>
      </c>
      <c r="G23" s="11" t="str">
        <f t="shared" si="3"/>
        <v>0</v>
      </c>
      <c r="I23" s="18">
        <v>46102</v>
      </c>
      <c r="J23" s="19">
        <f t="shared" si="7"/>
        <v>0</v>
      </c>
      <c r="K23" s="20" t="str">
        <f t="shared" si="4"/>
        <v/>
      </c>
      <c r="L23" s="21">
        <f t="shared" si="5"/>
        <v>46102</v>
      </c>
      <c r="M23" s="19">
        <f t="shared" si="8"/>
        <v>0</v>
      </c>
      <c r="N23" s="20" t="str">
        <f t="shared" si="9"/>
        <v/>
      </c>
      <c r="O23" s="20" t="str">
        <f t="shared" si="10"/>
        <v/>
      </c>
      <c r="Q23" s="10">
        <f t="shared" si="6"/>
        <v>0</v>
      </c>
      <c r="S23" s="51"/>
      <c r="V23" s="49">
        <v>46096.999305555553</v>
      </c>
      <c r="AB23" s="51"/>
    </row>
    <row r="24" spans="1:28" x14ac:dyDescent="0.3">
      <c r="A24" s="2">
        <v>46104.999305497688</v>
      </c>
      <c r="B24" s="1">
        <v>0.4</v>
      </c>
      <c r="C24" s="1">
        <v>0.4</v>
      </c>
      <c r="D24" s="11" t="str">
        <f t="shared" si="0"/>
        <v>0</v>
      </c>
      <c r="E24" s="11" t="str">
        <f t="shared" si="2"/>
        <v>0</v>
      </c>
      <c r="F24" s="11" t="str">
        <f t="shared" si="1"/>
        <v>0</v>
      </c>
      <c r="G24" s="11" t="str">
        <f t="shared" si="3"/>
        <v>0</v>
      </c>
      <c r="I24" s="18">
        <v>46103</v>
      </c>
      <c r="J24" s="19">
        <f t="shared" si="7"/>
        <v>0</v>
      </c>
      <c r="K24" s="20" t="str">
        <f t="shared" si="4"/>
        <v/>
      </c>
      <c r="L24" s="21">
        <f t="shared" si="5"/>
        <v>46103</v>
      </c>
      <c r="M24" s="19">
        <f t="shared" si="8"/>
        <v>0</v>
      </c>
      <c r="N24" s="20" t="str">
        <f t="shared" si="9"/>
        <v/>
      </c>
      <c r="O24" s="20" t="str">
        <f t="shared" si="10"/>
        <v/>
      </c>
      <c r="Q24" s="10">
        <f t="shared" si="6"/>
        <v>0</v>
      </c>
      <c r="S24" s="51"/>
      <c r="V24" s="49">
        <v>46097.999305555553</v>
      </c>
      <c r="AB24" s="51"/>
    </row>
    <row r="25" spans="1:28" x14ac:dyDescent="0.3">
      <c r="A25" s="2">
        <v>46105.999305497688</v>
      </c>
      <c r="B25" s="1">
        <v>0</v>
      </c>
      <c r="C25" s="1">
        <v>-0.4</v>
      </c>
      <c r="D25" s="11">
        <f t="shared" si="0"/>
        <v>46105.999305497688</v>
      </c>
      <c r="E25" s="11" t="str">
        <f t="shared" si="2"/>
        <v>0</v>
      </c>
      <c r="F25" s="11" t="str">
        <f t="shared" si="1"/>
        <v>0</v>
      </c>
      <c r="G25" s="11" t="str">
        <f t="shared" si="3"/>
        <v>0</v>
      </c>
      <c r="I25" s="18">
        <v>46104</v>
      </c>
      <c r="J25" s="19">
        <f t="shared" si="7"/>
        <v>0.4</v>
      </c>
      <c r="K25" s="20" t="str">
        <f t="shared" si="4"/>
        <v/>
      </c>
      <c r="L25" s="57" t="str">
        <f t="shared" si="5"/>
        <v/>
      </c>
      <c r="M25" s="19">
        <f t="shared" si="8"/>
        <v>0.4</v>
      </c>
      <c r="N25" s="20" t="str">
        <f t="shared" si="9"/>
        <v/>
      </c>
      <c r="O25" s="20" t="str">
        <f t="shared" si="10"/>
        <v/>
      </c>
      <c r="Q25" s="10">
        <f t="shared" si="6"/>
        <v>0</v>
      </c>
      <c r="S25" s="51"/>
      <c r="V25" s="49">
        <v>46098.999305555553</v>
      </c>
      <c r="AB25" s="51"/>
    </row>
    <row r="26" spans="1:28" x14ac:dyDescent="0.3">
      <c r="A26" s="2">
        <v>46106.999305497688</v>
      </c>
      <c r="B26" s="1">
        <v>0</v>
      </c>
      <c r="C26" s="1">
        <v>0</v>
      </c>
      <c r="D26" s="11">
        <f t="shared" si="0"/>
        <v>46106.999305497688</v>
      </c>
      <c r="E26" s="11" t="str">
        <f t="shared" si="2"/>
        <v>0</v>
      </c>
      <c r="F26" s="11" t="str">
        <f t="shared" si="1"/>
        <v>0</v>
      </c>
      <c r="G26" s="11" t="str">
        <f t="shared" si="3"/>
        <v>0</v>
      </c>
      <c r="I26" s="18">
        <v>46105</v>
      </c>
      <c r="J26" s="19">
        <f t="shared" si="7"/>
        <v>0</v>
      </c>
      <c r="K26" s="20" t="str">
        <f t="shared" si="4"/>
        <v/>
      </c>
      <c r="L26" s="21">
        <f t="shared" si="5"/>
        <v>46105</v>
      </c>
      <c r="M26" s="19">
        <f t="shared" si="8"/>
        <v>-0.4</v>
      </c>
      <c r="N26" s="20" t="str">
        <f t="shared" si="9"/>
        <v/>
      </c>
      <c r="O26" s="20" t="str">
        <f t="shared" si="10"/>
        <v/>
      </c>
      <c r="Q26" s="10">
        <f t="shared" si="6"/>
        <v>0</v>
      </c>
      <c r="S26" s="51"/>
      <c r="V26" s="49">
        <v>46099.999305555553</v>
      </c>
      <c r="AB26" s="51"/>
    </row>
    <row r="27" spans="1:28" x14ac:dyDescent="0.3">
      <c r="A27" s="2">
        <v>46107.999305497688</v>
      </c>
      <c r="B27" s="1">
        <v>7.6</v>
      </c>
      <c r="C27" s="1">
        <v>7.6</v>
      </c>
      <c r="D27" s="11" t="str">
        <f t="shared" si="0"/>
        <v>0</v>
      </c>
      <c r="E27" s="11" t="str">
        <f t="shared" si="2"/>
        <v>0</v>
      </c>
      <c r="F27" s="11" t="str">
        <f t="shared" si="1"/>
        <v>0</v>
      </c>
      <c r="G27" s="11" t="str">
        <f t="shared" si="3"/>
        <v>0</v>
      </c>
      <c r="I27" s="18">
        <v>46106</v>
      </c>
      <c r="J27" s="19">
        <f t="shared" si="7"/>
        <v>0</v>
      </c>
      <c r="K27" s="20" t="str">
        <f t="shared" si="4"/>
        <v/>
      </c>
      <c r="L27" s="21">
        <f t="shared" si="5"/>
        <v>46106</v>
      </c>
      <c r="M27" s="19">
        <f t="shared" si="8"/>
        <v>0</v>
      </c>
      <c r="N27" s="20" t="str">
        <f t="shared" si="9"/>
        <v/>
      </c>
      <c r="O27" s="20" t="str">
        <f t="shared" si="10"/>
        <v/>
      </c>
      <c r="Q27" s="10">
        <f t="shared" si="6"/>
        <v>0</v>
      </c>
      <c r="S27" s="51"/>
      <c r="V27" s="49">
        <v>46100.999305555553</v>
      </c>
      <c r="AB27" s="51"/>
    </row>
    <row r="28" spans="1:28" x14ac:dyDescent="0.3">
      <c r="A28" s="2">
        <v>46108.999305497688</v>
      </c>
      <c r="B28" s="1">
        <v>0</v>
      </c>
      <c r="C28" s="1">
        <v>-7.6</v>
      </c>
      <c r="D28" s="11">
        <f t="shared" si="0"/>
        <v>46108.999305497688</v>
      </c>
      <c r="E28" s="11" t="str">
        <f t="shared" si="2"/>
        <v>0</v>
      </c>
      <c r="F28" s="11" t="str">
        <f t="shared" si="1"/>
        <v>0</v>
      </c>
      <c r="G28" s="11" t="str">
        <f t="shared" si="3"/>
        <v>0</v>
      </c>
      <c r="I28" s="18">
        <v>46107</v>
      </c>
      <c r="J28" s="19">
        <f t="shared" si="7"/>
        <v>7.6</v>
      </c>
      <c r="K28" s="20" t="str">
        <f t="shared" si="4"/>
        <v/>
      </c>
      <c r="L28" s="57" t="str">
        <f t="shared" si="5"/>
        <v/>
      </c>
      <c r="M28" s="19">
        <f t="shared" si="8"/>
        <v>7.6</v>
      </c>
      <c r="N28" s="20" t="str">
        <f t="shared" si="9"/>
        <v/>
      </c>
      <c r="O28" s="20" t="str">
        <f t="shared" si="10"/>
        <v/>
      </c>
      <c r="Q28" s="10">
        <f t="shared" si="6"/>
        <v>1</v>
      </c>
      <c r="S28" s="51"/>
      <c r="V28" s="49">
        <v>46101.999305555553</v>
      </c>
      <c r="AB28" s="51"/>
    </row>
    <row r="29" spans="1:28" x14ac:dyDescent="0.3">
      <c r="A29" s="2">
        <v>46109.999305497688</v>
      </c>
      <c r="B29" s="1">
        <v>0</v>
      </c>
      <c r="C29" s="1">
        <v>0</v>
      </c>
      <c r="D29" s="11">
        <f t="shared" si="0"/>
        <v>46109.999305497688</v>
      </c>
      <c r="E29" s="11" t="str">
        <f t="shared" si="2"/>
        <v>0</v>
      </c>
      <c r="F29" s="11" t="str">
        <f t="shared" si="1"/>
        <v>0</v>
      </c>
      <c r="G29" s="11" t="str">
        <f t="shared" si="3"/>
        <v>0</v>
      </c>
      <c r="I29" s="18">
        <v>46108</v>
      </c>
      <c r="J29" s="19">
        <f t="shared" si="7"/>
        <v>0</v>
      </c>
      <c r="K29" s="20" t="str">
        <f t="shared" si="4"/>
        <v/>
      </c>
      <c r="L29" s="21">
        <f t="shared" si="5"/>
        <v>46108</v>
      </c>
      <c r="M29" s="19">
        <f t="shared" si="8"/>
        <v>-7.6</v>
      </c>
      <c r="N29" s="20" t="str">
        <f t="shared" si="9"/>
        <v/>
      </c>
      <c r="O29" s="20" t="str">
        <f t="shared" si="10"/>
        <v/>
      </c>
      <c r="Q29" s="10">
        <f t="shared" si="6"/>
        <v>0</v>
      </c>
      <c r="S29" s="51"/>
      <c r="V29" s="49">
        <v>46102.999305555553</v>
      </c>
      <c r="AB29" s="51"/>
    </row>
    <row r="30" spans="1:28" x14ac:dyDescent="0.3">
      <c r="A30" s="2">
        <v>46110.999305497688</v>
      </c>
      <c r="B30" s="1">
        <v>0</v>
      </c>
      <c r="C30" s="1">
        <v>0</v>
      </c>
      <c r="D30" s="11">
        <f t="shared" si="0"/>
        <v>46110.999305497688</v>
      </c>
      <c r="E30" s="11" t="str">
        <f t="shared" si="2"/>
        <v>0</v>
      </c>
      <c r="F30" s="11" t="str">
        <f t="shared" si="1"/>
        <v>0</v>
      </c>
      <c r="G30" s="11" t="str">
        <f t="shared" si="3"/>
        <v>0</v>
      </c>
      <c r="I30" s="18">
        <v>46109</v>
      </c>
      <c r="J30" s="19">
        <f t="shared" si="7"/>
        <v>0</v>
      </c>
      <c r="K30" s="20" t="str">
        <f t="shared" si="4"/>
        <v/>
      </c>
      <c r="L30" s="21">
        <f t="shared" si="5"/>
        <v>46109</v>
      </c>
      <c r="M30" s="19">
        <f t="shared" si="8"/>
        <v>0</v>
      </c>
      <c r="N30" s="20" t="str">
        <f t="shared" si="9"/>
        <v/>
      </c>
      <c r="O30" s="20" t="str">
        <f t="shared" si="10"/>
        <v/>
      </c>
      <c r="Q30" s="10">
        <f t="shared" si="6"/>
        <v>0</v>
      </c>
      <c r="S30" s="51"/>
      <c r="V30" s="49">
        <v>46103.999305555553</v>
      </c>
      <c r="AB30" s="51"/>
    </row>
    <row r="31" spans="1:28" x14ac:dyDescent="0.3">
      <c r="A31" s="2">
        <v>46111.999305497688</v>
      </c>
      <c r="B31" s="1">
        <v>0</v>
      </c>
      <c r="C31" s="1">
        <v>0</v>
      </c>
      <c r="D31" s="11">
        <f t="shared" si="0"/>
        <v>46111.999305497688</v>
      </c>
      <c r="E31" s="11" t="str">
        <f t="shared" si="2"/>
        <v>0</v>
      </c>
      <c r="F31" s="11" t="str">
        <f t="shared" si="1"/>
        <v>0</v>
      </c>
      <c r="G31" s="11" t="str">
        <f t="shared" si="3"/>
        <v>0</v>
      </c>
      <c r="I31" s="18">
        <v>46110</v>
      </c>
      <c r="J31" s="19">
        <f t="shared" si="7"/>
        <v>0</v>
      </c>
      <c r="K31" s="20" t="str">
        <f t="shared" si="4"/>
        <v/>
      </c>
      <c r="L31" s="21">
        <f t="shared" si="5"/>
        <v>46110</v>
      </c>
      <c r="M31" s="19">
        <f t="shared" si="8"/>
        <v>0</v>
      </c>
      <c r="N31" s="20" t="str">
        <f t="shared" si="9"/>
        <v/>
      </c>
      <c r="O31" s="20" t="str">
        <f t="shared" si="10"/>
        <v/>
      </c>
      <c r="Q31" s="10">
        <f t="shared" si="6"/>
        <v>0</v>
      </c>
      <c r="S31" s="51"/>
      <c r="V31" s="49">
        <v>46105.999305555553</v>
      </c>
      <c r="AB31" s="51"/>
    </row>
    <row r="32" spans="1:28" x14ac:dyDescent="0.3">
      <c r="A32" s="2">
        <v>46112.999305497688</v>
      </c>
      <c r="B32" s="1">
        <v>0</v>
      </c>
      <c r="C32" s="1">
        <v>0</v>
      </c>
      <c r="D32" s="11">
        <f t="shared" si="0"/>
        <v>46112.999305497688</v>
      </c>
      <c r="E32" s="11" t="str">
        <f t="shared" si="2"/>
        <v>0</v>
      </c>
      <c r="F32" s="11" t="str">
        <f t="shared" si="1"/>
        <v>0</v>
      </c>
      <c r="G32" s="11" t="str">
        <f t="shared" si="3"/>
        <v>0</v>
      </c>
      <c r="I32" s="18">
        <v>46111</v>
      </c>
      <c r="J32" s="19">
        <f t="shared" si="7"/>
        <v>0</v>
      </c>
      <c r="K32" s="20" t="str">
        <f t="shared" si="4"/>
        <v/>
      </c>
      <c r="L32" s="21">
        <f t="shared" si="5"/>
        <v>46111</v>
      </c>
      <c r="M32" s="19">
        <f t="shared" si="8"/>
        <v>0</v>
      </c>
      <c r="N32" s="20" t="str">
        <f t="shared" si="9"/>
        <v/>
      </c>
      <c r="O32" s="20" t="str">
        <f t="shared" si="10"/>
        <v/>
      </c>
      <c r="Q32" s="10">
        <f t="shared" si="6"/>
        <v>0</v>
      </c>
      <c r="S32" s="51"/>
      <c r="V32" s="49">
        <v>46106.999305555553</v>
      </c>
      <c r="AB32" s="51"/>
    </row>
    <row r="33" spans="1:28" x14ac:dyDescent="0.3">
      <c r="A33" s="3" t="s">
        <v>3</v>
      </c>
      <c r="B33" s="3">
        <f>SUM(B2:B32)</f>
        <v>64.099999999999994</v>
      </c>
      <c r="H33" s="3"/>
      <c r="I33" s="18">
        <v>46112</v>
      </c>
      <c r="J33" s="19">
        <f t="shared" si="7"/>
        <v>0</v>
      </c>
      <c r="K33" s="20" t="str">
        <f t="shared" si="4"/>
        <v/>
      </c>
      <c r="L33" s="21">
        <f t="shared" si="5"/>
        <v>46112</v>
      </c>
      <c r="M33" s="19">
        <f t="shared" si="8"/>
        <v>0</v>
      </c>
      <c r="N33" s="20" t="str">
        <f t="shared" si="9"/>
        <v/>
      </c>
      <c r="O33" s="20" t="str">
        <f t="shared" si="10"/>
        <v/>
      </c>
      <c r="Q33" s="10">
        <f t="shared" si="6"/>
        <v>0</v>
      </c>
      <c r="S33" s="51"/>
      <c r="V33" s="49">
        <v>46108.999305555553</v>
      </c>
      <c r="AB33" s="51"/>
    </row>
    <row r="34" spans="1:28" ht="15" thickBot="1" x14ac:dyDescent="0.35">
      <c r="K34" s="6"/>
      <c r="O34" s="52"/>
      <c r="Q34" s="53">
        <f>SUM(Q3:Q33)</f>
        <v>5</v>
      </c>
      <c r="S34" s="51"/>
      <c r="V34" s="49">
        <v>46109.999305555553</v>
      </c>
      <c r="AB34" s="51"/>
    </row>
    <row r="35" spans="1:28" x14ac:dyDescent="0.3">
      <c r="K35" s="6"/>
      <c r="O35" s="52"/>
      <c r="S35" s="51"/>
      <c r="V35" s="49">
        <v>46110.999305555553</v>
      </c>
      <c r="AB35" s="51"/>
    </row>
    <row r="36" spans="1:28" x14ac:dyDescent="0.3">
      <c r="V36" s="49">
        <v>46111.999305555553</v>
      </c>
    </row>
    <row r="37" spans="1:28" x14ac:dyDescent="0.3">
      <c r="V37" s="49">
        <v>46112.999305555553</v>
      </c>
    </row>
  </sheetData>
  <mergeCells count="10">
    <mergeCell ref="R6:S6"/>
    <mergeCell ref="X6:Y6"/>
    <mergeCell ref="R11:S11"/>
    <mergeCell ref="X11:Y11"/>
    <mergeCell ref="J1:L1"/>
    <mergeCell ref="M1:O1"/>
    <mergeCell ref="R4:S4"/>
    <mergeCell ref="X4:Y4"/>
    <mergeCell ref="R5:S5"/>
    <mergeCell ref="X5:Y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Roma Collegio Romano CREA - Pio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Iafrate (CREA-UTS2)</dc:creator>
  <cp:lastModifiedBy>Rosella Brandini  (CREA-UG4)</cp:lastModifiedBy>
  <dcterms:created xsi:type="dcterms:W3CDTF">2026-04-07T16:14:30Z</dcterms:created>
  <dcterms:modified xsi:type="dcterms:W3CDTF">2026-04-14T17:26:18Z</dcterms:modified>
</cp:coreProperties>
</file>