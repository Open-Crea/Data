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osella.brandini\Desktop\iafrate\ELAB\caricati\temperature\"/>
    </mc:Choice>
  </mc:AlternateContent>
  <xr:revisionPtr revIDLastSave="0" documentId="8_{84B0001A-78B3-450E-B208-D699F58B58AD}" xr6:coauthVersionLast="47" xr6:coauthVersionMax="47" xr10:uidLastSave="{00000000-0000-0000-0000-000000000000}"/>
  <bookViews>
    <workbookView xWindow="-108" yWindow="-108" windowWidth="23256" windowHeight="12456" activeTab="2" xr2:uid="{A15E7B57-28E4-48EE-92D8-04B4E87D761D}"/>
  </bookViews>
  <sheets>
    <sheet name="Foglio1" sheetId="2" r:id="rId1"/>
    <sheet name="Roma Collegio Romano CREA - Tem" sheetId="1" r:id="rId2"/>
    <sheet name="Foglio2" sheetId="3" r:id="rId3"/>
  </sheets>
  <calcPr calcId="191029"/>
  <pivotCaches>
    <pivotCache cacheId="145" r:id="rId4"/>
    <pivotCache cacheId="14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" l="1"/>
  <c r="K16" i="1"/>
  <c r="Q13" i="1"/>
  <c r="N1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5" i="1" l="1"/>
  <c r="K14" i="1"/>
  <c r="K13" i="1"/>
  <c r="K12" i="1"/>
  <c r="K11" i="1"/>
  <c r="K10" i="1"/>
  <c r="K9" i="1"/>
  <c r="K8" i="1"/>
  <c r="K7" i="1"/>
  <c r="K6" i="1"/>
  <c r="K5" i="1"/>
  <c r="K4" i="1"/>
  <c r="G26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P13" i="1"/>
  <c r="M13" i="1"/>
  <c r="D13" i="1" l="1"/>
  <c r="D25" i="1"/>
  <c r="D37" i="1"/>
  <c r="D49" i="1"/>
  <c r="D61" i="1"/>
  <c r="D73" i="1"/>
  <c r="D85" i="1"/>
  <c r="D97" i="1"/>
  <c r="D109" i="1"/>
  <c r="D121" i="1"/>
  <c r="D133" i="1"/>
  <c r="D145" i="1"/>
  <c r="D157" i="1"/>
  <c r="D169" i="1"/>
  <c r="D181" i="1"/>
  <c r="D193" i="1"/>
  <c r="D205" i="1"/>
  <c r="D217" i="1"/>
  <c r="D229" i="1"/>
  <c r="D241" i="1"/>
  <c r="D253" i="1"/>
  <c r="D265" i="1"/>
  <c r="D277" i="1"/>
  <c r="D289" i="1"/>
  <c r="D301" i="1"/>
  <c r="D313" i="1"/>
  <c r="D325" i="1"/>
  <c r="D337" i="1"/>
  <c r="D349" i="1"/>
  <c r="D361" i="1"/>
  <c r="D373" i="1"/>
  <c r="D385" i="1"/>
  <c r="D397" i="1"/>
  <c r="D409" i="1"/>
  <c r="D421" i="1"/>
  <c r="D433" i="1"/>
  <c r="D445" i="1"/>
  <c r="D457" i="1"/>
  <c r="D469" i="1"/>
  <c r="D481" i="1"/>
  <c r="D493" i="1"/>
  <c r="D505" i="1"/>
  <c r="D517" i="1"/>
  <c r="D529" i="1"/>
  <c r="D541" i="1"/>
  <c r="D553" i="1"/>
  <c r="D565" i="1"/>
  <c r="D577" i="1"/>
  <c r="D589" i="1"/>
  <c r="D601" i="1"/>
  <c r="D613" i="1"/>
  <c r="D625" i="1"/>
  <c r="D637" i="1"/>
  <c r="D649" i="1"/>
  <c r="D661" i="1"/>
  <c r="D673" i="1"/>
  <c r="D685" i="1"/>
  <c r="D697" i="1"/>
  <c r="D709" i="1"/>
  <c r="D721" i="1"/>
  <c r="D733" i="1"/>
  <c r="D745" i="1"/>
  <c r="D757" i="1"/>
  <c r="D769" i="1"/>
  <c r="D781" i="1"/>
  <c r="D793" i="1"/>
  <c r="D805" i="1"/>
  <c r="D817" i="1"/>
  <c r="D829" i="1"/>
  <c r="D841" i="1"/>
  <c r="D853" i="1"/>
  <c r="D865" i="1"/>
  <c r="D877" i="1"/>
  <c r="D889" i="1"/>
  <c r="D901" i="1"/>
  <c r="D913" i="1"/>
  <c r="D925" i="1"/>
  <c r="D937" i="1"/>
  <c r="D949" i="1"/>
  <c r="D961" i="1"/>
  <c r="D973" i="1"/>
  <c r="D985" i="1"/>
  <c r="D997" i="1"/>
  <c r="D1009" i="1"/>
  <c r="D1021" i="1"/>
  <c r="D14" i="1"/>
  <c r="D26" i="1"/>
  <c r="D38" i="1"/>
  <c r="D50" i="1"/>
  <c r="D62" i="1"/>
  <c r="D74" i="1"/>
  <c r="D86" i="1"/>
  <c r="D98" i="1"/>
  <c r="D110" i="1"/>
  <c r="D122" i="1"/>
  <c r="D134" i="1"/>
  <c r="D146" i="1"/>
  <c r="D158" i="1"/>
  <c r="D170" i="1"/>
  <c r="D182" i="1"/>
  <c r="D194" i="1"/>
  <c r="D206" i="1"/>
  <c r="D218" i="1"/>
  <c r="D230" i="1"/>
  <c r="D242" i="1"/>
  <c r="D254" i="1"/>
  <c r="D266" i="1"/>
  <c r="D278" i="1"/>
  <c r="D290" i="1"/>
  <c r="D302" i="1"/>
  <c r="D314" i="1"/>
  <c r="D326" i="1"/>
  <c r="D338" i="1"/>
  <c r="D350" i="1"/>
  <c r="D362" i="1"/>
  <c r="D374" i="1"/>
  <c r="D386" i="1"/>
  <c r="D398" i="1"/>
  <c r="D410" i="1"/>
  <c r="D422" i="1"/>
  <c r="D434" i="1"/>
  <c r="D446" i="1"/>
  <c r="D458" i="1"/>
  <c r="D470" i="1"/>
  <c r="D482" i="1"/>
  <c r="D494" i="1"/>
  <c r="D506" i="1"/>
  <c r="D518" i="1"/>
  <c r="D530" i="1"/>
  <c r="D542" i="1"/>
  <c r="D554" i="1"/>
  <c r="D566" i="1"/>
  <c r="D578" i="1"/>
  <c r="D590" i="1"/>
  <c r="D602" i="1"/>
  <c r="D614" i="1"/>
  <c r="D626" i="1"/>
  <c r="D638" i="1"/>
  <c r="D650" i="1"/>
  <c r="D662" i="1"/>
  <c r="D674" i="1"/>
  <c r="D686" i="1"/>
  <c r="D698" i="1"/>
  <c r="D710" i="1"/>
  <c r="D722" i="1"/>
  <c r="D734" i="1"/>
  <c r="D746" i="1"/>
  <c r="D758" i="1"/>
  <c r="D770" i="1"/>
  <c r="D782" i="1"/>
  <c r="D794" i="1"/>
  <c r="D806" i="1"/>
  <c r="D818" i="1"/>
  <c r="D830" i="1"/>
  <c r="D842" i="1"/>
  <c r="D854" i="1"/>
  <c r="D866" i="1"/>
  <c r="D878" i="1"/>
  <c r="D890" i="1"/>
  <c r="D902" i="1"/>
  <c r="D914" i="1"/>
  <c r="D926" i="1"/>
  <c r="D938" i="1"/>
  <c r="D950" i="1"/>
  <c r="D962" i="1"/>
  <c r="D974" i="1"/>
  <c r="D986" i="1"/>
  <c r="D998" i="1"/>
  <c r="D1010" i="1"/>
  <c r="D1022" i="1"/>
  <c r="D3" i="1"/>
  <c r="D15" i="1"/>
  <c r="D27" i="1"/>
  <c r="D39" i="1"/>
  <c r="D51" i="1"/>
  <c r="D63" i="1"/>
  <c r="D75" i="1"/>
  <c r="D87" i="1"/>
  <c r="D99" i="1"/>
  <c r="D111" i="1"/>
  <c r="D123" i="1"/>
  <c r="D135" i="1"/>
  <c r="D147" i="1"/>
  <c r="D159" i="1"/>
  <c r="D171" i="1"/>
  <c r="D183" i="1"/>
  <c r="D195" i="1"/>
  <c r="D207" i="1"/>
  <c r="D219" i="1"/>
  <c r="D231" i="1"/>
  <c r="D243" i="1"/>
  <c r="D255" i="1"/>
  <c r="D267" i="1"/>
  <c r="D279" i="1"/>
  <c r="D291" i="1"/>
  <c r="D303" i="1"/>
  <c r="D315" i="1"/>
  <c r="D327" i="1"/>
  <c r="D339" i="1"/>
  <c r="D351" i="1"/>
  <c r="D363" i="1"/>
  <c r="D375" i="1"/>
  <c r="D387" i="1"/>
  <c r="D399" i="1"/>
  <c r="D411" i="1"/>
  <c r="D423" i="1"/>
  <c r="D435" i="1"/>
  <c r="D447" i="1"/>
  <c r="D459" i="1"/>
  <c r="D471" i="1"/>
  <c r="D483" i="1"/>
  <c r="D495" i="1"/>
  <c r="D507" i="1"/>
  <c r="D519" i="1"/>
  <c r="D531" i="1"/>
  <c r="D543" i="1"/>
  <c r="D555" i="1"/>
  <c r="D567" i="1"/>
  <c r="D579" i="1"/>
  <c r="D591" i="1"/>
  <c r="D603" i="1"/>
  <c r="D615" i="1"/>
  <c r="D627" i="1"/>
  <c r="D639" i="1"/>
  <c r="D651" i="1"/>
  <c r="D663" i="1"/>
  <c r="D5" i="1"/>
  <c r="D17" i="1"/>
  <c r="D29" i="1"/>
  <c r="D41" i="1"/>
  <c r="D53" i="1"/>
  <c r="D65" i="1"/>
  <c r="D77" i="1"/>
  <c r="D89" i="1"/>
  <c r="D101" i="1"/>
  <c r="D113" i="1"/>
  <c r="D125" i="1"/>
  <c r="D137" i="1"/>
  <c r="D149" i="1"/>
  <c r="D161" i="1"/>
  <c r="D173" i="1"/>
  <c r="D6" i="1"/>
  <c r="D18" i="1"/>
  <c r="D30" i="1"/>
  <c r="D42" i="1"/>
  <c r="D54" i="1"/>
  <c r="D66" i="1"/>
  <c r="D78" i="1"/>
  <c r="D90" i="1"/>
  <c r="D102" i="1"/>
  <c r="D114" i="1"/>
  <c r="D126" i="1"/>
  <c r="D138" i="1"/>
  <c r="D150" i="1"/>
  <c r="D162" i="1"/>
  <c r="D174" i="1"/>
  <c r="D186" i="1"/>
  <c r="D198" i="1"/>
  <c r="D210" i="1"/>
  <c r="D222" i="1"/>
  <c r="D234" i="1"/>
  <c r="D246" i="1"/>
  <c r="D258" i="1"/>
  <c r="D270" i="1"/>
  <c r="D282" i="1"/>
  <c r="D294" i="1"/>
  <c r="D306" i="1"/>
  <c r="D318" i="1"/>
  <c r="D330" i="1"/>
  <c r="D342" i="1"/>
  <c r="D354" i="1"/>
  <c r="D366" i="1"/>
  <c r="D378" i="1"/>
  <c r="D390" i="1"/>
  <c r="D402" i="1"/>
  <c r="D414" i="1"/>
  <c r="D426" i="1"/>
  <c r="D438" i="1"/>
  <c r="D450" i="1"/>
  <c r="D462" i="1"/>
  <c r="D474" i="1"/>
  <c r="D486" i="1"/>
  <c r="D498" i="1"/>
  <c r="D510" i="1"/>
  <c r="D522" i="1"/>
  <c r="D534" i="1"/>
  <c r="D546" i="1"/>
  <c r="D558" i="1"/>
  <c r="D570" i="1"/>
  <c r="D582" i="1"/>
  <c r="D594" i="1"/>
  <c r="D606" i="1"/>
  <c r="D618" i="1"/>
  <c r="D630" i="1"/>
  <c r="D642" i="1"/>
  <c r="D654" i="1"/>
  <c r="D666" i="1"/>
  <c r="D678" i="1"/>
  <c r="D690" i="1"/>
  <c r="D702" i="1"/>
  <c r="D714" i="1"/>
  <c r="D726" i="1"/>
  <c r="D738" i="1"/>
  <c r="D750" i="1"/>
  <c r="D762" i="1"/>
  <c r="D774" i="1"/>
  <c r="D786" i="1"/>
  <c r="D798" i="1"/>
  <c r="D810" i="1"/>
  <c r="D822" i="1"/>
  <c r="D834" i="1"/>
  <c r="D846" i="1"/>
  <c r="D858" i="1"/>
  <c r="D870" i="1"/>
  <c r="D882" i="1"/>
  <c r="D894" i="1"/>
  <c r="D906" i="1"/>
  <c r="D918" i="1"/>
  <c r="D930" i="1"/>
  <c r="D942" i="1"/>
  <c r="D954" i="1"/>
  <c r="D966" i="1"/>
  <c r="D978" i="1"/>
  <c r="D990" i="1"/>
  <c r="D1002" i="1"/>
  <c r="D1014" i="1"/>
  <c r="D21" i="1"/>
  <c r="D43" i="1"/>
  <c r="D60" i="1"/>
  <c r="D82" i="1"/>
  <c r="D104" i="1"/>
  <c r="D124" i="1"/>
  <c r="D143" i="1"/>
  <c r="D165" i="1"/>
  <c r="D185" i="1"/>
  <c r="D202" i="1"/>
  <c r="D221" i="1"/>
  <c r="D238" i="1"/>
  <c r="D257" i="1"/>
  <c r="D274" i="1"/>
  <c r="D293" i="1"/>
  <c r="D310" i="1"/>
  <c r="D329" i="1"/>
  <c r="D346" i="1"/>
  <c r="D365" i="1"/>
  <c r="D382" i="1"/>
  <c r="D401" i="1"/>
  <c r="D418" i="1"/>
  <c r="D437" i="1"/>
  <c r="D454" i="1"/>
  <c r="D473" i="1"/>
  <c r="D490" i="1"/>
  <c r="D509" i="1"/>
  <c r="D526" i="1"/>
  <c r="D545" i="1"/>
  <c r="D562" i="1"/>
  <c r="D581" i="1"/>
  <c r="D598" i="1"/>
  <c r="D617" i="1"/>
  <c r="D634" i="1"/>
  <c r="D653" i="1"/>
  <c r="D670" i="1"/>
  <c r="D687" i="1"/>
  <c r="D703" i="1"/>
  <c r="D718" i="1"/>
  <c r="D735" i="1"/>
  <c r="D751" i="1"/>
  <c r="D766" i="1"/>
  <c r="D783" i="1"/>
  <c r="D799" i="1"/>
  <c r="D814" i="1"/>
  <c r="D831" i="1"/>
  <c r="D847" i="1"/>
  <c r="D862" i="1"/>
  <c r="D879" i="1"/>
  <c r="D895" i="1"/>
  <c r="D910" i="1"/>
  <c r="D927" i="1"/>
  <c r="D943" i="1"/>
  <c r="D958" i="1"/>
  <c r="D975" i="1"/>
  <c r="D991" i="1"/>
  <c r="D1006" i="1"/>
  <c r="D1023" i="1"/>
  <c r="D1035" i="1"/>
  <c r="D1047" i="1"/>
  <c r="D1059" i="1"/>
  <c r="D1071" i="1"/>
  <c r="D1083" i="1"/>
  <c r="D1095" i="1"/>
  <c r="D1107" i="1"/>
  <c r="D1119" i="1"/>
  <c r="D1131" i="1"/>
  <c r="D1143" i="1"/>
  <c r="D1155" i="1"/>
  <c r="D1167" i="1"/>
  <c r="D1179" i="1"/>
  <c r="D1191" i="1"/>
  <c r="D1203" i="1"/>
  <c r="D1215" i="1"/>
  <c r="D1227" i="1"/>
  <c r="D1239" i="1"/>
  <c r="D1251" i="1"/>
  <c r="D1263" i="1"/>
  <c r="D1275" i="1"/>
  <c r="D1287" i="1"/>
  <c r="D1299" i="1"/>
  <c r="D1311" i="1"/>
  <c r="D1323" i="1"/>
  <c r="D1335" i="1"/>
  <c r="D1347" i="1"/>
  <c r="D8" i="1"/>
  <c r="D28" i="1"/>
  <c r="D47" i="1"/>
  <c r="D69" i="1"/>
  <c r="D91" i="1"/>
  <c r="D108" i="1"/>
  <c r="D130" i="1"/>
  <c r="D152" i="1"/>
  <c r="D172" i="1"/>
  <c r="D190" i="1"/>
  <c r="D209" i="1"/>
  <c r="D226" i="1"/>
  <c r="D245" i="1"/>
  <c r="D262" i="1"/>
  <c r="D281" i="1"/>
  <c r="D298" i="1"/>
  <c r="D317" i="1"/>
  <c r="D334" i="1"/>
  <c r="D353" i="1"/>
  <c r="D370" i="1"/>
  <c r="D389" i="1"/>
  <c r="D406" i="1"/>
  <c r="D425" i="1"/>
  <c r="D442" i="1"/>
  <c r="D461" i="1"/>
  <c r="D478" i="1"/>
  <c r="D497" i="1"/>
  <c r="D514" i="1"/>
  <c r="D533" i="1"/>
  <c r="D550" i="1"/>
  <c r="D569" i="1"/>
  <c r="D586" i="1"/>
  <c r="D605" i="1"/>
  <c r="D622" i="1"/>
  <c r="D641" i="1"/>
  <c r="D658" i="1"/>
  <c r="D676" i="1"/>
  <c r="D692" i="1"/>
  <c r="D707" i="1"/>
  <c r="D724" i="1"/>
  <c r="D740" i="1"/>
  <c r="D755" i="1"/>
  <c r="D772" i="1"/>
  <c r="D788" i="1"/>
  <c r="D803" i="1"/>
  <c r="D820" i="1"/>
  <c r="D836" i="1"/>
  <c r="D851" i="1"/>
  <c r="D9" i="1"/>
  <c r="D33" i="1"/>
  <c r="D57" i="1"/>
  <c r="D81" i="1"/>
  <c r="D106" i="1"/>
  <c r="D131" i="1"/>
  <c r="D155" i="1"/>
  <c r="D179" i="1"/>
  <c r="D201" i="1"/>
  <c r="D224" i="1"/>
  <c r="D247" i="1"/>
  <c r="D268" i="1"/>
  <c r="D287" i="1"/>
  <c r="D309" i="1"/>
  <c r="D332" i="1"/>
  <c r="D355" i="1"/>
  <c r="D376" i="1"/>
  <c r="D395" i="1"/>
  <c r="D417" i="1"/>
  <c r="D440" i="1"/>
  <c r="D463" i="1"/>
  <c r="D484" i="1"/>
  <c r="D503" i="1"/>
  <c r="D525" i="1"/>
  <c r="D548" i="1"/>
  <c r="D571" i="1"/>
  <c r="D592" i="1"/>
  <c r="D611" i="1"/>
  <c r="D633" i="1"/>
  <c r="D656" i="1"/>
  <c r="D677" i="1"/>
  <c r="D695" i="1"/>
  <c r="D715" i="1"/>
  <c r="D732" i="1"/>
  <c r="D753" i="1"/>
  <c r="D773" i="1"/>
  <c r="D791" i="1"/>
  <c r="D811" i="1"/>
  <c r="D828" i="1"/>
  <c r="D849" i="1"/>
  <c r="D868" i="1"/>
  <c r="D885" i="1"/>
  <c r="D903" i="1"/>
  <c r="D920" i="1"/>
  <c r="D936" i="1"/>
  <c r="D955" i="1"/>
  <c r="D971" i="1"/>
  <c r="D989" i="1"/>
  <c r="D1007" i="1"/>
  <c r="D1025" i="1"/>
  <c r="D1038" i="1"/>
  <c r="D1051" i="1"/>
  <c r="D1064" i="1"/>
  <c r="D1077" i="1"/>
  <c r="D1090" i="1"/>
  <c r="D1103" i="1"/>
  <c r="D1116" i="1"/>
  <c r="D1129" i="1"/>
  <c r="D1142" i="1"/>
  <c r="D1156" i="1"/>
  <c r="D1169" i="1"/>
  <c r="D1182" i="1"/>
  <c r="D1195" i="1"/>
  <c r="D1208" i="1"/>
  <c r="D1221" i="1"/>
  <c r="D1234" i="1"/>
  <c r="D1247" i="1"/>
  <c r="D1260" i="1"/>
  <c r="D1273" i="1"/>
  <c r="D1286" i="1"/>
  <c r="D1300" i="1"/>
  <c r="D1313" i="1"/>
  <c r="D1326" i="1"/>
  <c r="D1339" i="1"/>
  <c r="D1352" i="1"/>
  <c r="D1364" i="1"/>
  <c r="D1376" i="1"/>
  <c r="D1388" i="1"/>
  <c r="D1400" i="1"/>
  <c r="D1412" i="1"/>
  <c r="D1424" i="1"/>
  <c r="D1436" i="1"/>
  <c r="D24" i="1"/>
  <c r="D55" i="1"/>
  <c r="D80" i="1"/>
  <c r="D107" i="1"/>
  <c r="D136" i="1"/>
  <c r="D163" i="1"/>
  <c r="D188" i="1"/>
  <c r="D212" i="1"/>
  <c r="D235" i="1"/>
  <c r="D259" i="1"/>
  <c r="D283" i="1"/>
  <c r="D305" i="1"/>
  <c r="D328" i="1"/>
  <c r="D352" i="1"/>
  <c r="D377" i="1"/>
  <c r="D400" i="1"/>
  <c r="D424" i="1"/>
  <c r="D448" i="1"/>
  <c r="D468" i="1"/>
  <c r="D492" i="1"/>
  <c r="D516" i="1"/>
  <c r="D539" i="1"/>
  <c r="D563" i="1"/>
  <c r="D587" i="1"/>
  <c r="D610" i="1"/>
  <c r="D635" i="1"/>
  <c r="D659" i="1"/>
  <c r="D681" i="1"/>
  <c r="D701" i="1"/>
  <c r="D723" i="1"/>
  <c r="D743" i="1"/>
  <c r="D764" i="1"/>
  <c r="D785" i="1"/>
  <c r="D807" i="1"/>
  <c r="D826" i="1"/>
  <c r="D848" i="1"/>
  <c r="D869" i="1"/>
  <c r="D887" i="1"/>
  <c r="D907" i="1"/>
  <c r="D924" i="1"/>
  <c r="D945" i="1"/>
  <c r="D964" i="1"/>
  <c r="D982" i="1"/>
  <c r="D1001" i="1"/>
  <c r="D1019" i="1"/>
  <c r="D1036" i="1"/>
  <c r="D1050" i="1"/>
  <c r="D1065" i="1"/>
  <c r="D1079" i="1"/>
  <c r="D1093" i="1"/>
  <c r="D1108" i="1"/>
  <c r="D1122" i="1"/>
  <c r="D1136" i="1"/>
  <c r="D1150" i="1"/>
  <c r="D1164" i="1"/>
  <c r="D1178" i="1"/>
  <c r="D1193" i="1"/>
  <c r="D1207" i="1"/>
  <c r="D1222" i="1"/>
  <c r="D1236" i="1"/>
  <c r="D1250" i="1"/>
  <c r="D1265" i="1"/>
  <c r="D1279" i="1"/>
  <c r="D1293" i="1"/>
  <c r="D1307" i="1"/>
  <c r="D1321" i="1"/>
  <c r="D1336" i="1"/>
  <c r="D1350" i="1"/>
  <c r="D1363" i="1"/>
  <c r="D1377" i="1"/>
  <c r="D1390" i="1"/>
  <c r="D1403" i="1"/>
  <c r="D1416" i="1"/>
  <c r="D1429" i="1"/>
  <c r="D1442" i="1"/>
  <c r="D31" i="1"/>
  <c r="D56" i="1"/>
  <c r="D83" i="1"/>
  <c r="D112" i="1"/>
  <c r="D139" i="1"/>
  <c r="D164" i="1"/>
  <c r="D189" i="1"/>
  <c r="D213" i="1"/>
  <c r="D236" i="1"/>
  <c r="D260" i="1"/>
  <c r="D284" i="1"/>
  <c r="D307" i="1"/>
  <c r="D331" i="1"/>
  <c r="D356" i="1"/>
  <c r="D379" i="1"/>
  <c r="D403" i="1"/>
  <c r="D427" i="1"/>
  <c r="D449" i="1"/>
  <c r="D472" i="1"/>
  <c r="D496" i="1"/>
  <c r="D520" i="1"/>
  <c r="D540" i="1"/>
  <c r="D564" i="1"/>
  <c r="D588" i="1"/>
  <c r="D612" i="1"/>
  <c r="D636" i="1"/>
  <c r="D660" i="1"/>
  <c r="D682" i="1"/>
  <c r="D704" i="1"/>
  <c r="D725" i="1"/>
  <c r="D744" i="1"/>
  <c r="D765" i="1"/>
  <c r="D787" i="1"/>
  <c r="D808" i="1"/>
  <c r="D827" i="1"/>
  <c r="D850" i="1"/>
  <c r="D871" i="1"/>
  <c r="D888" i="1"/>
  <c r="D908" i="1"/>
  <c r="D928" i="1"/>
  <c r="D946" i="1"/>
  <c r="D965" i="1"/>
  <c r="D983" i="1"/>
  <c r="D1003" i="1"/>
  <c r="D1020" i="1"/>
  <c r="D1037" i="1"/>
  <c r="D1052" i="1"/>
  <c r="D1066" i="1"/>
  <c r="D1080" i="1"/>
  <c r="D1094" i="1"/>
  <c r="D1109" i="1"/>
  <c r="D1123" i="1"/>
  <c r="D1137" i="1"/>
  <c r="D1151" i="1"/>
  <c r="D1165" i="1"/>
  <c r="D1180" i="1"/>
  <c r="D1194" i="1"/>
  <c r="D1209" i="1"/>
  <c r="D1223" i="1"/>
  <c r="D1237" i="1"/>
  <c r="D1252" i="1"/>
  <c r="D1266" i="1"/>
  <c r="D1280" i="1"/>
  <c r="D1294" i="1"/>
  <c r="D1308" i="1"/>
  <c r="D1322" i="1"/>
  <c r="D1337" i="1"/>
  <c r="D1351" i="1"/>
  <c r="D1365" i="1"/>
  <c r="D1378" i="1"/>
  <c r="D1391" i="1"/>
  <c r="D1404" i="1"/>
  <c r="D1417" i="1"/>
  <c r="D1430" i="1"/>
  <c r="D1443" i="1"/>
  <c r="D10" i="1"/>
  <c r="D35" i="1"/>
  <c r="D64" i="1"/>
  <c r="D92" i="1"/>
  <c r="D117" i="1"/>
  <c r="D142" i="1"/>
  <c r="D168" i="1"/>
  <c r="D196" i="1"/>
  <c r="D216" i="1"/>
  <c r="D240" i="1"/>
  <c r="D264" i="1"/>
  <c r="D288" i="1"/>
  <c r="D312" i="1"/>
  <c r="D336" i="1"/>
  <c r="D359" i="1"/>
  <c r="D383" i="1"/>
  <c r="D407" i="1"/>
  <c r="D430" i="1"/>
  <c r="D453" i="1"/>
  <c r="D477" i="1"/>
  <c r="D501" i="1"/>
  <c r="D524" i="1"/>
  <c r="D549" i="1"/>
  <c r="D573" i="1"/>
  <c r="D596" i="1"/>
  <c r="D620" i="1"/>
  <c r="D644" i="1"/>
  <c r="D667" i="1"/>
  <c r="D688" i="1"/>
  <c r="D708" i="1"/>
  <c r="D729" i="1"/>
  <c r="D749" i="1"/>
  <c r="D771" i="1"/>
  <c r="D792" i="1"/>
  <c r="D813" i="1"/>
  <c r="D835" i="1"/>
  <c r="D856" i="1"/>
  <c r="D874" i="1"/>
  <c r="D893" i="1"/>
  <c r="D912" i="1"/>
  <c r="D932" i="1"/>
  <c r="D951" i="1"/>
  <c r="D969" i="1"/>
  <c r="D988" i="1"/>
  <c r="D1008" i="1"/>
  <c r="D1027" i="1"/>
  <c r="D1041" i="1"/>
  <c r="D1055" i="1"/>
  <c r="D1069" i="1"/>
  <c r="D1084" i="1"/>
  <c r="D1098" i="1"/>
  <c r="D1112" i="1"/>
  <c r="D1126" i="1"/>
  <c r="D1140" i="1"/>
  <c r="D1154" i="1"/>
  <c r="D1170" i="1"/>
  <c r="D1184" i="1"/>
  <c r="D1198" i="1"/>
  <c r="D1212" i="1"/>
  <c r="D1226" i="1"/>
  <c r="D1241" i="1"/>
  <c r="D1255" i="1"/>
  <c r="D1269" i="1"/>
  <c r="D1283" i="1"/>
  <c r="D1297" i="1"/>
  <c r="D1312" i="1"/>
  <c r="D1327" i="1"/>
  <c r="D1341" i="1"/>
  <c r="D1355" i="1"/>
  <c r="D1368" i="1"/>
  <c r="D1381" i="1"/>
  <c r="D1394" i="1"/>
  <c r="D1407" i="1"/>
  <c r="D1420" i="1"/>
  <c r="D1433" i="1"/>
  <c r="D1446" i="1"/>
  <c r="D11" i="1"/>
  <c r="D36" i="1"/>
  <c r="D67" i="1"/>
  <c r="D93" i="1"/>
  <c r="D118" i="1"/>
  <c r="D144" i="1"/>
  <c r="D175" i="1"/>
  <c r="D197" i="1"/>
  <c r="D220" i="1"/>
  <c r="D244" i="1"/>
  <c r="D269" i="1"/>
  <c r="D292" i="1"/>
  <c r="D316" i="1"/>
  <c r="D340" i="1"/>
  <c r="D360" i="1"/>
  <c r="D384" i="1"/>
  <c r="D408" i="1"/>
  <c r="D431" i="1"/>
  <c r="D455" i="1"/>
  <c r="D479" i="1"/>
  <c r="D502" i="1"/>
  <c r="D527" i="1"/>
  <c r="D551" i="1"/>
  <c r="D574" i="1"/>
  <c r="D597" i="1"/>
  <c r="D621" i="1"/>
  <c r="D645" i="1"/>
  <c r="D668" i="1"/>
  <c r="D689" i="1"/>
  <c r="D711" i="1"/>
  <c r="D730" i="1"/>
  <c r="D752" i="1"/>
  <c r="D775" i="1"/>
  <c r="D795" i="1"/>
  <c r="D815" i="1"/>
  <c r="D837" i="1"/>
  <c r="D857" i="1"/>
  <c r="D875" i="1"/>
  <c r="D896" i="1"/>
  <c r="D915" i="1"/>
  <c r="D933" i="1"/>
  <c r="D952" i="1"/>
  <c r="D970" i="1"/>
  <c r="D992" i="1"/>
  <c r="D1011" i="1"/>
  <c r="D1028" i="1"/>
  <c r="D1042" i="1"/>
  <c r="D1056" i="1"/>
  <c r="D1070" i="1"/>
  <c r="D1085" i="1"/>
  <c r="D1099" i="1"/>
  <c r="D1113" i="1"/>
  <c r="D1127" i="1"/>
  <c r="D1141" i="1"/>
  <c r="D1157" i="1"/>
  <c r="D1171" i="1"/>
  <c r="D1185" i="1"/>
  <c r="D1199" i="1"/>
  <c r="D1213" i="1"/>
  <c r="D1228" i="1"/>
  <c r="D1242" i="1"/>
  <c r="D1256" i="1"/>
  <c r="D1270" i="1"/>
  <c r="D1284" i="1"/>
  <c r="D1298" i="1"/>
  <c r="D1314" i="1"/>
  <c r="D1328" i="1"/>
  <c r="D1342" i="1"/>
  <c r="D1356" i="1"/>
  <c r="D1369" i="1"/>
  <c r="D1382" i="1"/>
  <c r="D1395" i="1"/>
  <c r="D1408" i="1"/>
  <c r="D1421" i="1"/>
  <c r="D1434" i="1"/>
  <c r="D44" i="1"/>
  <c r="D79" i="1"/>
  <c r="D120" i="1"/>
  <c r="D160" i="1"/>
  <c r="D200" i="1"/>
  <c r="D233" i="1"/>
  <c r="D272" i="1"/>
  <c r="D304" i="1"/>
  <c r="D343" i="1"/>
  <c r="D372" i="1"/>
  <c r="D413" i="1"/>
  <c r="D444" i="1"/>
  <c r="D485" i="1"/>
  <c r="D515" i="1"/>
  <c r="D556" i="1"/>
  <c r="D585" i="1"/>
  <c r="D624" i="1"/>
  <c r="D657" i="1"/>
  <c r="D693" i="1"/>
  <c r="D720" i="1"/>
  <c r="D756" i="1"/>
  <c r="D784" i="1"/>
  <c r="D819" i="1"/>
  <c r="D845" i="1"/>
  <c r="D880" i="1"/>
  <c r="D905" i="1"/>
  <c r="D935" i="1"/>
  <c r="D963" i="1"/>
  <c r="D994" i="1"/>
  <c r="D1018" i="1"/>
  <c r="D1044" i="1"/>
  <c r="D1063" i="1"/>
  <c r="D1087" i="1"/>
  <c r="D1106" i="1"/>
  <c r="D1130" i="1"/>
  <c r="D1149" i="1"/>
  <c r="D1173" i="1"/>
  <c r="D1192" i="1"/>
  <c r="D1216" i="1"/>
  <c r="D1235" i="1"/>
  <c r="D1258" i="1"/>
  <c r="D1278" i="1"/>
  <c r="D4" i="1"/>
  <c r="D45" i="1"/>
  <c r="D84" i="1"/>
  <c r="D127" i="1"/>
  <c r="D166" i="1"/>
  <c r="D203" i="1"/>
  <c r="D237" i="1"/>
  <c r="D273" i="1"/>
  <c r="D308" i="1"/>
  <c r="D344" i="1"/>
  <c r="D380" i="1"/>
  <c r="D415" i="1"/>
  <c r="D451" i="1"/>
  <c r="D487" i="1"/>
  <c r="D521" i="1"/>
  <c r="D557" i="1"/>
  <c r="D593" i="1"/>
  <c r="D628" i="1"/>
  <c r="D664" i="1"/>
  <c r="D694" i="1"/>
  <c r="D727" i="1"/>
  <c r="D759" i="1"/>
  <c r="D789" i="1"/>
  <c r="D821" i="1"/>
  <c r="D852" i="1"/>
  <c r="D881" i="1"/>
  <c r="D909" i="1"/>
  <c r="D939" i="1"/>
  <c r="D967" i="1"/>
  <c r="D995" i="1"/>
  <c r="D1024" i="1"/>
  <c r="D1045" i="1"/>
  <c r="D1067" i="1"/>
  <c r="D1088" i="1"/>
  <c r="D1110" i="1"/>
  <c r="D1132" i="1"/>
  <c r="D1152" i="1"/>
  <c r="D1174" i="1"/>
  <c r="D1196" i="1"/>
  <c r="D1217" i="1"/>
  <c r="D1238" i="1"/>
  <c r="D1259" i="1"/>
  <c r="D1281" i="1"/>
  <c r="D1303" i="1"/>
  <c r="D1324" i="1"/>
  <c r="D1345" i="1"/>
  <c r="D1366" i="1"/>
  <c r="D1385" i="1"/>
  <c r="D1405" i="1"/>
  <c r="D1425" i="1"/>
  <c r="D1444" i="1"/>
  <c r="D12" i="1"/>
  <c r="D48" i="1"/>
  <c r="D94" i="1"/>
  <c r="D129" i="1"/>
  <c r="D176" i="1"/>
  <c r="D208" i="1"/>
  <c r="D248" i="1"/>
  <c r="D276" i="1"/>
  <c r="D319" i="1"/>
  <c r="D347" i="1"/>
  <c r="D388" i="1"/>
  <c r="D419" i="1"/>
  <c r="D456" i="1"/>
  <c r="D489" i="1"/>
  <c r="D528" i="1"/>
  <c r="D560" i="1"/>
  <c r="D599" i="1"/>
  <c r="D631" i="1"/>
  <c r="D669" i="1"/>
  <c r="D699" i="1"/>
  <c r="D731" i="1"/>
  <c r="D761" i="1"/>
  <c r="D796" i="1"/>
  <c r="D52" i="1"/>
  <c r="D103" i="1"/>
  <c r="D154" i="1"/>
  <c r="D211" i="1"/>
  <c r="D252" i="1"/>
  <c r="D299" i="1"/>
  <c r="D348" i="1"/>
  <c r="D394" i="1"/>
  <c r="D441" i="1"/>
  <c r="D491" i="1"/>
  <c r="D537" i="1"/>
  <c r="D583" i="1"/>
  <c r="D632" i="1"/>
  <c r="D679" i="1"/>
  <c r="D717" i="1"/>
  <c r="D763" i="1"/>
  <c r="D802" i="1"/>
  <c r="D840" i="1"/>
  <c r="D876" i="1"/>
  <c r="D916" i="1"/>
  <c r="D947" i="1"/>
  <c r="D980" i="1"/>
  <c r="D1015" i="1"/>
  <c r="D1043" i="1"/>
  <c r="D1072" i="1"/>
  <c r="D1096" i="1"/>
  <c r="D1120" i="1"/>
  <c r="D1146" i="1"/>
  <c r="D1172" i="1"/>
  <c r="D1200" i="1"/>
  <c r="D1224" i="1"/>
  <c r="D1248" i="1"/>
  <c r="D1274" i="1"/>
  <c r="D1301" i="1"/>
  <c r="D1320" i="1"/>
  <c r="D1346" i="1"/>
  <c r="D1370" i="1"/>
  <c r="D1389" i="1"/>
  <c r="D1411" i="1"/>
  <c r="D1432" i="1"/>
  <c r="D58" i="1"/>
  <c r="D105" i="1"/>
  <c r="D156" i="1"/>
  <c r="D214" i="1"/>
  <c r="D256" i="1"/>
  <c r="D300" i="1"/>
  <c r="D357" i="1"/>
  <c r="D396" i="1"/>
  <c r="D443" i="1"/>
  <c r="D499" i="1"/>
  <c r="D538" i="1"/>
  <c r="D584" i="1"/>
  <c r="D640" i="1"/>
  <c r="D680" i="1"/>
  <c r="D719" i="1"/>
  <c r="D767" i="1"/>
  <c r="D804" i="1"/>
  <c r="D843" i="1"/>
  <c r="D883" i="1"/>
  <c r="D917" i="1"/>
  <c r="D948" i="1"/>
  <c r="D981" i="1"/>
  <c r="D1016" i="1"/>
  <c r="D1046" i="1"/>
  <c r="D1073" i="1"/>
  <c r="D1097" i="1"/>
  <c r="D1121" i="1"/>
  <c r="D1147" i="1"/>
  <c r="D1175" i="1"/>
  <c r="D1201" i="1"/>
  <c r="D1225" i="1"/>
  <c r="D1249" i="1"/>
  <c r="D1276" i="1"/>
  <c r="D1302" i="1"/>
  <c r="D1325" i="1"/>
  <c r="D1348" i="1"/>
  <c r="D1371" i="1"/>
  <c r="D1392" i="1"/>
  <c r="D1413" i="1"/>
  <c r="D1435" i="1"/>
  <c r="D16" i="1"/>
  <c r="D68" i="1"/>
  <c r="D116" i="1"/>
  <c r="D177" i="1"/>
  <c r="D223" i="1"/>
  <c r="D263" i="1"/>
  <c r="D320" i="1"/>
  <c r="D364" i="1"/>
  <c r="D405" i="1"/>
  <c r="D460" i="1"/>
  <c r="D504" i="1"/>
  <c r="D547" i="1"/>
  <c r="D600" i="1"/>
  <c r="D646" i="1"/>
  <c r="D684" i="1"/>
  <c r="D736" i="1"/>
  <c r="D776" i="1"/>
  <c r="D812" i="1"/>
  <c r="D855" i="1"/>
  <c r="D886" i="1"/>
  <c r="D921" i="1"/>
  <c r="D956" i="1"/>
  <c r="D987" i="1"/>
  <c r="D1026" i="1"/>
  <c r="D1049" i="1"/>
  <c r="D1075" i="1"/>
  <c r="D1101" i="1"/>
  <c r="D1125" i="1"/>
  <c r="D1153" i="1"/>
  <c r="D1177" i="1"/>
  <c r="D1204" i="1"/>
  <c r="D1230" i="1"/>
  <c r="D1254" i="1"/>
  <c r="D1282" i="1"/>
  <c r="D1305" i="1"/>
  <c r="D1330" i="1"/>
  <c r="D1353" i="1"/>
  <c r="D1373" i="1"/>
  <c r="D1396" i="1"/>
  <c r="D1415" i="1"/>
  <c r="D1438" i="1"/>
  <c r="D19" i="1"/>
  <c r="D70" i="1"/>
  <c r="D119" i="1"/>
  <c r="D178" i="1"/>
  <c r="D225" i="1"/>
  <c r="D271" i="1"/>
  <c r="D321" i="1"/>
  <c r="D367" i="1"/>
  <c r="D412" i="1"/>
  <c r="D464" i="1"/>
  <c r="D508" i="1"/>
  <c r="D552" i="1"/>
  <c r="D604" i="1"/>
  <c r="D647" i="1"/>
  <c r="D691" i="1"/>
  <c r="D737" i="1"/>
  <c r="D777" i="1"/>
  <c r="D816" i="1"/>
  <c r="D859" i="1"/>
  <c r="D891" i="1"/>
  <c r="D922" i="1"/>
  <c r="D957" i="1"/>
  <c r="D993" i="1"/>
  <c r="D1029" i="1"/>
  <c r="D1053" i="1"/>
  <c r="D1076" i="1"/>
  <c r="D1102" i="1"/>
  <c r="D1128" i="1"/>
  <c r="D1158" i="1"/>
  <c r="D1181" i="1"/>
  <c r="D1205" i="1"/>
  <c r="D1231" i="1"/>
  <c r="D1257" i="1"/>
  <c r="D1285" i="1"/>
  <c r="D1306" i="1"/>
  <c r="D1331" i="1"/>
  <c r="D1354" i="1"/>
  <c r="D1374" i="1"/>
  <c r="D1397" i="1"/>
  <c r="D1418" i="1"/>
  <c r="D1439" i="1"/>
  <c r="D72" i="1"/>
  <c r="D151" i="1"/>
  <c r="D228" i="1"/>
  <c r="D296" i="1"/>
  <c r="D369" i="1"/>
  <c r="D436" i="1"/>
  <c r="D512" i="1"/>
  <c r="D576" i="1"/>
  <c r="D652" i="1"/>
  <c r="D713" i="1"/>
  <c r="D779" i="1"/>
  <c r="D838" i="1"/>
  <c r="D897" i="1"/>
  <c r="D941" i="1"/>
  <c r="D999" i="1"/>
  <c r="D1039" i="1"/>
  <c r="D1081" i="1"/>
  <c r="D1117" i="1"/>
  <c r="D1160" i="1"/>
  <c r="D1190" i="1"/>
  <c r="D1233" i="1"/>
  <c r="D1271" i="1"/>
  <c r="D1310" i="1"/>
  <c r="D1343" i="1"/>
  <c r="D1379" i="1"/>
  <c r="D1409" i="1"/>
  <c r="D1441" i="1"/>
  <c r="D76" i="1"/>
  <c r="D153" i="1"/>
  <c r="D232" i="1"/>
  <c r="D297" i="1"/>
  <c r="D371" i="1"/>
  <c r="D439" i="1"/>
  <c r="D513" i="1"/>
  <c r="D580" i="1"/>
  <c r="D655" i="1"/>
  <c r="D716" i="1"/>
  <c r="D780" i="1"/>
  <c r="D839" i="1"/>
  <c r="D898" i="1"/>
  <c r="D944" i="1"/>
  <c r="D1000" i="1"/>
  <c r="D1040" i="1"/>
  <c r="D1082" i="1"/>
  <c r="D1118" i="1"/>
  <c r="D1161" i="1"/>
  <c r="D1197" i="1"/>
  <c r="D1240" i="1"/>
  <c r="D1272" i="1"/>
  <c r="D1315" i="1"/>
  <c r="D1344" i="1"/>
  <c r="D1380" i="1"/>
  <c r="D1410" i="1"/>
  <c r="D1445" i="1"/>
  <c r="D7" i="1"/>
  <c r="D88" i="1"/>
  <c r="D167" i="1"/>
  <c r="D239" i="1"/>
  <c r="D311" i="1"/>
  <c r="D381" i="1"/>
  <c r="D452" i="1"/>
  <c r="D523" i="1"/>
  <c r="D595" i="1"/>
  <c r="D665" i="1"/>
  <c r="D728" i="1"/>
  <c r="D790" i="1"/>
  <c r="D844" i="1"/>
  <c r="D899" i="1"/>
  <c r="D953" i="1"/>
  <c r="D1004" i="1"/>
  <c r="D1048" i="1"/>
  <c r="D1086" i="1"/>
  <c r="D1124" i="1"/>
  <c r="D1162" i="1"/>
  <c r="D1202" i="1"/>
  <c r="D1243" i="1"/>
  <c r="D1277" i="1"/>
  <c r="D1316" i="1"/>
  <c r="D1349" i="1"/>
  <c r="D1383" i="1"/>
  <c r="D1414" i="1"/>
  <c r="D20" i="1"/>
  <c r="D95" i="1"/>
  <c r="D180" i="1"/>
  <c r="D249" i="1"/>
  <c r="D322" i="1"/>
  <c r="D391" i="1"/>
  <c r="D465" i="1"/>
  <c r="D532" i="1"/>
  <c r="D607" i="1"/>
  <c r="D671" i="1"/>
  <c r="D739" i="1"/>
  <c r="D797" i="1"/>
  <c r="D860" i="1"/>
  <c r="D900" i="1"/>
  <c r="D959" i="1"/>
  <c r="D1005" i="1"/>
  <c r="D1054" i="1"/>
  <c r="D1089" i="1"/>
  <c r="D1133" i="1"/>
  <c r="D1163" i="1"/>
  <c r="D1206" i="1"/>
  <c r="D1244" i="1"/>
  <c r="D1288" i="1"/>
  <c r="D1317" i="1"/>
  <c r="D1357" i="1"/>
  <c r="D1384" i="1"/>
  <c r="D1419" i="1"/>
  <c r="D22" i="1"/>
  <c r="D96" i="1"/>
  <c r="D184" i="1"/>
  <c r="D250" i="1"/>
  <c r="D323" i="1"/>
  <c r="D392" i="1"/>
  <c r="D466" i="1"/>
  <c r="D535" i="1"/>
  <c r="D608" i="1"/>
  <c r="D672" i="1"/>
  <c r="D741" i="1"/>
  <c r="D800" i="1"/>
  <c r="D861" i="1"/>
  <c r="D904" i="1"/>
  <c r="D960" i="1"/>
  <c r="D1012" i="1"/>
  <c r="D1057" i="1"/>
  <c r="D1091" i="1"/>
  <c r="D1134" i="1"/>
  <c r="D1166" i="1"/>
  <c r="D1210" i="1"/>
  <c r="D1245" i="1"/>
  <c r="D1289" i="1"/>
  <c r="D1318" i="1"/>
  <c r="D1358" i="1"/>
  <c r="D1386" i="1"/>
  <c r="D1422" i="1"/>
  <c r="D132" i="1"/>
  <c r="D261" i="1"/>
  <c r="D368" i="1"/>
  <c r="D488" i="1"/>
  <c r="D619" i="1"/>
  <c r="D742" i="1"/>
  <c r="D832" i="1"/>
  <c r="D929" i="1"/>
  <c r="D1017" i="1"/>
  <c r="D1078" i="1"/>
  <c r="D1145" i="1"/>
  <c r="D1218" i="1"/>
  <c r="D1290" i="1"/>
  <c r="D1338" i="1"/>
  <c r="D1399" i="1"/>
  <c r="D140" i="1"/>
  <c r="D275" i="1"/>
  <c r="D393" i="1"/>
  <c r="D500" i="1"/>
  <c r="D623" i="1"/>
  <c r="D747" i="1"/>
  <c r="D833" i="1"/>
  <c r="D931" i="1"/>
  <c r="D1030" i="1"/>
  <c r="D1092" i="1"/>
  <c r="D1148" i="1"/>
  <c r="D1219" i="1"/>
  <c r="D1291" i="1"/>
  <c r="D1340" i="1"/>
  <c r="D1401" i="1"/>
  <c r="D23" i="1"/>
  <c r="D141" i="1"/>
  <c r="D280" i="1"/>
  <c r="D404" i="1"/>
  <c r="D511" i="1"/>
  <c r="D629" i="1"/>
  <c r="D748" i="1"/>
  <c r="D863" i="1"/>
  <c r="D934" i="1"/>
  <c r="D1031" i="1"/>
  <c r="D1100" i="1"/>
  <c r="D1159" i="1"/>
  <c r="D1220" i="1"/>
  <c r="D1292" i="1"/>
  <c r="D1359" i="1"/>
  <c r="D1402" i="1"/>
  <c r="D32" i="1"/>
  <c r="D148" i="1"/>
  <c r="D285" i="1"/>
  <c r="D416" i="1"/>
  <c r="D536" i="1"/>
  <c r="D643" i="1"/>
  <c r="D754" i="1"/>
  <c r="D864" i="1"/>
  <c r="D940" i="1"/>
  <c r="D1032" i="1"/>
  <c r="D1104" i="1"/>
  <c r="D1168" i="1"/>
  <c r="D1229" i="1"/>
  <c r="D1295" i="1"/>
  <c r="D1360" i="1"/>
  <c r="D1406" i="1"/>
  <c r="D34" i="1"/>
  <c r="D187" i="1"/>
  <c r="D286" i="1"/>
  <c r="D420" i="1"/>
  <c r="D544" i="1"/>
  <c r="D648" i="1"/>
  <c r="D760" i="1"/>
  <c r="D867" i="1"/>
  <c r="D968" i="1"/>
  <c r="D1033" i="1"/>
  <c r="D1105" i="1"/>
  <c r="D1176" i="1"/>
  <c r="D1232" i="1"/>
  <c r="D1296" i="1"/>
  <c r="D1361" i="1"/>
  <c r="D1423" i="1"/>
  <c r="D40" i="1"/>
  <c r="D191" i="1"/>
  <c r="D295" i="1"/>
  <c r="D428" i="1"/>
  <c r="D559" i="1"/>
  <c r="D675" i="1"/>
  <c r="D768" i="1"/>
  <c r="D872" i="1"/>
  <c r="D972" i="1"/>
  <c r="D1034" i="1"/>
  <c r="D1111" i="1"/>
  <c r="D1183" i="1"/>
  <c r="D1246" i="1"/>
  <c r="D1304" i="1"/>
  <c r="D1362" i="1"/>
  <c r="D1426" i="1"/>
  <c r="D46" i="1"/>
  <c r="D192" i="1"/>
  <c r="D324" i="1"/>
  <c r="D429" i="1"/>
  <c r="D561" i="1"/>
  <c r="D683" i="1"/>
  <c r="D778" i="1"/>
  <c r="D873" i="1"/>
  <c r="D976" i="1"/>
  <c r="D1058" i="1"/>
  <c r="D1114" i="1"/>
  <c r="D1186" i="1"/>
  <c r="D1253" i="1"/>
  <c r="D1309" i="1"/>
  <c r="D1367" i="1"/>
  <c r="D1427" i="1"/>
  <c r="D333" i="1"/>
  <c r="D575" i="1"/>
  <c r="D825" i="1"/>
  <c r="D1061" i="1"/>
  <c r="D1211" i="1"/>
  <c r="D1372" i="1"/>
  <c r="D911" i="1"/>
  <c r="D1393" i="1"/>
  <c r="D705" i="1"/>
  <c r="D1135" i="1"/>
  <c r="D1428" i="1"/>
  <c r="D128" i="1"/>
  <c r="D467" i="1"/>
  <c r="D706" i="1"/>
  <c r="D977" i="1"/>
  <c r="D1138" i="1"/>
  <c r="D1268" i="1"/>
  <c r="D1431" i="1"/>
  <c r="D335" i="1"/>
  <c r="D609" i="1"/>
  <c r="D884" i="1"/>
  <c r="D1062" i="1"/>
  <c r="D1214" i="1"/>
  <c r="D1375" i="1"/>
  <c r="D345" i="1"/>
  <c r="D1074" i="1"/>
  <c r="D59" i="1"/>
  <c r="D341" i="1"/>
  <c r="D616" i="1"/>
  <c r="D892" i="1"/>
  <c r="D1068" i="1"/>
  <c r="D1261" i="1"/>
  <c r="D1387" i="1"/>
  <c r="D71" i="1"/>
  <c r="D696" i="1"/>
  <c r="D1262" i="1"/>
  <c r="D115" i="1"/>
  <c r="D432" i="1"/>
  <c r="D923" i="1"/>
  <c r="D1267" i="1"/>
  <c r="D100" i="1"/>
  <c r="D358" i="1"/>
  <c r="D700" i="1"/>
  <c r="D919" i="1"/>
  <c r="D1115" i="1"/>
  <c r="D1264" i="1"/>
  <c r="D1398" i="1"/>
  <c r="D801" i="1"/>
  <c r="D1188" i="1"/>
  <c r="D824" i="1"/>
  <c r="D1329" i="1"/>
  <c r="D227" i="1"/>
  <c r="D1333" i="1"/>
  <c r="D996" i="1"/>
  <c r="D1437" i="1"/>
  <c r="D1144" i="1"/>
  <c r="D199" i="1"/>
  <c r="D809" i="1"/>
  <c r="D1189" i="1"/>
  <c r="D215" i="1"/>
  <c r="D979" i="1"/>
  <c r="D1332" i="1"/>
  <c r="D475" i="1"/>
  <c r="D1013" i="1"/>
  <c r="D480" i="1"/>
  <c r="D1440" i="1"/>
  <c r="D572" i="1"/>
  <c r="D204" i="1"/>
  <c r="D823" i="1"/>
  <c r="D1319" i="1"/>
  <c r="D251" i="1"/>
  <c r="D984" i="1"/>
  <c r="D1334" i="1"/>
  <c r="D476" i="1"/>
  <c r="D1060" i="1"/>
  <c r="D568" i="1"/>
  <c r="D1139" i="1"/>
  <c r="D712" i="1"/>
  <c r="D1187" i="1"/>
  <c r="C4" i="1"/>
  <c r="C16" i="1"/>
  <c r="C28" i="1"/>
  <c r="C11" i="1"/>
  <c r="C24" i="1"/>
  <c r="C37" i="1"/>
  <c r="C49" i="1"/>
  <c r="C61" i="1"/>
  <c r="C73" i="1"/>
  <c r="C85" i="1"/>
  <c r="C97" i="1"/>
  <c r="C109" i="1"/>
  <c r="C121" i="1"/>
  <c r="C133" i="1"/>
  <c r="C145" i="1"/>
  <c r="C157" i="1"/>
  <c r="C169" i="1"/>
  <c r="C181" i="1"/>
  <c r="C193" i="1"/>
  <c r="C205" i="1"/>
  <c r="C217" i="1"/>
  <c r="C229" i="1"/>
  <c r="C241" i="1"/>
  <c r="C253" i="1"/>
  <c r="C265" i="1"/>
  <c r="C277" i="1"/>
  <c r="C289" i="1"/>
  <c r="C301" i="1"/>
  <c r="C313" i="1"/>
  <c r="C325" i="1"/>
  <c r="C337" i="1"/>
  <c r="C349" i="1"/>
  <c r="C361" i="1"/>
  <c r="C373" i="1"/>
  <c r="C385" i="1"/>
  <c r="C397" i="1"/>
  <c r="C409" i="1"/>
  <c r="C421" i="1"/>
  <c r="C433" i="1"/>
  <c r="C445" i="1"/>
  <c r="C457" i="1"/>
  <c r="C469" i="1"/>
  <c r="C481" i="1"/>
  <c r="C493" i="1"/>
  <c r="C505" i="1"/>
  <c r="C517" i="1"/>
  <c r="C529" i="1"/>
  <c r="C541" i="1"/>
  <c r="C553" i="1"/>
  <c r="C565" i="1"/>
  <c r="C577" i="1"/>
  <c r="C589" i="1"/>
  <c r="C601" i="1"/>
  <c r="C613" i="1"/>
  <c r="C625" i="1"/>
  <c r="C637" i="1"/>
  <c r="C649" i="1"/>
  <c r="C661" i="1"/>
  <c r="C673" i="1"/>
  <c r="C685" i="1"/>
  <c r="C697" i="1"/>
  <c r="C709" i="1"/>
  <c r="C721" i="1"/>
  <c r="C733" i="1"/>
  <c r="C745" i="1"/>
  <c r="C757" i="1"/>
  <c r="C769" i="1"/>
  <c r="C781" i="1"/>
  <c r="C793" i="1"/>
  <c r="C805" i="1"/>
  <c r="C817" i="1"/>
  <c r="C829" i="1"/>
  <c r="C841" i="1"/>
  <c r="C853" i="1"/>
  <c r="C865" i="1"/>
  <c r="C877" i="1"/>
  <c r="C889" i="1"/>
  <c r="C901" i="1"/>
  <c r="C913" i="1"/>
  <c r="C925" i="1"/>
  <c r="C937" i="1"/>
  <c r="C949" i="1"/>
  <c r="C961" i="1"/>
  <c r="C973" i="1"/>
  <c r="C985" i="1"/>
  <c r="C997" i="1"/>
  <c r="C1009" i="1"/>
  <c r="C1021" i="1"/>
  <c r="C1033" i="1"/>
  <c r="C1045" i="1"/>
  <c r="C1057" i="1"/>
  <c r="C1069" i="1"/>
  <c r="C1081" i="1"/>
  <c r="C1093" i="1"/>
  <c r="C12" i="1"/>
  <c r="C25" i="1"/>
  <c r="C38" i="1"/>
  <c r="C50" i="1"/>
  <c r="C62" i="1"/>
  <c r="C74" i="1"/>
  <c r="C86" i="1"/>
  <c r="C98" i="1"/>
  <c r="C110" i="1"/>
  <c r="C122" i="1"/>
  <c r="C15" i="1"/>
  <c r="C29" i="1"/>
  <c r="C41" i="1"/>
  <c r="C53" i="1"/>
  <c r="C65" i="1"/>
  <c r="C77" i="1"/>
  <c r="C89" i="1"/>
  <c r="C101" i="1"/>
  <c r="C113" i="1"/>
  <c r="C125" i="1"/>
  <c r="C137" i="1"/>
  <c r="C3" i="1"/>
  <c r="C17" i="1"/>
  <c r="C30" i="1"/>
  <c r="C42" i="1"/>
  <c r="C54" i="1"/>
  <c r="C20" i="1"/>
  <c r="C39" i="1"/>
  <c r="C57" i="1"/>
  <c r="C72" i="1"/>
  <c r="C90" i="1"/>
  <c r="C105" i="1"/>
  <c r="C120" i="1"/>
  <c r="C136" i="1"/>
  <c r="C150" i="1"/>
  <c r="C163" i="1"/>
  <c r="C176" i="1"/>
  <c r="C189" i="1"/>
  <c r="C202" i="1"/>
  <c r="C215" i="1"/>
  <c r="C228" i="1"/>
  <c r="C242" i="1"/>
  <c r="C255" i="1"/>
  <c r="C268" i="1"/>
  <c r="C281" i="1"/>
  <c r="C294" i="1"/>
  <c r="C307" i="1"/>
  <c r="C320" i="1"/>
  <c r="C333" i="1"/>
  <c r="C346" i="1"/>
  <c r="C359" i="1"/>
  <c r="C372" i="1"/>
  <c r="C386" i="1"/>
  <c r="C399" i="1"/>
  <c r="C412" i="1"/>
  <c r="C425" i="1"/>
  <c r="C438" i="1"/>
  <c r="C451" i="1"/>
  <c r="C464" i="1"/>
  <c r="C477" i="1"/>
  <c r="C9" i="1"/>
  <c r="C32" i="1"/>
  <c r="C51" i="1"/>
  <c r="C69" i="1"/>
  <c r="C87" i="1"/>
  <c r="C104" i="1"/>
  <c r="C123" i="1"/>
  <c r="C139" i="1"/>
  <c r="C153" i="1"/>
  <c r="C167" i="1"/>
  <c r="C10" i="1"/>
  <c r="C33" i="1"/>
  <c r="C52" i="1"/>
  <c r="C70" i="1"/>
  <c r="C88" i="1"/>
  <c r="C106" i="1"/>
  <c r="C124" i="1"/>
  <c r="C140" i="1"/>
  <c r="C154" i="1"/>
  <c r="C168" i="1"/>
  <c r="C183" i="1"/>
  <c r="C197" i="1"/>
  <c r="C211" i="1"/>
  <c r="C225" i="1"/>
  <c r="C239" i="1"/>
  <c r="C254" i="1"/>
  <c r="C269" i="1"/>
  <c r="C283" i="1"/>
  <c r="C297" i="1"/>
  <c r="C14" i="1"/>
  <c r="C35" i="1"/>
  <c r="C56" i="1"/>
  <c r="C75" i="1"/>
  <c r="C92" i="1"/>
  <c r="C108" i="1"/>
  <c r="C127" i="1"/>
  <c r="C142" i="1"/>
  <c r="C156" i="1"/>
  <c r="C171" i="1"/>
  <c r="C185" i="1"/>
  <c r="C199" i="1"/>
  <c r="C213" i="1"/>
  <c r="C227" i="1"/>
  <c r="C243" i="1"/>
  <c r="C257" i="1"/>
  <c r="C271" i="1"/>
  <c r="C285" i="1"/>
  <c r="C299" i="1"/>
  <c r="C314" i="1"/>
  <c r="C328" i="1"/>
  <c r="C342" i="1"/>
  <c r="C356" i="1"/>
  <c r="C370" i="1"/>
  <c r="C384" i="1"/>
  <c r="C400" i="1"/>
  <c r="C414" i="1"/>
  <c r="C428" i="1"/>
  <c r="C442" i="1"/>
  <c r="C456" i="1"/>
  <c r="C471" i="1"/>
  <c r="C485" i="1"/>
  <c r="C498" i="1"/>
  <c r="C511" i="1"/>
  <c r="C524" i="1"/>
  <c r="C537" i="1"/>
  <c r="C550" i="1"/>
  <c r="C563" i="1"/>
  <c r="C576" i="1"/>
  <c r="C590" i="1"/>
  <c r="C603" i="1"/>
  <c r="C616" i="1"/>
  <c r="C629" i="1"/>
  <c r="C642" i="1"/>
  <c r="C18" i="1"/>
  <c r="C36" i="1"/>
  <c r="C58" i="1"/>
  <c r="C76" i="1"/>
  <c r="C93" i="1"/>
  <c r="C111" i="1"/>
  <c r="C128" i="1"/>
  <c r="C143" i="1"/>
  <c r="C158" i="1"/>
  <c r="C172" i="1"/>
  <c r="C186" i="1"/>
  <c r="C200" i="1"/>
  <c r="C214" i="1"/>
  <c r="C230" i="1"/>
  <c r="C27" i="1"/>
  <c r="C60" i="1"/>
  <c r="C83" i="1"/>
  <c r="C114" i="1"/>
  <c r="C135" i="1"/>
  <c r="C160" i="1"/>
  <c r="C179" i="1"/>
  <c r="C198" i="1"/>
  <c r="C219" i="1"/>
  <c r="C236" i="1"/>
  <c r="C252" i="1"/>
  <c r="C272" i="1"/>
  <c r="C288" i="1"/>
  <c r="C305" i="1"/>
  <c r="C321" i="1"/>
  <c r="C336" i="1"/>
  <c r="C352" i="1"/>
  <c r="C367" i="1"/>
  <c r="C382" i="1"/>
  <c r="C398" i="1"/>
  <c r="C415" i="1"/>
  <c r="C430" i="1"/>
  <c r="C446" i="1"/>
  <c r="C461" i="1"/>
  <c r="C476" i="1"/>
  <c r="C491" i="1"/>
  <c r="C506" i="1"/>
  <c r="C520" i="1"/>
  <c r="C534" i="1"/>
  <c r="C548" i="1"/>
  <c r="C562" i="1"/>
  <c r="C578" i="1"/>
  <c r="C592" i="1"/>
  <c r="C606" i="1"/>
  <c r="C620" i="1"/>
  <c r="C634" i="1"/>
  <c r="C648" i="1"/>
  <c r="C662" i="1"/>
  <c r="C675" i="1"/>
  <c r="C688" i="1"/>
  <c r="C701" i="1"/>
  <c r="C714" i="1"/>
  <c r="C727" i="1"/>
  <c r="C740" i="1"/>
  <c r="C753" i="1"/>
  <c r="C31" i="1"/>
  <c r="C63" i="1"/>
  <c r="C84" i="1"/>
  <c r="C115" i="1"/>
  <c r="C138" i="1"/>
  <c r="C161" i="1"/>
  <c r="C180" i="1"/>
  <c r="C201" i="1"/>
  <c r="C220" i="1"/>
  <c r="C237" i="1"/>
  <c r="C256" i="1"/>
  <c r="C273" i="1"/>
  <c r="C290" i="1"/>
  <c r="C306" i="1"/>
  <c r="C322" i="1"/>
  <c r="C338" i="1"/>
  <c r="C353" i="1"/>
  <c r="C368" i="1"/>
  <c r="C383" i="1"/>
  <c r="C401" i="1"/>
  <c r="C416" i="1"/>
  <c r="C431" i="1"/>
  <c r="C447" i="1"/>
  <c r="C462" i="1"/>
  <c r="C478" i="1"/>
  <c r="C492" i="1"/>
  <c r="C507" i="1"/>
  <c r="C521" i="1"/>
  <c r="C535" i="1"/>
  <c r="C549" i="1"/>
  <c r="C564" i="1"/>
  <c r="C579" i="1"/>
  <c r="C593" i="1"/>
  <c r="C607" i="1"/>
  <c r="C621" i="1"/>
  <c r="C635" i="1"/>
  <c r="C650" i="1"/>
  <c r="C663" i="1"/>
  <c r="C676" i="1"/>
  <c r="C689" i="1"/>
  <c r="C702" i="1"/>
  <c r="C715" i="1"/>
  <c r="C728" i="1"/>
  <c r="C741" i="1"/>
  <c r="C754" i="1"/>
  <c r="C767" i="1"/>
  <c r="C780" i="1"/>
  <c r="C794" i="1"/>
  <c r="C807" i="1"/>
  <c r="C820" i="1"/>
  <c r="C833" i="1"/>
  <c r="C846" i="1"/>
  <c r="C859" i="1"/>
  <c r="C872" i="1"/>
  <c r="C885" i="1"/>
  <c r="C898" i="1"/>
  <c r="C911" i="1"/>
  <c r="C924" i="1"/>
  <c r="C938" i="1"/>
  <c r="C951" i="1"/>
  <c r="C964" i="1"/>
  <c r="C977" i="1"/>
  <c r="C990" i="1"/>
  <c r="C1003" i="1"/>
  <c r="C1016" i="1"/>
  <c r="C1029" i="1"/>
  <c r="C1042" i="1"/>
  <c r="C1055" i="1"/>
  <c r="C1068" i="1"/>
  <c r="C1082" i="1"/>
  <c r="C1095" i="1"/>
  <c r="C1107" i="1"/>
  <c r="C1119" i="1"/>
  <c r="C1131" i="1"/>
  <c r="C1143" i="1"/>
  <c r="C1155" i="1"/>
  <c r="C1167" i="1"/>
  <c r="C1179" i="1"/>
  <c r="C1191" i="1"/>
  <c r="C1203" i="1"/>
  <c r="C1215" i="1"/>
  <c r="C1227" i="1"/>
  <c r="C1239" i="1"/>
  <c r="C1251" i="1"/>
  <c r="C1263" i="1"/>
  <c r="C1275" i="1"/>
  <c r="C1287" i="1"/>
  <c r="C1299" i="1"/>
  <c r="C1311" i="1"/>
  <c r="C1323" i="1"/>
  <c r="C1335" i="1"/>
  <c r="C1347" i="1"/>
  <c r="C1359" i="1"/>
  <c r="C1371" i="1"/>
  <c r="C1383" i="1"/>
  <c r="C1395" i="1"/>
  <c r="C1407" i="1"/>
  <c r="C1419" i="1"/>
  <c r="C1431" i="1"/>
  <c r="C1443" i="1"/>
  <c r="C5" i="1"/>
  <c r="C34" i="1"/>
  <c r="C64" i="1"/>
  <c r="C91" i="1"/>
  <c r="C116" i="1"/>
  <c r="C6" i="1"/>
  <c r="C40" i="1"/>
  <c r="C66" i="1"/>
  <c r="C94" i="1"/>
  <c r="C117" i="1"/>
  <c r="C144" i="1"/>
  <c r="C164" i="1"/>
  <c r="C184" i="1"/>
  <c r="C204" i="1"/>
  <c r="C222" i="1"/>
  <c r="C240" i="1"/>
  <c r="C259" i="1"/>
  <c r="C275" i="1"/>
  <c r="C292" i="1"/>
  <c r="C309" i="1"/>
  <c r="C324" i="1"/>
  <c r="C340" i="1"/>
  <c r="C355" i="1"/>
  <c r="C371" i="1"/>
  <c r="C388" i="1"/>
  <c r="C403" i="1"/>
  <c r="C418" i="1"/>
  <c r="C434" i="1"/>
  <c r="C449" i="1"/>
  <c r="C465" i="1"/>
  <c r="C480" i="1"/>
  <c r="C495" i="1"/>
  <c r="C509" i="1"/>
  <c r="C523" i="1"/>
  <c r="C538" i="1"/>
  <c r="C552" i="1"/>
  <c r="C567" i="1"/>
  <c r="C581" i="1"/>
  <c r="C595" i="1"/>
  <c r="C609" i="1"/>
  <c r="C623" i="1"/>
  <c r="C638" i="1"/>
  <c r="C652" i="1"/>
  <c r="C665" i="1"/>
  <c r="C678" i="1"/>
  <c r="C691" i="1"/>
  <c r="C704" i="1"/>
  <c r="C717" i="1"/>
  <c r="C730" i="1"/>
  <c r="C743" i="1"/>
  <c r="C756" i="1"/>
  <c r="C770" i="1"/>
  <c r="C783" i="1"/>
  <c r="C796" i="1"/>
  <c r="C809" i="1"/>
  <c r="C822" i="1"/>
  <c r="C835" i="1"/>
  <c r="C848" i="1"/>
  <c r="C861" i="1"/>
  <c r="C874" i="1"/>
  <c r="C887" i="1"/>
  <c r="C900" i="1"/>
  <c r="C914" i="1"/>
  <c r="C927" i="1"/>
  <c r="C940" i="1"/>
  <c r="C953" i="1"/>
  <c r="C966" i="1"/>
  <c r="C979" i="1"/>
  <c r="C992" i="1"/>
  <c r="C1005" i="1"/>
  <c r="C1018" i="1"/>
  <c r="C1031" i="1"/>
  <c r="C1044" i="1"/>
  <c r="C1058" i="1"/>
  <c r="C1071" i="1"/>
  <c r="C1084" i="1"/>
  <c r="C1097" i="1"/>
  <c r="C1109" i="1"/>
  <c r="C1121" i="1"/>
  <c r="C1133" i="1"/>
  <c r="C1145" i="1"/>
  <c r="C1157" i="1"/>
  <c r="C1169" i="1"/>
  <c r="C1181" i="1"/>
  <c r="C1193" i="1"/>
  <c r="C1205" i="1"/>
  <c r="C1217" i="1"/>
  <c r="C1229" i="1"/>
  <c r="C1241" i="1"/>
  <c r="C1253" i="1"/>
  <c r="C1265" i="1"/>
  <c r="C1277" i="1"/>
  <c r="C1289" i="1"/>
  <c r="C1301" i="1"/>
  <c r="C1313" i="1"/>
  <c r="C1325" i="1"/>
  <c r="C1337" i="1"/>
  <c r="C1349" i="1"/>
  <c r="C1361" i="1"/>
  <c r="C1373" i="1"/>
  <c r="C1385" i="1"/>
  <c r="C1397" i="1"/>
  <c r="C1409" i="1"/>
  <c r="C1421" i="1"/>
  <c r="C1433" i="1"/>
  <c r="C1445" i="1"/>
  <c r="C7" i="1"/>
  <c r="C43" i="1"/>
  <c r="C67" i="1"/>
  <c r="C95" i="1"/>
  <c r="C118" i="1"/>
  <c r="C146" i="1"/>
  <c r="C165" i="1"/>
  <c r="C187" i="1"/>
  <c r="C206" i="1"/>
  <c r="C223" i="1"/>
  <c r="C244" i="1"/>
  <c r="C260" i="1"/>
  <c r="C276" i="1"/>
  <c r="C293" i="1"/>
  <c r="C310" i="1"/>
  <c r="C13" i="1"/>
  <c r="C59" i="1"/>
  <c r="C103" i="1"/>
  <c r="C148" i="1"/>
  <c r="C177" i="1"/>
  <c r="C208" i="1"/>
  <c r="C234" i="1"/>
  <c r="C262" i="1"/>
  <c r="C286" i="1"/>
  <c r="C312" i="1"/>
  <c r="C332" i="1"/>
  <c r="C354" i="1"/>
  <c r="C376" i="1"/>
  <c r="C394" i="1"/>
  <c r="C417" i="1"/>
  <c r="C437" i="1"/>
  <c r="C458" i="1"/>
  <c r="C479" i="1"/>
  <c r="C499" i="1"/>
  <c r="C516" i="1"/>
  <c r="C536" i="1"/>
  <c r="C556" i="1"/>
  <c r="C573" i="1"/>
  <c r="C594" i="1"/>
  <c r="C612" i="1"/>
  <c r="C631" i="1"/>
  <c r="C651" i="1"/>
  <c r="C668" i="1"/>
  <c r="C684" i="1"/>
  <c r="C703" i="1"/>
  <c r="C720" i="1"/>
  <c r="C737" i="1"/>
  <c r="C755" i="1"/>
  <c r="C772" i="1"/>
  <c r="C787" i="1"/>
  <c r="C802" i="1"/>
  <c r="C818" i="1"/>
  <c r="C834" i="1"/>
  <c r="C850" i="1"/>
  <c r="C866" i="1"/>
  <c r="C881" i="1"/>
  <c r="C896" i="1"/>
  <c r="C912" i="1"/>
  <c r="C929" i="1"/>
  <c r="C944" i="1"/>
  <c r="C959" i="1"/>
  <c r="C19" i="1"/>
  <c r="C68" i="1"/>
  <c r="C107" i="1"/>
  <c r="C149" i="1"/>
  <c r="C178" i="1"/>
  <c r="C209" i="1"/>
  <c r="C235" i="1"/>
  <c r="C263" i="1"/>
  <c r="C287" i="1"/>
  <c r="C315" i="1"/>
  <c r="C334" i="1"/>
  <c r="C357" i="1"/>
  <c r="C377" i="1"/>
  <c r="C395" i="1"/>
  <c r="C419" i="1"/>
  <c r="C439" i="1"/>
  <c r="C459" i="1"/>
  <c r="C482" i="1"/>
  <c r="C500" i="1"/>
  <c r="C518" i="1"/>
  <c r="C539" i="1"/>
  <c r="C557" i="1"/>
  <c r="C574" i="1"/>
  <c r="C596" i="1"/>
  <c r="C614" i="1"/>
  <c r="C632" i="1"/>
  <c r="C653" i="1"/>
  <c r="C669" i="1"/>
  <c r="C686" i="1"/>
  <c r="C705" i="1"/>
  <c r="C722" i="1"/>
  <c r="C738" i="1"/>
  <c r="C758" i="1"/>
  <c r="C773" i="1"/>
  <c r="C788" i="1"/>
  <c r="C803" i="1"/>
  <c r="C819" i="1"/>
  <c r="C836" i="1"/>
  <c r="C851" i="1"/>
  <c r="C867" i="1"/>
  <c r="C882" i="1"/>
  <c r="C897" i="1"/>
  <c r="C915" i="1"/>
  <c r="C930" i="1"/>
  <c r="C945" i="1"/>
  <c r="C960" i="1"/>
  <c r="C976" i="1"/>
  <c r="C993" i="1"/>
  <c r="C1008" i="1"/>
  <c r="C1024" i="1"/>
  <c r="C1039" i="1"/>
  <c r="C1054" i="1"/>
  <c r="C1072" i="1"/>
  <c r="C1087" i="1"/>
  <c r="C1102" i="1"/>
  <c r="C1116" i="1"/>
  <c r="C1130" i="1"/>
  <c r="C1146" i="1"/>
  <c r="C1160" i="1"/>
  <c r="C1174" i="1"/>
  <c r="C1188" i="1"/>
  <c r="C1202" i="1"/>
  <c r="C1218" i="1"/>
  <c r="C1232" i="1"/>
  <c r="C1246" i="1"/>
  <c r="C1260" i="1"/>
  <c r="C1274" i="1"/>
  <c r="C1290" i="1"/>
  <c r="C1304" i="1"/>
  <c r="C1318" i="1"/>
  <c r="C1332" i="1"/>
  <c r="C1346" i="1"/>
  <c r="C1362" i="1"/>
  <c r="C1376" i="1"/>
  <c r="C1390" i="1"/>
  <c r="C1404" i="1"/>
  <c r="C1418" i="1"/>
  <c r="C1434" i="1"/>
  <c r="C21" i="1"/>
  <c r="C71" i="1"/>
  <c r="C112" i="1"/>
  <c r="C151" i="1"/>
  <c r="C182" i="1"/>
  <c r="C210" i="1"/>
  <c r="C238" i="1"/>
  <c r="C264" i="1"/>
  <c r="C291" i="1"/>
  <c r="C316" i="1"/>
  <c r="C335" i="1"/>
  <c r="C358" i="1"/>
  <c r="C378" i="1"/>
  <c r="C396" i="1"/>
  <c r="C420" i="1"/>
  <c r="C440" i="1"/>
  <c r="C460" i="1"/>
  <c r="C483" i="1"/>
  <c r="C501" i="1"/>
  <c r="C519" i="1"/>
  <c r="C540" i="1"/>
  <c r="C558" i="1"/>
  <c r="C575" i="1"/>
  <c r="C597" i="1"/>
  <c r="C615" i="1"/>
  <c r="C633" i="1"/>
  <c r="C654" i="1"/>
  <c r="C670" i="1"/>
  <c r="C687" i="1"/>
  <c r="C706" i="1"/>
  <c r="C723" i="1"/>
  <c r="C739" i="1"/>
  <c r="C759" i="1"/>
  <c r="C774" i="1"/>
  <c r="C789" i="1"/>
  <c r="C899" i="1"/>
  <c r="C962" i="1"/>
  <c r="C1010" i="1"/>
  <c r="C1040" i="1"/>
  <c r="C1073" i="1"/>
  <c r="C1103" i="1"/>
  <c r="C804" i="1"/>
  <c r="C821" i="1"/>
  <c r="C837" i="1"/>
  <c r="C852" i="1"/>
  <c r="C868" i="1"/>
  <c r="C883" i="1"/>
  <c r="C916" i="1"/>
  <c r="C931" i="1"/>
  <c r="C946" i="1"/>
  <c r="C978" i="1"/>
  <c r="C994" i="1"/>
  <c r="C1025" i="1"/>
  <c r="C1056" i="1"/>
  <c r="C1088" i="1"/>
  <c r="C1117" i="1"/>
  <c r="C22" i="1"/>
  <c r="C78" i="1"/>
  <c r="C119" i="1"/>
  <c r="C152" i="1"/>
  <c r="C188" i="1"/>
  <c r="C212" i="1"/>
  <c r="C245" i="1"/>
  <c r="C266" i="1"/>
  <c r="C295" i="1"/>
  <c r="C317" i="1"/>
  <c r="C339" i="1"/>
  <c r="C360" i="1"/>
  <c r="C379" i="1"/>
  <c r="C402" i="1"/>
  <c r="C422" i="1"/>
  <c r="C441" i="1"/>
  <c r="C463" i="1"/>
  <c r="C484" i="1"/>
  <c r="C502" i="1"/>
  <c r="C522" i="1"/>
  <c r="C542" i="1"/>
  <c r="C559" i="1"/>
  <c r="C580" i="1"/>
  <c r="C598" i="1"/>
  <c r="C617" i="1"/>
  <c r="C636" i="1"/>
  <c r="C655" i="1"/>
  <c r="C671" i="1"/>
  <c r="C690" i="1"/>
  <c r="C707" i="1"/>
  <c r="C724" i="1"/>
  <c r="C742" i="1"/>
  <c r="C760" i="1"/>
  <c r="C775" i="1"/>
  <c r="C790" i="1"/>
  <c r="C806" i="1"/>
  <c r="C823" i="1"/>
  <c r="C838" i="1"/>
  <c r="C854" i="1"/>
  <c r="C869" i="1"/>
  <c r="C884" i="1"/>
  <c r="C902" i="1"/>
  <c r="C917" i="1"/>
  <c r="C932" i="1"/>
  <c r="C947" i="1"/>
  <c r="C963" i="1"/>
  <c r="C980" i="1"/>
  <c r="C995" i="1"/>
  <c r="C1011" i="1"/>
  <c r="C1026" i="1"/>
  <c r="C1041" i="1"/>
  <c r="C1059" i="1"/>
  <c r="C1074" i="1"/>
  <c r="C1089" i="1"/>
  <c r="C1104" i="1"/>
  <c r="C1118" i="1"/>
  <c r="C1134" i="1"/>
  <c r="C1148" i="1"/>
  <c r="C1162" i="1"/>
  <c r="C1176" i="1"/>
  <c r="C1190" i="1"/>
  <c r="C1206" i="1"/>
  <c r="C1220" i="1"/>
  <c r="C1234" i="1"/>
  <c r="C1248" i="1"/>
  <c r="C1262" i="1"/>
  <c r="C1278" i="1"/>
  <c r="C1292" i="1"/>
  <c r="C1306" i="1"/>
  <c r="C1320" i="1"/>
  <c r="C1334" i="1"/>
  <c r="C1350" i="1"/>
  <c r="C1364" i="1"/>
  <c r="C1378" i="1"/>
  <c r="C1392" i="1"/>
  <c r="C1406" i="1"/>
  <c r="C1422" i="1"/>
  <c r="C1436" i="1"/>
  <c r="C23" i="1"/>
  <c r="C79" i="1"/>
  <c r="C126" i="1"/>
  <c r="C155" i="1"/>
  <c r="C190" i="1"/>
  <c r="C216" i="1"/>
  <c r="C246" i="1"/>
  <c r="C267" i="1"/>
  <c r="C296" i="1"/>
  <c r="C318" i="1"/>
  <c r="C341" i="1"/>
  <c r="C362" i="1"/>
  <c r="C380" i="1"/>
  <c r="C404" i="1"/>
  <c r="C423" i="1"/>
  <c r="C443" i="1"/>
  <c r="C466" i="1"/>
  <c r="C486" i="1"/>
  <c r="C503" i="1"/>
  <c r="C525" i="1"/>
  <c r="C543" i="1"/>
  <c r="C560" i="1"/>
  <c r="C582" i="1"/>
  <c r="C599" i="1"/>
  <c r="C618" i="1"/>
  <c r="C639" i="1"/>
  <c r="C656" i="1"/>
  <c r="C672" i="1"/>
  <c r="C692" i="1"/>
  <c r="C708" i="1"/>
  <c r="C725" i="1"/>
  <c r="C744" i="1"/>
  <c r="C761" i="1"/>
  <c r="C776" i="1"/>
  <c r="C791" i="1"/>
  <c r="C808" i="1"/>
  <c r="C824" i="1"/>
  <c r="C839" i="1"/>
  <c r="C855" i="1"/>
  <c r="C870" i="1"/>
  <c r="C886" i="1"/>
  <c r="C903" i="1"/>
  <c r="C918" i="1"/>
  <c r="C933" i="1"/>
  <c r="C948" i="1"/>
  <c r="C965" i="1"/>
  <c r="C981" i="1"/>
  <c r="C996" i="1"/>
  <c r="C1012" i="1"/>
  <c r="C1027" i="1"/>
  <c r="C1043" i="1"/>
  <c r="C1060" i="1"/>
  <c r="C1075" i="1"/>
  <c r="C1090" i="1"/>
  <c r="C1105" i="1"/>
  <c r="C1120" i="1"/>
  <c r="C1135" i="1"/>
  <c r="C1149" i="1"/>
  <c r="C1163" i="1"/>
  <c r="C1177" i="1"/>
  <c r="C1192" i="1"/>
  <c r="C1207" i="1"/>
  <c r="C1221" i="1"/>
  <c r="C1235" i="1"/>
  <c r="C1249" i="1"/>
  <c r="C1264" i="1"/>
  <c r="C1279" i="1"/>
  <c r="C1293" i="1"/>
  <c r="C1307" i="1"/>
  <c r="C1321" i="1"/>
  <c r="C1336" i="1"/>
  <c r="C1351" i="1"/>
  <c r="C1365" i="1"/>
  <c r="C1379" i="1"/>
  <c r="C1393" i="1"/>
  <c r="C1408" i="1"/>
  <c r="C1423" i="1"/>
  <c r="C1437" i="1"/>
  <c r="C26" i="1"/>
  <c r="C80" i="1"/>
  <c r="C129" i="1"/>
  <c r="C159" i="1"/>
  <c r="C191" i="1"/>
  <c r="C218" i="1"/>
  <c r="C247" i="1"/>
  <c r="C270" i="1"/>
  <c r="C298" i="1"/>
  <c r="C319" i="1"/>
  <c r="C343" i="1"/>
  <c r="C363" i="1"/>
  <c r="C381" i="1"/>
  <c r="C405" i="1"/>
  <c r="C424" i="1"/>
  <c r="C444" i="1"/>
  <c r="C467" i="1"/>
  <c r="C487" i="1"/>
  <c r="C504" i="1"/>
  <c r="C526" i="1"/>
  <c r="C544" i="1"/>
  <c r="C561" i="1"/>
  <c r="C583" i="1"/>
  <c r="C600" i="1"/>
  <c r="C619" i="1"/>
  <c r="C640" i="1"/>
  <c r="C657" i="1"/>
  <c r="C674" i="1"/>
  <c r="C693" i="1"/>
  <c r="C710" i="1"/>
  <c r="C726" i="1"/>
  <c r="C746" i="1"/>
  <c r="C762" i="1"/>
  <c r="C777" i="1"/>
  <c r="C792" i="1"/>
  <c r="C810" i="1"/>
  <c r="C825" i="1"/>
  <c r="C840" i="1"/>
  <c r="C856" i="1"/>
  <c r="C871" i="1"/>
  <c r="C888" i="1"/>
  <c r="C904" i="1"/>
  <c r="C919" i="1"/>
  <c r="C934" i="1"/>
  <c r="C950" i="1"/>
  <c r="C967" i="1"/>
  <c r="C982" i="1"/>
  <c r="C998" i="1"/>
  <c r="C1013" i="1"/>
  <c r="C1028" i="1"/>
  <c r="C1046" i="1"/>
  <c r="C1061" i="1"/>
  <c r="C1076" i="1"/>
  <c r="C1091" i="1"/>
  <c r="C1106" i="1"/>
  <c r="C1122" i="1"/>
  <c r="C1136" i="1"/>
  <c r="C1150" i="1"/>
  <c r="C1164" i="1"/>
  <c r="C1178" i="1"/>
  <c r="C1194" i="1"/>
  <c r="C1208" i="1"/>
  <c r="C1222" i="1"/>
  <c r="C1236" i="1"/>
  <c r="C1250" i="1"/>
  <c r="C1266" i="1"/>
  <c r="C1280" i="1"/>
  <c r="C1294" i="1"/>
  <c r="C1308" i="1"/>
  <c r="C1322" i="1"/>
  <c r="C1338" i="1"/>
  <c r="C1352" i="1"/>
  <c r="C1366" i="1"/>
  <c r="C1380" i="1"/>
  <c r="C1394" i="1"/>
  <c r="C1410" i="1"/>
  <c r="C1424" i="1"/>
  <c r="C1438" i="1"/>
  <c r="C44" i="1"/>
  <c r="C81" i="1"/>
  <c r="C130" i="1"/>
  <c r="C162" i="1"/>
  <c r="C192" i="1"/>
  <c r="C221" i="1"/>
  <c r="C248" i="1"/>
  <c r="C274" i="1"/>
  <c r="C300" i="1"/>
  <c r="C323" i="1"/>
  <c r="C344" i="1"/>
  <c r="C364" i="1"/>
  <c r="C387" i="1"/>
  <c r="C406" i="1"/>
  <c r="C426" i="1"/>
  <c r="C448" i="1"/>
  <c r="C468" i="1"/>
  <c r="C488" i="1"/>
  <c r="C508" i="1"/>
  <c r="C527" i="1"/>
  <c r="C545" i="1"/>
  <c r="C566" i="1"/>
  <c r="C584" i="1"/>
  <c r="C602" i="1"/>
  <c r="C622" i="1"/>
  <c r="C641" i="1"/>
  <c r="C658" i="1"/>
  <c r="C677" i="1"/>
  <c r="C694" i="1"/>
  <c r="C711" i="1"/>
  <c r="C729" i="1"/>
  <c r="C747" i="1"/>
  <c r="C763" i="1"/>
  <c r="C778" i="1"/>
  <c r="C795" i="1"/>
  <c r="C811" i="1"/>
  <c r="C826" i="1"/>
  <c r="C842" i="1"/>
  <c r="C857" i="1"/>
  <c r="C873" i="1"/>
  <c r="C890" i="1"/>
  <c r="C905" i="1"/>
  <c r="C920" i="1"/>
  <c r="C47" i="1"/>
  <c r="C147" i="1"/>
  <c r="C226" i="1"/>
  <c r="C282" i="1"/>
  <c r="C345" i="1"/>
  <c r="C391" i="1"/>
  <c r="C436" i="1"/>
  <c r="C490" i="1"/>
  <c r="C532" i="1"/>
  <c r="C585" i="1"/>
  <c r="C627" i="1"/>
  <c r="C667" i="1"/>
  <c r="C713" i="1"/>
  <c r="C751" i="1"/>
  <c r="C797" i="1"/>
  <c r="C830" i="1"/>
  <c r="C864" i="1"/>
  <c r="C907" i="1"/>
  <c r="C941" i="1"/>
  <c r="C971" i="1"/>
  <c r="C1000" i="1"/>
  <c r="C1023" i="1"/>
  <c r="C1051" i="1"/>
  <c r="C1079" i="1"/>
  <c r="C1108" i="1"/>
  <c r="C1128" i="1"/>
  <c r="C1152" i="1"/>
  <c r="C1172" i="1"/>
  <c r="C1196" i="1"/>
  <c r="C1214" i="1"/>
  <c r="C1238" i="1"/>
  <c r="C1258" i="1"/>
  <c r="C1282" i="1"/>
  <c r="C1302" i="1"/>
  <c r="C1326" i="1"/>
  <c r="C1344" i="1"/>
  <c r="C1368" i="1"/>
  <c r="C1388" i="1"/>
  <c r="C1412" i="1"/>
  <c r="C1430" i="1"/>
  <c r="C284" i="1"/>
  <c r="C533" i="1"/>
  <c r="C628" i="1"/>
  <c r="C679" i="1"/>
  <c r="C716" i="1"/>
  <c r="C752" i="1"/>
  <c r="C831" i="1"/>
  <c r="C875" i="1"/>
  <c r="C908" i="1"/>
  <c r="C942" i="1"/>
  <c r="C972" i="1"/>
  <c r="C1001" i="1"/>
  <c r="C1030" i="1"/>
  <c r="C1052" i="1"/>
  <c r="C1080" i="1"/>
  <c r="C1110" i="1"/>
  <c r="C1129" i="1"/>
  <c r="C1153" i="1"/>
  <c r="C1173" i="1"/>
  <c r="C1216" i="1"/>
  <c r="C1240" i="1"/>
  <c r="C1259" i="1"/>
  <c r="C1283" i="1"/>
  <c r="C1303" i="1"/>
  <c r="C1327" i="1"/>
  <c r="C1345" i="1"/>
  <c r="C1369" i="1"/>
  <c r="C1389" i="1"/>
  <c r="C1413" i="1"/>
  <c r="C1432" i="1"/>
  <c r="C799" i="1"/>
  <c r="C1002" i="1"/>
  <c r="C1053" i="1"/>
  <c r="C1083" i="1"/>
  <c r="C1111" i="1"/>
  <c r="C1154" i="1"/>
  <c r="C1175" i="1"/>
  <c r="C1198" i="1"/>
  <c r="C1219" i="1"/>
  <c r="C1242" i="1"/>
  <c r="C1284" i="1"/>
  <c r="C1305" i="1"/>
  <c r="C1328" i="1"/>
  <c r="C1370" i="1"/>
  <c r="C1435" i="1"/>
  <c r="C233" i="1"/>
  <c r="C303" i="1"/>
  <c r="C453" i="1"/>
  <c r="C497" i="1"/>
  <c r="C588" i="1"/>
  <c r="C681" i="1"/>
  <c r="C765" i="1"/>
  <c r="C843" i="1"/>
  <c r="C910" i="1"/>
  <c r="C952" i="1"/>
  <c r="C1004" i="1"/>
  <c r="C1062" i="1"/>
  <c r="C1085" i="1"/>
  <c r="C1137" i="1"/>
  <c r="C1156" i="1"/>
  <c r="C1199" i="1"/>
  <c r="C1223" i="1"/>
  <c r="C1243" i="1"/>
  <c r="C1285" i="1"/>
  <c r="C1309" i="1"/>
  <c r="C1353" i="1"/>
  <c r="C1372" i="1"/>
  <c r="C1396" i="1"/>
  <c r="C1415" i="1"/>
  <c r="C1398" i="1"/>
  <c r="C1440" i="1"/>
  <c r="C175" i="1"/>
  <c r="C308" i="1"/>
  <c r="C410" i="1"/>
  <c r="C512" i="1"/>
  <c r="C604" i="1"/>
  <c r="C683" i="1"/>
  <c r="C732" i="1"/>
  <c r="C845" i="1"/>
  <c r="C922" i="1"/>
  <c r="C955" i="1"/>
  <c r="C1007" i="1"/>
  <c r="C1036" i="1"/>
  <c r="C1092" i="1"/>
  <c r="C1139" i="1"/>
  <c r="C1159" i="1"/>
  <c r="C1183" i="1"/>
  <c r="C1225" i="1"/>
  <c r="C1245" i="1"/>
  <c r="C1288" i="1"/>
  <c r="C1312" i="1"/>
  <c r="C1355" i="1"/>
  <c r="C1375" i="1"/>
  <c r="C1399" i="1"/>
  <c r="C1441" i="1"/>
  <c r="C100" i="1"/>
  <c r="C194" i="1"/>
  <c r="C251" i="1"/>
  <c r="C311" i="1"/>
  <c r="C366" i="1"/>
  <c r="C411" i="1"/>
  <c r="C470" i="1"/>
  <c r="C513" i="1"/>
  <c r="C555" i="1"/>
  <c r="C646" i="1"/>
  <c r="C771" i="1"/>
  <c r="C813" i="1"/>
  <c r="C847" i="1"/>
  <c r="C891" i="1"/>
  <c r="C923" i="1"/>
  <c r="C956" i="1"/>
  <c r="C986" i="1"/>
  <c r="C48" i="1"/>
  <c r="C166" i="1"/>
  <c r="C231" i="1"/>
  <c r="C347" i="1"/>
  <c r="C392" i="1"/>
  <c r="C450" i="1"/>
  <c r="C494" i="1"/>
  <c r="C586" i="1"/>
  <c r="C798" i="1"/>
  <c r="C1197" i="1"/>
  <c r="C1348" i="1"/>
  <c r="C1414" i="1"/>
  <c r="C82" i="1"/>
  <c r="C350" i="1"/>
  <c r="C547" i="1"/>
  <c r="C719" i="1"/>
  <c r="C878" i="1"/>
  <c r="C1034" i="1"/>
  <c r="C1180" i="1"/>
  <c r="C1329" i="1"/>
  <c r="C1310" i="1"/>
  <c r="C1374" i="1"/>
  <c r="C812" i="1"/>
  <c r="C1114" i="1"/>
  <c r="C1331" i="1"/>
  <c r="C734" i="1"/>
  <c r="C55" i="1"/>
  <c r="C170" i="1"/>
  <c r="C232" i="1"/>
  <c r="C302" i="1"/>
  <c r="C348" i="1"/>
  <c r="C393" i="1"/>
  <c r="C452" i="1"/>
  <c r="C496" i="1"/>
  <c r="C546" i="1"/>
  <c r="C587" i="1"/>
  <c r="C630" i="1"/>
  <c r="C680" i="1"/>
  <c r="C718" i="1"/>
  <c r="C764" i="1"/>
  <c r="C832" i="1"/>
  <c r="C876" i="1"/>
  <c r="C909" i="1"/>
  <c r="C943" i="1"/>
  <c r="C974" i="1"/>
  <c r="C1032" i="1"/>
  <c r="C1132" i="1"/>
  <c r="C1261" i="1"/>
  <c r="C1391" i="1"/>
  <c r="C173" i="1"/>
  <c r="C407" i="1"/>
  <c r="C643" i="1"/>
  <c r="C800" i="1"/>
  <c r="C975" i="1"/>
  <c r="C1112" i="1"/>
  <c r="C1267" i="1"/>
  <c r="C1439" i="1"/>
  <c r="C1330" i="1"/>
  <c r="C1416" i="1"/>
  <c r="C99" i="1"/>
  <c r="C250" i="1"/>
  <c r="C455" i="1"/>
  <c r="C554" i="1"/>
  <c r="C768" i="1"/>
  <c r="C984" i="1"/>
  <c r="C1201" i="1"/>
  <c r="C1417" i="1"/>
  <c r="C605" i="1"/>
  <c r="C96" i="1"/>
  <c r="C174" i="1"/>
  <c r="C249" i="1"/>
  <c r="C304" i="1"/>
  <c r="C351" i="1"/>
  <c r="C408" i="1"/>
  <c r="C454" i="1"/>
  <c r="C510" i="1"/>
  <c r="C551" i="1"/>
  <c r="C591" i="1"/>
  <c r="C644" i="1"/>
  <c r="C682" i="1"/>
  <c r="C731" i="1"/>
  <c r="C766" i="1"/>
  <c r="C801" i="1"/>
  <c r="C844" i="1"/>
  <c r="C879" i="1"/>
  <c r="C921" i="1"/>
  <c r="C954" i="1"/>
  <c r="C983" i="1"/>
  <c r="C1006" i="1"/>
  <c r="C1035" i="1"/>
  <c r="C1063" i="1"/>
  <c r="C1086" i="1"/>
  <c r="C1113" i="1"/>
  <c r="C1138" i="1"/>
  <c r="C1158" i="1"/>
  <c r="C1182" i="1"/>
  <c r="C1200" i="1"/>
  <c r="C1224" i="1"/>
  <c r="C1244" i="1"/>
  <c r="C1268" i="1"/>
  <c r="C1286" i="1"/>
  <c r="C1354" i="1"/>
  <c r="C365" i="1"/>
  <c r="C645" i="1"/>
  <c r="C880" i="1"/>
  <c r="C1064" i="1"/>
  <c r="C1269" i="1"/>
  <c r="C102" i="1"/>
  <c r="C278" i="1"/>
  <c r="C390" i="1"/>
  <c r="C515" i="1"/>
  <c r="C624" i="1"/>
  <c r="C712" i="1"/>
  <c r="C815" i="1"/>
  <c r="C895" i="1"/>
  <c r="C987" i="1"/>
  <c r="C1038" i="1"/>
  <c r="C1096" i="1"/>
  <c r="C1141" i="1"/>
  <c r="C1185" i="1"/>
  <c r="C1228" i="1"/>
  <c r="C1271" i="1"/>
  <c r="C1315" i="1"/>
  <c r="C1357" i="1"/>
  <c r="C1401" i="1"/>
  <c r="C1444" i="1"/>
  <c r="C989" i="1"/>
  <c r="C1099" i="1"/>
  <c r="C1144" i="1"/>
  <c r="C1187" i="1"/>
  <c r="C1273" i="1"/>
  <c r="C1317" i="1"/>
  <c r="C1360" i="1"/>
  <c r="C1403" i="1"/>
  <c r="C429" i="1"/>
  <c r="C659" i="1"/>
  <c r="C828" i="1"/>
  <c r="C991" i="1"/>
  <c r="C1100" i="1"/>
  <c r="C1189" i="1"/>
  <c r="C1319" i="1"/>
  <c r="C1405" i="1"/>
  <c r="C141" i="1"/>
  <c r="C568" i="1"/>
  <c r="C849" i="1"/>
  <c r="C1050" i="1"/>
  <c r="C1195" i="1"/>
  <c r="C1324" i="1"/>
  <c r="C936" i="1"/>
  <c r="C1161" i="1"/>
  <c r="C1291" i="1"/>
  <c r="C1420" i="1"/>
  <c r="C330" i="1"/>
  <c r="C666" i="1"/>
  <c r="C939" i="1"/>
  <c r="C1123" i="1"/>
  <c r="C1252" i="1"/>
  <c r="C1381" i="1"/>
  <c r="C473" i="1"/>
  <c r="C782" i="1"/>
  <c r="C1067" i="1"/>
  <c r="C1210" i="1"/>
  <c r="C1340" i="1"/>
  <c r="C863" i="1"/>
  <c r="C1168" i="1"/>
  <c r="C1297" i="1"/>
  <c r="C1427" i="1"/>
  <c r="C375" i="1"/>
  <c r="C699" i="1"/>
  <c r="C969" i="1"/>
  <c r="C1171" i="1"/>
  <c r="C1300" i="1"/>
  <c r="C261" i="1"/>
  <c r="C814" i="1"/>
  <c r="C1184" i="1"/>
  <c r="C1442" i="1"/>
  <c r="C131" i="1"/>
  <c r="C279" i="1"/>
  <c r="C413" i="1"/>
  <c r="C528" i="1"/>
  <c r="C626" i="1"/>
  <c r="C735" i="1"/>
  <c r="C816" i="1"/>
  <c r="C906" i="1"/>
  <c r="C988" i="1"/>
  <c r="C1047" i="1"/>
  <c r="C1098" i="1"/>
  <c r="C1142" i="1"/>
  <c r="C1186" i="1"/>
  <c r="C1230" i="1"/>
  <c r="C1272" i="1"/>
  <c r="C1316" i="1"/>
  <c r="C1358" i="1"/>
  <c r="C1402" i="1"/>
  <c r="C1446" i="1"/>
  <c r="C134" i="1"/>
  <c r="C531" i="1"/>
  <c r="C748" i="1"/>
  <c r="C928" i="1"/>
  <c r="C1049" i="1"/>
  <c r="C1147" i="1"/>
  <c r="C1276" i="1"/>
  <c r="C1363" i="1"/>
  <c r="C432" i="1"/>
  <c r="C749" i="1"/>
  <c r="C999" i="1"/>
  <c r="C1151" i="1"/>
  <c r="C1237" i="1"/>
  <c r="C1367" i="1"/>
  <c r="C195" i="1"/>
  <c r="C750" i="1"/>
  <c r="C1065" i="1"/>
  <c r="C1204" i="1"/>
  <c r="C1333" i="1"/>
  <c r="C196" i="1"/>
  <c r="C570" i="1"/>
  <c r="C860" i="1"/>
  <c r="C1066" i="1"/>
  <c r="C1209" i="1"/>
  <c r="C1339" i="1"/>
  <c r="C331" i="1"/>
  <c r="C695" i="1"/>
  <c r="C957" i="1"/>
  <c r="C1124" i="1"/>
  <c r="C1254" i="1"/>
  <c r="C1382" i="1"/>
  <c r="C207" i="1"/>
  <c r="C474" i="1"/>
  <c r="C696" i="1"/>
  <c r="C958" i="1"/>
  <c r="C1070" i="1"/>
  <c r="C1211" i="1"/>
  <c r="C1341" i="1"/>
  <c r="C258" i="1"/>
  <c r="C610" i="1"/>
  <c r="C893" i="1"/>
  <c r="C1078" i="1"/>
  <c r="C1257" i="1"/>
  <c r="C1429" i="1"/>
  <c r="C46" i="1"/>
  <c r="C611" i="1"/>
  <c r="C1037" i="1"/>
  <c r="C1270" i="1"/>
  <c r="C132" i="1"/>
  <c r="C280" i="1"/>
  <c r="C427" i="1"/>
  <c r="C530" i="1"/>
  <c r="C647" i="1"/>
  <c r="C736" i="1"/>
  <c r="C827" i="1"/>
  <c r="C926" i="1"/>
  <c r="C1048" i="1"/>
  <c r="C1231" i="1"/>
  <c r="C326" i="1"/>
  <c r="C1233" i="1"/>
  <c r="C327" i="1"/>
  <c r="C660" i="1"/>
  <c r="C935" i="1"/>
  <c r="C1101" i="1"/>
  <c r="C1281" i="1"/>
  <c r="C1411" i="1"/>
  <c r="C329" i="1"/>
  <c r="C435" i="1"/>
  <c r="C569" i="1"/>
  <c r="C664" i="1"/>
  <c r="C858" i="1"/>
  <c r="C1014" i="1"/>
  <c r="C1115" i="1"/>
  <c r="C1247" i="1"/>
  <c r="C1377" i="1"/>
  <c r="C472" i="1"/>
  <c r="C779" i="1"/>
  <c r="C1015" i="1"/>
  <c r="C1165" i="1"/>
  <c r="C1295" i="1"/>
  <c r="C1425" i="1"/>
  <c r="C203" i="1"/>
  <c r="C571" i="1"/>
  <c r="C862" i="1"/>
  <c r="C1017" i="1"/>
  <c r="C1166" i="1"/>
  <c r="C1296" i="1"/>
  <c r="C1426" i="1"/>
  <c r="C369" i="1"/>
  <c r="C572" i="1"/>
  <c r="C784" i="1"/>
  <c r="C1019" i="1"/>
  <c r="C1125" i="1"/>
  <c r="C1255" i="1"/>
  <c r="C1384" i="1"/>
  <c r="C45" i="1"/>
  <c r="C489" i="1"/>
  <c r="C786" i="1"/>
  <c r="C1022" i="1"/>
  <c r="C1213" i="1"/>
  <c r="C1343" i="1"/>
  <c r="C514" i="1"/>
  <c r="C970" i="1"/>
  <c r="C1226" i="1"/>
  <c r="C8" i="1"/>
  <c r="C224" i="1"/>
  <c r="C374" i="1"/>
  <c r="C475" i="1"/>
  <c r="C608" i="1"/>
  <c r="C698" i="1"/>
  <c r="C785" i="1"/>
  <c r="C892" i="1"/>
  <c r="C968" i="1"/>
  <c r="C1020" i="1"/>
  <c r="C1077" i="1"/>
  <c r="C1126" i="1"/>
  <c r="C1170" i="1"/>
  <c r="C1212" i="1"/>
  <c r="C1256" i="1"/>
  <c r="C1298" i="1"/>
  <c r="C1342" i="1"/>
  <c r="C1386" i="1"/>
  <c r="C1428" i="1"/>
  <c r="C1127" i="1"/>
  <c r="C1387" i="1"/>
  <c r="C389" i="1"/>
  <c r="C700" i="1"/>
  <c r="C894" i="1"/>
  <c r="C1094" i="1"/>
  <c r="C1140" i="1"/>
  <c r="C1314" i="1"/>
  <c r="C1356" i="1"/>
  <c r="C1400" i="1"/>
  <c r="F24" i="1"/>
  <c r="F14" i="1"/>
  <c r="F12" i="1"/>
  <c r="G12" i="1"/>
  <c r="F11" i="1"/>
  <c r="G32" i="1"/>
  <c r="G31" i="1"/>
  <c r="G30" i="1"/>
  <c r="G29" i="1"/>
  <c r="G28" i="1"/>
  <c r="G27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1" i="1"/>
  <c r="G10" i="1"/>
  <c r="G9" i="1"/>
  <c r="G8" i="1"/>
  <c r="G7" i="1"/>
  <c r="G6" i="1"/>
  <c r="G5" i="1"/>
  <c r="G4" i="1"/>
  <c r="F32" i="1"/>
  <c r="F31" i="1"/>
  <c r="F30" i="1"/>
  <c r="F29" i="1"/>
  <c r="F28" i="1"/>
  <c r="F27" i="1"/>
  <c r="F26" i="1"/>
  <c r="F25" i="1"/>
  <c r="F23" i="1"/>
  <c r="F22" i="1"/>
  <c r="F21" i="1"/>
  <c r="F20" i="1"/>
  <c r="F19" i="1"/>
  <c r="F18" i="1"/>
  <c r="F17" i="1"/>
  <c r="F16" i="1"/>
  <c r="F15" i="1"/>
  <c r="F13" i="1"/>
  <c r="F10" i="1"/>
  <c r="F9" i="1"/>
  <c r="F8" i="1"/>
  <c r="F7" i="1"/>
  <c r="F6" i="1"/>
  <c r="F5" i="1"/>
  <c r="F4" i="1"/>
  <c r="K3" i="1"/>
  <c r="P8" i="1" s="1"/>
  <c r="J3" i="1"/>
  <c r="P7" i="1" s="1"/>
  <c r="G3" i="1"/>
  <c r="F3" i="1"/>
  <c r="C2" i="1"/>
  <c r="I12" i="1" l="1"/>
  <c r="N9" i="1"/>
  <c r="N7" i="1"/>
  <c r="H9" i="1" s="1"/>
  <c r="I3" i="1"/>
  <c r="N8" i="1"/>
  <c r="I15" i="1" s="1"/>
  <c r="I24" i="1"/>
  <c r="I19" i="1"/>
  <c r="I27" i="1"/>
  <c r="I14" i="1"/>
  <c r="I31" i="1"/>
  <c r="I6" i="1"/>
  <c r="I21" i="1"/>
  <c r="I29" i="1"/>
  <c r="I17" i="1"/>
  <c r="I7" i="1"/>
  <c r="I22" i="1"/>
  <c r="I8" i="1"/>
  <c r="I23" i="1"/>
  <c r="I9" i="1"/>
  <c r="I25" i="1"/>
  <c r="D2" i="1"/>
  <c r="H3" i="1" l="1"/>
  <c r="I30" i="1"/>
  <c r="I32" i="1"/>
  <c r="I20" i="1"/>
  <c r="I13" i="1"/>
  <c r="I18" i="1"/>
  <c r="I4" i="1"/>
  <c r="I26" i="1"/>
  <c r="I28" i="1"/>
  <c r="I10" i="1"/>
  <c r="I16" i="1"/>
  <c r="I11" i="1"/>
  <c r="I5" i="1"/>
  <c r="H12" i="1"/>
  <c r="H13" i="1"/>
  <c r="H30" i="1"/>
  <c r="H27" i="1"/>
  <c r="H18" i="1"/>
  <c r="H21" i="1"/>
  <c r="H24" i="1"/>
  <c r="H7" i="1"/>
  <c r="H4" i="1"/>
  <c r="H14" i="1"/>
  <c r="H17" i="1"/>
  <c r="H5" i="1"/>
  <c r="H32" i="1"/>
  <c r="H23" i="1"/>
  <c r="H20" i="1"/>
  <c r="H11" i="1"/>
  <c r="H28" i="1"/>
  <c r="H6" i="1"/>
  <c r="H19" i="1"/>
  <c r="H26" i="1"/>
  <c r="H31" i="1"/>
  <c r="H22" i="1"/>
  <c r="H29" i="1"/>
  <c r="H25" i="1"/>
  <c r="H8" i="1"/>
  <c r="H10" i="1"/>
  <c r="H16" i="1"/>
  <c r="H15" i="1"/>
</calcChain>
</file>

<file path=xl/sharedStrings.xml><?xml version="1.0" encoding="utf-8"?>
<sst xmlns="http://schemas.openxmlformats.org/spreadsheetml/2006/main" count="55" uniqueCount="41">
  <si>
    <t>Orario</t>
  </si>
  <si>
    <t>Roma Collegio Romano CREA - Temperatura Aria - 76607 (°C)</t>
  </si>
  <si>
    <t>giorno</t>
  </si>
  <si>
    <t xml:space="preserve">Media Giornaliera </t>
  </si>
  <si>
    <t>Totale Giornaliero</t>
  </si>
  <si>
    <t>Valore Max</t>
  </si>
  <si>
    <t>Valore Min</t>
  </si>
  <si>
    <t>Media Mensile</t>
  </si>
  <si>
    <t>Temperature su singolo rilevamento</t>
  </si>
  <si>
    <t>MAX</t>
  </si>
  <si>
    <r>
      <rPr>
        <b/>
        <sz val="11"/>
        <color theme="1"/>
        <rFont val="Aptos Narrow"/>
        <family val="2"/>
        <scheme val="minor"/>
      </rPr>
      <t xml:space="preserve">giorno/ora </t>
    </r>
    <r>
      <rPr>
        <b/>
        <sz val="11"/>
        <color theme="3" tint="0.249977111117893"/>
        <rFont val="Aptos Narrow"/>
        <family val="2"/>
        <scheme val="minor"/>
      </rPr>
      <t>MAX</t>
    </r>
  </si>
  <si>
    <t>MIN</t>
  </si>
  <si>
    <r>
      <t xml:space="preserve">giorno/ora </t>
    </r>
    <r>
      <rPr>
        <b/>
        <sz val="11"/>
        <color rgb="FFC00000"/>
        <rFont val="Aptos Narrow"/>
        <family val="2"/>
        <scheme val="minor"/>
      </rPr>
      <t>MIN</t>
    </r>
  </si>
  <si>
    <t>Temperatura</t>
  </si>
  <si>
    <r>
      <rPr>
        <sz val="9"/>
        <color theme="1"/>
        <rFont val="Aptos Narrow"/>
        <family val="2"/>
        <scheme val="minor"/>
      </rPr>
      <t xml:space="preserve">Giorno
</t>
    </r>
    <r>
      <rPr>
        <b/>
        <sz val="10"/>
        <color theme="1"/>
        <rFont val="Aptos Narrow"/>
        <family val="2"/>
        <scheme val="minor"/>
      </rPr>
      <t xml:space="preserve"> Tmax (Txx)</t>
    </r>
  </si>
  <si>
    <r>
      <rPr>
        <sz val="9"/>
        <color theme="1"/>
        <rFont val="Aptos Narrow"/>
        <family val="2"/>
        <scheme val="minor"/>
      </rPr>
      <t xml:space="preserve">Giorno
</t>
    </r>
    <r>
      <rPr>
        <b/>
        <sz val="10"/>
        <color theme="1"/>
        <rFont val="Aptos Narrow"/>
        <family val="2"/>
        <scheme val="minor"/>
      </rPr>
      <t xml:space="preserve"> Tmin (Tnn)</t>
    </r>
  </si>
  <si>
    <r>
      <t xml:space="preserve">MAX </t>
    </r>
    <r>
      <rPr>
        <sz val="9"/>
        <color theme="1"/>
        <rFont val="Aptos Narrow"/>
        <family val="2"/>
        <scheme val="minor"/>
      </rPr>
      <t xml:space="preserve">Gionaliero 
</t>
    </r>
    <r>
      <rPr>
        <b/>
        <sz val="10"/>
        <color theme="1"/>
        <rFont val="Aptos Narrow"/>
        <family val="2"/>
        <scheme val="minor"/>
      </rPr>
      <t>(Txx)</t>
    </r>
  </si>
  <si>
    <r>
      <t xml:space="preserve">Min </t>
    </r>
    <r>
      <rPr>
        <sz val="9"/>
        <color theme="1"/>
        <rFont val="Aptos Narrow"/>
        <family val="2"/>
        <scheme val="minor"/>
      </rPr>
      <t xml:space="preserve">Giornaliero
</t>
    </r>
    <r>
      <rPr>
        <b/>
        <sz val="10"/>
        <color theme="1"/>
        <rFont val="Aptos Narrow"/>
        <family val="2"/>
        <scheme val="minor"/>
      </rPr>
      <t xml:space="preserve">  (Tnn)</t>
    </r>
  </si>
  <si>
    <t>Min Temperatura</t>
  </si>
  <si>
    <t>Max Temperatura</t>
  </si>
  <si>
    <t>TEMPERATURA</t>
  </si>
  <si>
    <r>
      <rPr>
        <b/>
        <sz val="11"/>
        <color theme="1"/>
        <rFont val="Aptos Narrow"/>
        <family val="2"/>
        <scheme val="minor"/>
      </rPr>
      <t>SETTEMBRE</t>
    </r>
    <r>
      <rPr>
        <sz val="11"/>
        <color theme="1"/>
        <rFont val="Aptos Narrow"/>
        <family val="2"/>
        <scheme val="minor"/>
      </rPr>
      <t>_2024-Roma Collegio Romano CREA
Temperatura Aria - 76607 (°C)</t>
    </r>
  </si>
  <si>
    <t>Su MEDIA dei valori giornalieri</t>
  </si>
  <si>
    <t>Etichette di riga</t>
  </si>
  <si>
    <t>0</t>
  </si>
  <si>
    <t>Totale complessivo</t>
  </si>
  <si>
    <r>
      <rPr>
        <b/>
        <sz val="11"/>
        <color theme="1"/>
        <rFont val="Aptos Narrow"/>
        <family val="2"/>
        <scheme val="minor"/>
      </rPr>
      <t>(TMx °C)</t>
    </r>
    <r>
      <rPr>
        <sz val="11"/>
        <color theme="1"/>
        <rFont val="Aptos Narrow"/>
        <family val="2"/>
        <scheme val="minor"/>
      </rPr>
      <t xml:space="preserve"> media dei massimi giornalieri</t>
    </r>
  </si>
  <si>
    <r>
      <rPr>
        <b/>
        <sz val="11"/>
        <color theme="1"/>
        <rFont val="Aptos Narrow"/>
        <family val="2"/>
        <scheme val="minor"/>
      </rPr>
      <t xml:space="preserve">(TMn °C) </t>
    </r>
    <r>
      <rPr>
        <sz val="11"/>
        <color theme="1"/>
        <rFont val="Aptos Narrow"/>
        <family val="2"/>
        <scheme val="minor"/>
      </rPr>
      <t>media dei minimi giornalieri</t>
    </r>
  </si>
  <si>
    <t>SETTEMBRE_2024-Roma Collegio Romano CREA
Temperatura Aria - 76607 (°C)</t>
  </si>
  <si>
    <t>(TMx °C) media dei massimi giornalieri</t>
  </si>
  <si>
    <t>(TMn °C) media dei minimi giornalieri</t>
  </si>
  <si>
    <t>giorno/ora MAX</t>
  </si>
  <si>
    <t>giorno/ora MIN</t>
  </si>
  <si>
    <t>GG/Orario</t>
  </si>
  <si>
    <t>Roma Collegio Romano CREA
 - Temperatura Aria - 76607 (°C)</t>
  </si>
  <si>
    <t>Estreme su GG</t>
  </si>
  <si>
    <t>GG</t>
  </si>
  <si>
    <t>Media GG</t>
  </si>
  <si>
    <t>Totale GG</t>
  </si>
  <si>
    <t>DAY Tmax</t>
  </si>
  <si>
    <t>DAY Tmin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</si>
</sst>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0]d\-mmm;@"/>
    <numFmt numFmtId="165" formatCode="0.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b/>
      <sz val="12"/>
      <color theme="3" tint="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11"/>
      <color theme="5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0" fillId="0" borderId="10" xfId="0" applyNumberFormat="1" applyBorder="1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22" fontId="0" fillId="0" borderId="0" xfId="0" applyNumberFormat="1"/>
    <xf numFmtId="165" fontId="18" fillId="33" borderId="11" xfId="0" applyNumberFormat="1" applyFont="1" applyFill="1" applyBorder="1" applyAlignment="1">
      <alignment horizontal="center" vertical="center"/>
    </xf>
    <xf numFmtId="164" fontId="0" fillId="0" borderId="10" xfId="0" applyNumberFormat="1" applyBorder="1"/>
    <xf numFmtId="165" fontId="0" fillId="0" borderId="10" xfId="0" applyNumberFormat="1" applyBorder="1" applyAlignment="1">
      <alignment horizontal="center"/>
    </xf>
    <xf numFmtId="164" fontId="19" fillId="0" borderId="10" xfId="0" applyNumberFormat="1" applyFont="1" applyBorder="1"/>
    <xf numFmtId="165" fontId="0" fillId="0" borderId="10" xfId="0" applyNumberFormat="1" applyBorder="1" applyAlignment="1">
      <alignment horizontal="center" vertical="center"/>
    </xf>
    <xf numFmtId="164" fontId="0" fillId="0" borderId="18" xfId="0" applyNumberFormat="1" applyBorder="1"/>
    <xf numFmtId="165" fontId="0" fillId="0" borderId="18" xfId="0" applyNumberFormat="1" applyBorder="1" applyAlignment="1">
      <alignment horizontal="center"/>
    </xf>
    <xf numFmtId="164" fontId="0" fillId="36" borderId="10" xfId="0" applyNumberFormat="1" applyFill="1" applyBorder="1"/>
    <xf numFmtId="165" fontId="0" fillId="36" borderId="10" xfId="0" applyNumberFormat="1" applyFill="1" applyBorder="1" applyAlignment="1">
      <alignment horizontal="center"/>
    </xf>
    <xf numFmtId="164" fontId="19" fillId="35" borderId="10" xfId="0" applyNumberFormat="1" applyFont="1" applyFill="1" applyBorder="1"/>
    <xf numFmtId="164" fontId="20" fillId="0" borderId="10" xfId="0" applyNumberFormat="1" applyFont="1" applyBorder="1" applyAlignment="1">
      <alignment horizontal="center"/>
    </xf>
    <xf numFmtId="22" fontId="0" fillId="0" borderId="10" xfId="0" applyNumberFormat="1" applyBorder="1"/>
    <xf numFmtId="164" fontId="22" fillId="0" borderId="10" xfId="0" applyNumberFormat="1" applyFont="1" applyBorder="1" applyAlignment="1">
      <alignment horizontal="center"/>
    </xf>
    <xf numFmtId="165" fontId="23" fillId="0" borderId="19" xfId="0" applyNumberFormat="1" applyFont="1" applyBorder="1" applyAlignment="1">
      <alignment horizontal="center"/>
    </xf>
    <xf numFmtId="164" fontId="19" fillId="0" borderId="0" xfId="0" applyNumberFormat="1" applyFont="1"/>
    <xf numFmtId="165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5" fillId="34" borderId="18" xfId="0" applyFont="1" applyFill="1" applyBorder="1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0" fillId="0" borderId="0" xfId="0" applyNumberFormat="1" applyAlignment="1">
      <alignment horizontal="left"/>
    </xf>
    <xf numFmtId="165" fontId="21" fillId="0" borderId="19" xfId="0" applyNumberFormat="1" applyFont="1" applyBorder="1" applyAlignment="1">
      <alignment horizontal="center"/>
    </xf>
    <xf numFmtId="0" fontId="20" fillId="35" borderId="11" xfId="0" applyFont="1" applyFill="1" applyBorder="1" applyAlignment="1">
      <alignment horizontal="center"/>
    </xf>
    <xf numFmtId="22" fontId="16" fillId="35" borderId="11" xfId="0" applyNumberFormat="1" applyFont="1" applyFill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64" fontId="0" fillId="0" borderId="21" xfId="0" applyNumberFormat="1" applyBorder="1"/>
    <xf numFmtId="2" fontId="0" fillId="0" borderId="22" xfId="0" applyNumberFormat="1" applyBorder="1" applyAlignment="1">
      <alignment horizontal="center"/>
    </xf>
    <xf numFmtId="164" fontId="0" fillId="0" borderId="23" xfId="0" applyNumberFormat="1" applyBorder="1"/>
    <xf numFmtId="165" fontId="19" fillId="35" borderId="10" xfId="0" applyNumberFormat="1" applyFont="1" applyFill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/>
    </xf>
    <xf numFmtId="164" fontId="16" fillId="0" borderId="10" xfId="0" applyNumberFormat="1" applyFont="1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16" fillId="0" borderId="14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16" fillId="35" borderId="16" xfId="0" applyFont="1" applyFill="1" applyBorder="1" applyAlignment="1">
      <alignment horizontal="center"/>
    </xf>
    <xf numFmtId="0" fontId="16" fillId="35" borderId="17" xfId="0" applyFont="1" applyFill="1" applyBorder="1" applyAlignment="1">
      <alignment horizontal="center"/>
    </xf>
    <xf numFmtId="0" fontId="16" fillId="0" borderId="10" xfId="0" applyFont="1" applyBorder="1"/>
    <xf numFmtId="0" fontId="28" fillId="0" borderId="10" xfId="0" applyFont="1" applyBorder="1" applyAlignment="1">
      <alignment horizontal="center" wrapText="1"/>
    </xf>
    <xf numFmtId="0" fontId="28" fillId="0" borderId="0" xfId="0" applyFont="1" applyBorder="1" applyAlignment="1">
      <alignment horizontal="center" wrapText="1"/>
    </xf>
    <xf numFmtId="2" fontId="0" fillId="0" borderId="0" xfId="0" applyNumberFormat="1"/>
    <xf numFmtId="165" fontId="29" fillId="0" borderId="10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165" fontId="27" fillId="33" borderId="11" xfId="0" applyNumberFormat="1" applyFont="1" applyFill="1" applyBorder="1" applyAlignment="1">
      <alignment horizontal="center" vertical="center"/>
    </xf>
    <xf numFmtId="0" fontId="27" fillId="34" borderId="10" xfId="0" applyFont="1" applyFill="1" applyBorder="1" applyAlignment="1">
      <alignment horizontal="center"/>
    </xf>
    <xf numFmtId="0" fontId="0" fillId="0" borderId="10" xfId="0" applyBorder="1"/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2" fontId="16" fillId="36" borderId="10" xfId="0" applyNumberFormat="1" applyFont="1" applyFill="1" applyBorder="1" applyAlignment="1">
      <alignment horizontal="center"/>
    </xf>
    <xf numFmtId="0" fontId="16" fillId="35" borderId="24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20" fillId="0" borderId="18" xfId="0" applyNumberFormat="1" applyFont="1" applyBorder="1" applyAlignment="1">
      <alignment horizontal="center"/>
    </xf>
    <xf numFmtId="0" fontId="20" fillId="35" borderId="18" xfId="0" applyFont="1" applyFill="1" applyBorder="1" applyAlignment="1">
      <alignment horizontal="center"/>
    </xf>
    <xf numFmtId="164" fontId="30" fillId="0" borderId="18" xfId="0" applyNumberFormat="1" applyFont="1" applyBorder="1" applyAlignment="1">
      <alignment horizontal="center"/>
    </xf>
    <xf numFmtId="22" fontId="30" fillId="35" borderId="18" xfId="0" applyNumberFormat="1" applyFont="1" applyFill="1" applyBorder="1" applyAlignment="1">
      <alignment horizontal="center"/>
    </xf>
    <xf numFmtId="164" fontId="20" fillId="0" borderId="0" xfId="0" applyNumberFormat="1" applyFont="1" applyAlignment="1">
      <alignment horizontal="center"/>
    </xf>
    <xf numFmtId="164" fontId="30" fillId="0" borderId="0" xfId="0" applyNumberFormat="1" applyFont="1" applyAlignment="1">
      <alignment horizontal="center"/>
    </xf>
    <xf numFmtId="165" fontId="21" fillId="0" borderId="10" xfId="0" applyNumberFormat="1" applyFont="1" applyBorder="1" applyAlignment="1">
      <alignment horizontal="center"/>
    </xf>
    <xf numFmtId="22" fontId="25" fillId="0" borderId="10" xfId="0" applyNumberFormat="1" applyFont="1" applyBorder="1"/>
    <xf numFmtId="0" fontId="26" fillId="0" borderId="0" xfId="0" applyFont="1"/>
    <xf numFmtId="165" fontId="30" fillId="0" borderId="10" xfId="0" applyNumberFormat="1" applyFont="1" applyBorder="1" applyAlignment="1">
      <alignment horizontal="center" vertical="center"/>
    </xf>
    <xf numFmtId="165" fontId="21" fillId="0" borderId="0" xfId="0" applyNumberFormat="1" applyFont="1" applyAlignment="1">
      <alignment horizontal="center"/>
    </xf>
    <xf numFmtId="165" fontId="30" fillId="0" borderId="0" xfId="0" applyNumberFormat="1" applyFont="1" applyAlignment="1">
      <alignment horizontal="center" vertical="center"/>
    </xf>
    <xf numFmtId="165" fontId="31" fillId="0" borderId="10" xfId="0" applyNumberFormat="1" applyFont="1" applyBorder="1" applyAlignment="1">
      <alignment horizontal="center"/>
    </xf>
    <xf numFmtId="165" fontId="30" fillId="0" borderId="10" xfId="0" applyNumberFormat="1" applyFont="1" applyBorder="1" applyAlignment="1">
      <alignment horizontal="center"/>
    </xf>
    <xf numFmtId="0" fontId="31" fillId="0" borderId="10" xfId="0" applyFont="1" applyBorder="1"/>
    <xf numFmtId="0" fontId="32" fillId="0" borderId="10" xfId="0" applyFont="1" applyBorder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ella Brandini  (CREA-UG4)" refreshedDate="46106.528348263892" createdVersion="8" refreshedVersion="8" minRefreshableVersion="3" recordCount="1445" xr:uid="{6E9A241E-724C-4DB3-A0B4-0E058ADE6C1E}">
  <cacheSource type="worksheet">
    <worksheetSource ref="C1:C1446" sheet="Roma Collegio Romano CREA - Tem"/>
  </cacheSource>
  <cacheFields count="1">
    <cacheField name="Min Temperatura" numFmtId="22">
      <sharedItems containsDate="1" containsMixedTypes="1" minDate="2024-09-14T05:00:00" maxDate="2024-09-14T05:00:00" count="2">
        <s v="0"/>
        <d v="2024-09-14T05:00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sella Brandini  (CREA-UG4)" refreshedDate="46106.528696990739" createdVersion="8" refreshedVersion="8" minRefreshableVersion="3" recordCount="1445" xr:uid="{13E7A0C6-55F9-4B5E-89AE-E4352ADD9EFD}">
  <cacheSource type="worksheet">
    <worksheetSource ref="D1:D1446" sheet="Roma Collegio Romano CREA - Tem"/>
  </cacheSource>
  <cacheFields count="1">
    <cacheField name="Max Temperatura" numFmtId="22">
      <sharedItems containsDate="1" containsMixedTypes="1" minDate="2024-09-08T13:30:00" maxDate="2024-09-08T13:30:00" count="2">
        <s v="0"/>
        <d v="2024-09-08T13:30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5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5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43A20-46E2-4018-8D7D-15E3DA6FCD40}" name="Tabella pivot2" cacheId="146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C3:C6" firstHeaderRow="1" firstDataRow="1" firstDataCol="1"/>
  <pivotFields count="1">
    <pivotField axis="axisRow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8CA401-0DB3-4CC9-853D-F7D44974663B}" name="Tabella pivot1" cacheId="145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A6" firstHeaderRow="1" firstDataRow="1" firstDataCol="1"/>
  <pivotFields count="1">
    <pivotField axis="axisRow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CA20-68F9-4327-87C1-6D95150C7533}">
  <dimension ref="A2:C6"/>
  <sheetViews>
    <sheetView workbookViewId="0">
      <selection activeCell="I11" sqref="I11"/>
    </sheetView>
  </sheetViews>
  <sheetFormatPr defaultRowHeight="14.4" x14ac:dyDescent="0.3"/>
  <cols>
    <col min="1" max="1" width="17.21875" bestFit="1" customWidth="1"/>
    <col min="3" max="3" width="17.21875" bestFit="1" customWidth="1"/>
  </cols>
  <sheetData>
    <row r="2" spans="1:3" x14ac:dyDescent="0.3">
      <c r="A2" s="4" t="s">
        <v>18</v>
      </c>
      <c r="C2" s="4" t="s">
        <v>19</v>
      </c>
    </row>
    <row r="3" spans="1:3" x14ac:dyDescent="0.3">
      <c r="A3" s="27" t="s">
        <v>23</v>
      </c>
      <c r="C3" s="27" t="s">
        <v>23</v>
      </c>
    </row>
    <row r="4" spans="1:3" x14ac:dyDescent="0.3">
      <c r="A4" s="28" t="s">
        <v>24</v>
      </c>
      <c r="C4" s="28" t="s">
        <v>24</v>
      </c>
    </row>
    <row r="5" spans="1:3" x14ac:dyDescent="0.3">
      <c r="A5" s="29">
        <v>45549.208333333336</v>
      </c>
      <c r="C5" s="29">
        <v>45543.5625</v>
      </c>
    </row>
    <row r="6" spans="1:3" x14ac:dyDescent="0.3">
      <c r="A6" s="28" t="s">
        <v>25</v>
      </c>
      <c r="C6" s="28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091BE-079C-41BD-93B7-90B51F37E676}">
  <dimension ref="A1:Q1491"/>
  <sheetViews>
    <sheetView zoomScale="80" zoomScaleNormal="80" workbookViewId="0">
      <selection activeCell="N27" sqref="N27"/>
    </sheetView>
  </sheetViews>
  <sheetFormatPr defaultRowHeight="14.4" x14ac:dyDescent="0.3"/>
  <cols>
    <col min="1" max="1" width="17.33203125" style="2" customWidth="1"/>
    <col min="2" max="2" width="28.77734375" style="1" customWidth="1"/>
    <col min="3" max="3" width="2.88671875" style="7" customWidth="1"/>
    <col min="4" max="4" width="3.109375" style="7" customWidth="1"/>
    <col min="5" max="5" width="9.109375" customWidth="1"/>
    <col min="6" max="6" width="18.109375" bestFit="1" customWidth="1"/>
    <col min="7" max="7" width="17.5546875" bestFit="1" customWidth="1"/>
    <col min="8" max="8" width="9.5546875" bestFit="1" customWidth="1"/>
    <col min="9" max="9" width="9.33203125" bestFit="1" customWidth="1"/>
    <col min="13" max="13" width="16.6640625" customWidth="1"/>
    <col min="14" max="14" width="16.6640625" bestFit="1" customWidth="1"/>
    <col min="17" max="17" width="15.33203125" bestFit="1" customWidth="1"/>
  </cols>
  <sheetData>
    <row r="1" spans="1:17" x14ac:dyDescent="0.3">
      <c r="A1" s="2" t="s">
        <v>0</v>
      </c>
      <c r="B1" s="1" t="s">
        <v>1</v>
      </c>
      <c r="C1" s="4" t="s">
        <v>18</v>
      </c>
      <c r="D1" s="4" t="s">
        <v>19</v>
      </c>
      <c r="E1" s="5"/>
      <c r="F1" s="38" t="s">
        <v>13</v>
      </c>
      <c r="G1" s="38"/>
      <c r="H1" s="39" t="s">
        <v>13</v>
      </c>
      <c r="I1" s="39"/>
      <c r="J1" s="39"/>
      <c r="K1" s="39"/>
    </row>
    <row r="2" spans="1:17" ht="37.799999999999997" x14ac:dyDescent="0.3">
      <c r="A2" s="3">
        <v>45536</v>
      </c>
      <c r="B2" s="1">
        <v>27.3</v>
      </c>
      <c r="C2" s="7" t="str">
        <f>IF(B2=$P$13,A2,"0")</f>
        <v>0</v>
      </c>
      <c r="D2" s="7" t="str">
        <f>IF(B2=$M$13,A2,"0")</f>
        <v>0</v>
      </c>
      <c r="E2" s="5" t="s">
        <v>2</v>
      </c>
      <c r="F2" s="8" t="s">
        <v>3</v>
      </c>
      <c r="G2" s="8" t="s">
        <v>4</v>
      </c>
      <c r="H2" s="26" t="s">
        <v>14</v>
      </c>
      <c r="I2" s="26" t="s">
        <v>15</v>
      </c>
      <c r="J2" s="26" t="s">
        <v>16</v>
      </c>
      <c r="K2" s="26" t="s">
        <v>17</v>
      </c>
    </row>
    <row r="3" spans="1:17" ht="15" thickBot="1" x14ac:dyDescent="0.35">
      <c r="A3" s="3">
        <v>45536.020833333336</v>
      </c>
      <c r="B3" s="1">
        <v>26.3</v>
      </c>
      <c r="C3" s="7" t="str">
        <f t="shared" ref="C3:C66" si="0">IF(B3=$P$13,A3,"0")</f>
        <v>0</v>
      </c>
      <c r="D3" s="7" t="str">
        <f t="shared" ref="D3:D66" si="1">IF(B3=$M$13,A3,"0")</f>
        <v>0</v>
      </c>
      <c r="E3" s="9">
        <v>45536</v>
      </c>
      <c r="F3" s="10">
        <f>AVERAGEA(B2:B49)</f>
        <v>29.366666666666664</v>
      </c>
      <c r="G3" s="10">
        <f>SUM(B2:B49)</f>
        <v>1409.6</v>
      </c>
      <c r="H3" s="17">
        <f>IF(VALUE(F3)=VALUE($N$7),E3,"")</f>
        <v>45536</v>
      </c>
      <c r="I3" s="11" t="str">
        <f>IF(VALUE(F3)=VALUE($N$8),E3,"")</f>
        <v/>
      </c>
      <c r="J3" s="12">
        <f>MAX(B2:B49)</f>
        <v>34</v>
      </c>
      <c r="K3" s="12">
        <f>MIN(B2:B49)</f>
        <v>24.9</v>
      </c>
    </row>
    <row r="4" spans="1:17" x14ac:dyDescent="0.3">
      <c r="A4" s="3">
        <v>45536.041666666664</v>
      </c>
      <c r="B4" s="1">
        <v>26</v>
      </c>
      <c r="C4" s="7" t="str">
        <f t="shared" si="0"/>
        <v>0</v>
      </c>
      <c r="D4" s="7" t="str">
        <f t="shared" si="1"/>
        <v>0</v>
      </c>
      <c r="E4" s="9">
        <v>45537</v>
      </c>
      <c r="F4" s="10">
        <f>AVERAGEA(B50:B98)</f>
        <v>27.916326530612245</v>
      </c>
      <c r="G4" s="10">
        <f>SUM(B50:B98)</f>
        <v>1367.9</v>
      </c>
      <c r="H4" s="11" t="str">
        <f t="shared" ref="H4:H32" si="2">IF(VALUE(G4)=VALUE($N$7),E4,"")</f>
        <v/>
      </c>
      <c r="I4" s="11" t="str">
        <f t="shared" ref="I4:I32" si="3">IF(VALUE(F4)=VALUE($N$8),E4,"")</f>
        <v/>
      </c>
      <c r="J4" s="12">
        <f>MAX(B50:B98)</f>
        <v>33.200000000000003</v>
      </c>
      <c r="K4" s="12">
        <f>MIN(B50:B98)</f>
        <v>23.4</v>
      </c>
      <c r="M4" s="40" t="s">
        <v>21</v>
      </c>
      <c r="N4" s="41"/>
    </row>
    <row r="5" spans="1:17" ht="15" thickBot="1" x14ac:dyDescent="0.35">
      <c r="A5" s="3">
        <v>45536.0625</v>
      </c>
      <c r="B5" s="1">
        <v>25.6</v>
      </c>
      <c r="C5" s="7" t="str">
        <f t="shared" si="0"/>
        <v>0</v>
      </c>
      <c r="D5" s="7" t="str">
        <f t="shared" si="1"/>
        <v>0</v>
      </c>
      <c r="E5" s="9">
        <v>45538</v>
      </c>
      <c r="F5" s="10">
        <f>AVERAGEA(B99:B146)</f>
        <v>25.379166666666666</v>
      </c>
      <c r="G5" s="10">
        <f>SUM(B99:B146)</f>
        <v>1218.2</v>
      </c>
      <c r="H5" s="11" t="str">
        <f t="shared" si="2"/>
        <v/>
      </c>
      <c r="I5" s="11" t="str">
        <f t="shared" si="3"/>
        <v/>
      </c>
      <c r="J5" s="12">
        <f>MAX(B99:B146)</f>
        <v>30.1</v>
      </c>
      <c r="K5" s="12">
        <f>MIN(B99:B146)</f>
        <v>21.9</v>
      </c>
      <c r="M5" s="42" t="s">
        <v>20</v>
      </c>
      <c r="N5" s="43"/>
    </row>
    <row r="6" spans="1:17" ht="15" thickBot="1" x14ac:dyDescent="0.35">
      <c r="A6" s="3">
        <v>45536.083333333336</v>
      </c>
      <c r="B6" s="1">
        <v>25.9</v>
      </c>
      <c r="C6" s="7" t="str">
        <f t="shared" si="0"/>
        <v>0</v>
      </c>
      <c r="D6" s="7" t="str">
        <f t="shared" si="1"/>
        <v>0</v>
      </c>
      <c r="E6" s="9">
        <v>45539</v>
      </c>
      <c r="F6" s="10">
        <f>AVERAGEA(B147:B194)</f>
        <v>25.75</v>
      </c>
      <c r="G6" s="10">
        <f>SUM(B147:B194)</f>
        <v>1236</v>
      </c>
      <c r="H6" s="11" t="str">
        <f t="shared" si="2"/>
        <v/>
      </c>
      <c r="I6" s="11" t="str">
        <f t="shared" si="3"/>
        <v/>
      </c>
      <c r="J6" s="12">
        <f>MAX(B147:B194)</f>
        <v>30.2</v>
      </c>
      <c r="K6" s="12">
        <f>MIN(B147:B194)</f>
        <v>20.8</v>
      </c>
      <c r="M6" s="44" t="s">
        <v>22</v>
      </c>
      <c r="N6" s="45"/>
    </row>
    <row r="7" spans="1:17" x14ac:dyDescent="0.3">
      <c r="A7" s="3">
        <v>45536.104166666664</v>
      </c>
      <c r="B7" s="1">
        <v>26.1</v>
      </c>
      <c r="C7" s="7" t="str">
        <f t="shared" si="0"/>
        <v>0</v>
      </c>
      <c r="D7" s="7" t="str">
        <f t="shared" si="1"/>
        <v>0</v>
      </c>
      <c r="E7" s="9">
        <v>45540</v>
      </c>
      <c r="F7" s="10">
        <f>AVERAGEA(B195:B242)</f>
        <v>25.906249999999996</v>
      </c>
      <c r="G7" s="10">
        <f>SUM(B195:B242)</f>
        <v>1243.4999999999998</v>
      </c>
      <c r="H7" s="11" t="str">
        <f t="shared" si="2"/>
        <v/>
      </c>
      <c r="I7" s="11" t="str">
        <f t="shared" si="3"/>
        <v/>
      </c>
      <c r="J7" s="12">
        <f>MAX(B195:B242)</f>
        <v>30.6</v>
      </c>
      <c r="K7" s="12">
        <f>MIN(B195:B242)</f>
        <v>22.3</v>
      </c>
      <c r="M7" s="13" t="s">
        <v>5</v>
      </c>
      <c r="N7" s="14">
        <f>MAXA(F3:F32)</f>
        <v>29.366666666666664</v>
      </c>
      <c r="P7" s="33">
        <f>AVERAGE(J3:J32)</f>
        <v>26.963333333333335</v>
      </c>
      <c r="Q7" s="34" t="s">
        <v>26</v>
      </c>
    </row>
    <row r="8" spans="1:17" ht="15" thickBot="1" x14ac:dyDescent="0.35">
      <c r="A8" s="3">
        <v>45536.125</v>
      </c>
      <c r="B8" s="1">
        <v>26.5</v>
      </c>
      <c r="C8" s="7" t="str">
        <f t="shared" si="0"/>
        <v>0</v>
      </c>
      <c r="D8" s="7" t="str">
        <f t="shared" si="1"/>
        <v>0</v>
      </c>
      <c r="E8" s="9">
        <v>45541</v>
      </c>
      <c r="F8" s="10">
        <f>AVERAGEA(B243:B290)</f>
        <v>26.504166666666663</v>
      </c>
      <c r="G8" s="10">
        <f>SUM(B243:B290)</f>
        <v>1272.1999999999998</v>
      </c>
      <c r="H8" s="11" t="str">
        <f t="shared" si="2"/>
        <v/>
      </c>
      <c r="I8" s="11" t="str">
        <f t="shared" si="3"/>
        <v/>
      </c>
      <c r="J8" s="12">
        <f>MAX(B243:B290)</f>
        <v>30.8</v>
      </c>
      <c r="K8" s="12">
        <f>MIN(B243:B290)</f>
        <v>22</v>
      </c>
      <c r="M8" s="9" t="s">
        <v>6</v>
      </c>
      <c r="N8" s="10">
        <f>MINA(F3:F32)</f>
        <v>16.84791666666667</v>
      </c>
      <c r="P8" s="35">
        <f>AVERAGE(K3:K32)</f>
        <v>18.696666666666662</v>
      </c>
      <c r="Q8" s="36" t="s">
        <v>27</v>
      </c>
    </row>
    <row r="9" spans="1:17" x14ac:dyDescent="0.3">
      <c r="A9" s="3">
        <v>45536.145833333336</v>
      </c>
      <c r="B9" s="1">
        <v>26</v>
      </c>
      <c r="C9" s="7" t="str">
        <f t="shared" si="0"/>
        <v>0</v>
      </c>
      <c r="D9" s="7" t="str">
        <f t="shared" si="1"/>
        <v>0</v>
      </c>
      <c r="E9" s="9">
        <v>45542</v>
      </c>
      <c r="F9" s="10">
        <f>AVERAGEA(B291:B338)</f>
        <v>27.343749999999989</v>
      </c>
      <c r="G9" s="10">
        <f>SUM(B291:B338)</f>
        <v>1312.4999999999995</v>
      </c>
      <c r="H9" s="11" t="str">
        <f t="shared" si="2"/>
        <v/>
      </c>
      <c r="I9" s="11" t="str">
        <f t="shared" si="3"/>
        <v/>
      </c>
      <c r="J9" s="12">
        <f>MAX(B291:B338)</f>
        <v>32.5</v>
      </c>
      <c r="K9" s="12">
        <f>MIN(B291:B338)</f>
        <v>21.9</v>
      </c>
      <c r="M9" s="15" t="s">
        <v>7</v>
      </c>
      <c r="N9" s="16">
        <f>AVERAGE(F3:F32)</f>
        <v>22.646791553287986</v>
      </c>
      <c r="O9" s="49"/>
    </row>
    <row r="10" spans="1:17" ht="15" thickBot="1" x14ac:dyDescent="0.35">
      <c r="A10" s="3">
        <v>45536.166666666664</v>
      </c>
      <c r="B10" s="1">
        <v>25.4</v>
      </c>
      <c r="C10" s="7" t="str">
        <f t="shared" si="0"/>
        <v>0</v>
      </c>
      <c r="D10" s="7" t="str">
        <f t="shared" si="1"/>
        <v>0</v>
      </c>
      <c r="E10" s="9">
        <v>45543</v>
      </c>
      <c r="F10" s="10">
        <f>AVERAGEA(B339:B386)</f>
        <v>28.587500000000002</v>
      </c>
      <c r="G10" s="10">
        <f>SUM(B339:B386)</f>
        <v>1372.2</v>
      </c>
      <c r="H10" s="11" t="str">
        <f t="shared" si="2"/>
        <v/>
      </c>
      <c r="I10" s="11" t="str">
        <f t="shared" si="3"/>
        <v/>
      </c>
      <c r="J10" s="37">
        <f>MAX(B339:B386)</f>
        <v>34.200000000000003</v>
      </c>
      <c r="K10" s="12">
        <f>MIN(B339:B386)</f>
        <v>23.9</v>
      </c>
    </row>
    <row r="11" spans="1:17" ht="15" thickBot="1" x14ac:dyDescent="0.35">
      <c r="A11" s="3">
        <v>45536.1875</v>
      </c>
      <c r="B11" s="1">
        <v>25.2</v>
      </c>
      <c r="C11" s="7" t="str">
        <f t="shared" si="0"/>
        <v>0</v>
      </c>
      <c r="D11" s="7" t="str">
        <f t="shared" si="1"/>
        <v>0</v>
      </c>
      <c r="E11" s="9">
        <v>45544</v>
      </c>
      <c r="F11" s="10">
        <f>AVERAGEA(B387:B435)</f>
        <v>25.069387755102042</v>
      </c>
      <c r="G11" s="10">
        <f>SUM(B387:B435)</f>
        <v>1228.4000000000001</v>
      </c>
      <c r="H11" s="11" t="str">
        <f t="shared" si="2"/>
        <v/>
      </c>
      <c r="I11" s="11" t="str">
        <f t="shared" si="3"/>
        <v/>
      </c>
      <c r="J11" s="12">
        <f>MAX(B387:B435)</f>
        <v>28.9</v>
      </c>
      <c r="K11" s="12">
        <f>MIN(B387:B435)</f>
        <v>22.3</v>
      </c>
      <c r="M11" s="44" t="s">
        <v>8</v>
      </c>
      <c r="N11" s="45"/>
    </row>
    <row r="12" spans="1:17" x14ac:dyDescent="0.3">
      <c r="A12" s="3">
        <v>45536.208333333336</v>
      </c>
      <c r="B12" s="1">
        <v>25</v>
      </c>
      <c r="C12" s="7" t="str">
        <f t="shared" si="0"/>
        <v>0</v>
      </c>
      <c r="D12" s="7" t="str">
        <f t="shared" si="1"/>
        <v>0</v>
      </c>
      <c r="E12" s="9">
        <v>45545</v>
      </c>
      <c r="F12" s="10">
        <f>AVERAGEA(B436:B484)</f>
        <v>25.122448979591837</v>
      </c>
      <c r="G12" s="10">
        <f>SUM(B436:B484)</f>
        <v>1231</v>
      </c>
      <c r="H12" s="11" t="str">
        <f t="shared" si="2"/>
        <v/>
      </c>
      <c r="I12" s="11" t="str">
        <f t="shared" si="3"/>
        <v/>
      </c>
      <c r="J12" s="12">
        <f>MAX(B436:B484)</f>
        <v>31.3</v>
      </c>
      <c r="K12" s="12">
        <f>MIN(B436:B484)</f>
        <v>20.6</v>
      </c>
      <c r="M12" s="18" t="s">
        <v>9</v>
      </c>
      <c r="N12" s="31" t="s">
        <v>10</v>
      </c>
      <c r="P12" s="20" t="s">
        <v>11</v>
      </c>
      <c r="Q12" s="32" t="s">
        <v>12</v>
      </c>
    </row>
    <row r="13" spans="1:17" ht="15.6" x14ac:dyDescent="0.3">
      <c r="A13" s="3">
        <v>45536.229166666664</v>
      </c>
      <c r="B13" s="1">
        <v>24.9</v>
      </c>
      <c r="C13" s="7" t="str">
        <f t="shared" si="0"/>
        <v>0</v>
      </c>
      <c r="D13" s="7" t="str">
        <f t="shared" si="1"/>
        <v>0</v>
      </c>
      <c r="E13" s="9">
        <v>45546</v>
      </c>
      <c r="F13" s="10">
        <f>AVERAGEA(B485:B534)</f>
        <v>24.306000000000004</v>
      </c>
      <c r="G13" s="10">
        <f>SUM(B485:B534)</f>
        <v>1215.3000000000002</v>
      </c>
      <c r="H13" s="11" t="str">
        <f t="shared" si="2"/>
        <v/>
      </c>
      <c r="I13" s="11" t="str">
        <f t="shared" si="3"/>
        <v/>
      </c>
      <c r="J13" s="12">
        <f>MAX(B485:B534)</f>
        <v>28.1</v>
      </c>
      <c r="K13" s="12">
        <f>MIN(B485:B534)</f>
        <v>20.100000000000001</v>
      </c>
      <c r="M13" s="30">
        <f>MAXA(B2:B1446)</f>
        <v>34.200000000000003</v>
      </c>
      <c r="N13" s="19">
        <f>Foglio1!C5</f>
        <v>45543.5625</v>
      </c>
      <c r="P13" s="21">
        <f>MINA(B2:B1446)</f>
        <v>12.2</v>
      </c>
      <c r="Q13" s="19">
        <f>Foglio1!A5</f>
        <v>45549.208333333336</v>
      </c>
    </row>
    <row r="14" spans="1:17" x14ac:dyDescent="0.3">
      <c r="A14" s="3">
        <v>45536.25</v>
      </c>
      <c r="B14" s="1">
        <v>25.2</v>
      </c>
      <c r="C14" s="7" t="str">
        <f t="shared" si="0"/>
        <v>0</v>
      </c>
      <c r="D14" s="7" t="str">
        <f t="shared" si="1"/>
        <v>0</v>
      </c>
      <c r="E14" s="9">
        <v>45547</v>
      </c>
      <c r="F14" s="10">
        <f>AVERAGEA(B535:B582)</f>
        <v>23.133333333333329</v>
      </c>
      <c r="G14" s="10">
        <f>SUM(B535:B582)</f>
        <v>1110.3999999999999</v>
      </c>
      <c r="H14" s="11" t="str">
        <f t="shared" si="2"/>
        <v/>
      </c>
      <c r="I14" s="11" t="str">
        <f t="shared" si="3"/>
        <v/>
      </c>
      <c r="J14" s="12">
        <f>MAX(B535:B582)</f>
        <v>26.7</v>
      </c>
      <c r="K14" s="12">
        <f>MIN(B535:B582)</f>
        <v>20.100000000000001</v>
      </c>
      <c r="N14" s="7"/>
      <c r="Q14" s="7"/>
    </row>
    <row r="15" spans="1:17" x14ac:dyDescent="0.3">
      <c r="A15" s="3">
        <v>45536.270833333336</v>
      </c>
      <c r="B15" s="1">
        <v>25.9</v>
      </c>
      <c r="C15" s="7" t="str">
        <f t="shared" si="0"/>
        <v>0</v>
      </c>
      <c r="D15" s="7" t="str">
        <f t="shared" si="1"/>
        <v>0</v>
      </c>
      <c r="E15" s="9">
        <v>45548</v>
      </c>
      <c r="F15" s="10">
        <f>AVERAGEA(B583:B630)</f>
        <v>17.577083333333331</v>
      </c>
      <c r="G15" s="10">
        <f>SUM(B583:B630)</f>
        <v>843.69999999999993</v>
      </c>
      <c r="H15" s="11" t="str">
        <f t="shared" si="2"/>
        <v/>
      </c>
      <c r="I15" s="11" t="str">
        <f t="shared" si="3"/>
        <v/>
      </c>
      <c r="J15" s="12">
        <f>MAX(B583:B630)</f>
        <v>21.2</v>
      </c>
      <c r="K15" s="12">
        <f>MIN(B583:B630)</f>
        <v>13.4</v>
      </c>
    </row>
    <row r="16" spans="1:17" x14ac:dyDescent="0.3">
      <c r="A16" s="3">
        <v>45536.291666666664</v>
      </c>
      <c r="B16" s="1">
        <v>26.9</v>
      </c>
      <c r="C16" s="7" t="str">
        <f t="shared" si="0"/>
        <v>0</v>
      </c>
      <c r="D16" s="7" t="str">
        <f t="shared" si="1"/>
        <v>0</v>
      </c>
      <c r="E16" s="9">
        <v>45549</v>
      </c>
      <c r="F16" s="10">
        <f>AVERAGEA(B631:B678)</f>
        <v>17.737500000000001</v>
      </c>
      <c r="G16" s="10">
        <f>SUM(B631:B678)</f>
        <v>851.40000000000009</v>
      </c>
      <c r="H16" s="11" t="str">
        <f t="shared" si="2"/>
        <v/>
      </c>
      <c r="I16" s="11" t="str">
        <f t="shared" si="3"/>
        <v/>
      </c>
      <c r="J16" s="12">
        <f>MAX(B631:B678)</f>
        <v>22.1</v>
      </c>
      <c r="K16" s="37">
        <f>MIN(B631:B678)</f>
        <v>12.2</v>
      </c>
    </row>
    <row r="17" spans="1:11" x14ac:dyDescent="0.3">
      <c r="A17" s="3">
        <v>45536.3125</v>
      </c>
      <c r="B17" s="1">
        <v>27.5</v>
      </c>
      <c r="C17" s="7" t="str">
        <f t="shared" si="0"/>
        <v>0</v>
      </c>
      <c r="D17" s="7" t="str">
        <f t="shared" si="1"/>
        <v>0</v>
      </c>
      <c r="E17" s="9">
        <v>45550</v>
      </c>
      <c r="F17" s="10">
        <f>AVERAGEA(B679:B726)</f>
        <v>19.910416666666666</v>
      </c>
      <c r="G17" s="10">
        <f>SUM(B679:B726)</f>
        <v>955.69999999999993</v>
      </c>
      <c r="H17" s="11" t="str">
        <f t="shared" si="2"/>
        <v/>
      </c>
      <c r="I17" s="11" t="str">
        <f t="shared" si="3"/>
        <v/>
      </c>
      <c r="J17" s="12">
        <f>MAX(B679:B726)</f>
        <v>24.5</v>
      </c>
      <c r="K17" s="12">
        <f>MIN(B679:B726)</f>
        <v>15</v>
      </c>
    </row>
    <row r="18" spans="1:11" x14ac:dyDescent="0.3">
      <c r="A18" s="3">
        <v>45536.333333333336</v>
      </c>
      <c r="B18" s="1">
        <v>28.2</v>
      </c>
      <c r="C18" s="7" t="str">
        <f t="shared" si="0"/>
        <v>0</v>
      </c>
      <c r="D18" s="7" t="str">
        <f t="shared" si="1"/>
        <v>0</v>
      </c>
      <c r="E18" s="9">
        <v>45551</v>
      </c>
      <c r="F18" s="10">
        <f>AVERAGEA(B727:B774)</f>
        <v>20.258333333333329</v>
      </c>
      <c r="G18" s="10">
        <f>SUM(B727:B774)</f>
        <v>972.39999999999975</v>
      </c>
      <c r="H18" s="11" t="str">
        <f t="shared" si="2"/>
        <v/>
      </c>
      <c r="I18" s="11" t="str">
        <f t="shared" si="3"/>
        <v/>
      </c>
      <c r="J18" s="12">
        <f>MAX(B727:B774)</f>
        <v>24.7</v>
      </c>
      <c r="K18" s="12">
        <f>MIN(B727:B774)</f>
        <v>16.5</v>
      </c>
    </row>
    <row r="19" spans="1:11" x14ac:dyDescent="0.3">
      <c r="A19" s="3">
        <v>45536.354166666664</v>
      </c>
      <c r="B19" s="1">
        <v>29.3</v>
      </c>
      <c r="C19" s="7" t="str">
        <f t="shared" si="0"/>
        <v>0</v>
      </c>
      <c r="D19" s="7" t="str">
        <f t="shared" si="1"/>
        <v>0</v>
      </c>
      <c r="E19" s="9">
        <v>45552</v>
      </c>
      <c r="F19" s="10">
        <f>AVERAGEA(B775:B822)</f>
        <v>16.84791666666667</v>
      </c>
      <c r="G19" s="10">
        <f>SUM(B775:B822)</f>
        <v>808.70000000000016</v>
      </c>
      <c r="H19" s="11" t="str">
        <f t="shared" si="2"/>
        <v/>
      </c>
      <c r="I19" s="17">
        <f t="shared" si="3"/>
        <v>45552</v>
      </c>
      <c r="J19" s="12">
        <f>MAX(B775:B822)</f>
        <v>18.899999999999999</v>
      </c>
      <c r="K19" s="12">
        <f>MIN(B775:B822)</f>
        <v>15.5</v>
      </c>
    </row>
    <row r="20" spans="1:11" x14ac:dyDescent="0.3">
      <c r="A20" s="3">
        <v>45536.375</v>
      </c>
      <c r="B20" s="1">
        <v>30.3</v>
      </c>
      <c r="C20" s="7" t="str">
        <f t="shared" si="0"/>
        <v>0</v>
      </c>
      <c r="D20" s="7" t="str">
        <f t="shared" si="1"/>
        <v>0</v>
      </c>
      <c r="E20" s="9">
        <v>45553</v>
      </c>
      <c r="F20" s="10">
        <f>AVERAGEA(B823:B870)</f>
        <v>18.295833333333331</v>
      </c>
      <c r="G20" s="10">
        <f>SUM(B823:B870)</f>
        <v>878.19999999999993</v>
      </c>
      <c r="H20" s="11" t="str">
        <f t="shared" si="2"/>
        <v/>
      </c>
      <c r="I20" s="11" t="str">
        <f t="shared" si="3"/>
        <v/>
      </c>
      <c r="J20" s="12">
        <f>MAX(B823:B870)</f>
        <v>22.7</v>
      </c>
      <c r="K20" s="12">
        <f>MIN(B823:B870)</f>
        <v>15.4</v>
      </c>
    </row>
    <row r="21" spans="1:11" x14ac:dyDescent="0.3">
      <c r="A21" s="3">
        <v>45536.395833333336</v>
      </c>
      <c r="B21" s="1">
        <v>30.9</v>
      </c>
      <c r="C21" s="7" t="str">
        <f t="shared" si="0"/>
        <v>0</v>
      </c>
      <c r="D21" s="7" t="str">
        <f t="shared" si="1"/>
        <v>0</v>
      </c>
      <c r="E21" s="9">
        <v>45554</v>
      </c>
      <c r="F21" s="10">
        <f>AVERAGEA(B871:B918)</f>
        <v>18.674999999999997</v>
      </c>
      <c r="G21" s="10">
        <f>SUM(B871:B918)</f>
        <v>896.39999999999986</v>
      </c>
      <c r="H21" s="11" t="str">
        <f t="shared" si="2"/>
        <v/>
      </c>
      <c r="I21" s="11" t="str">
        <f t="shared" si="3"/>
        <v/>
      </c>
      <c r="J21" s="12">
        <f>MAX(B871:B918)</f>
        <v>23</v>
      </c>
      <c r="K21" s="12">
        <f>MIN(B871:B918)</f>
        <v>15.2</v>
      </c>
    </row>
    <row r="22" spans="1:11" x14ac:dyDescent="0.3">
      <c r="A22" s="3">
        <v>45536.416666666664</v>
      </c>
      <c r="B22" s="1">
        <v>31.3</v>
      </c>
      <c r="C22" s="7" t="str">
        <f t="shared" si="0"/>
        <v>0</v>
      </c>
      <c r="D22" s="7" t="str">
        <f t="shared" si="1"/>
        <v>0</v>
      </c>
      <c r="E22" s="9">
        <v>45555</v>
      </c>
      <c r="F22" s="10">
        <f>AVERAGEA(B919:B966)</f>
        <v>19.820833333333329</v>
      </c>
      <c r="G22" s="10">
        <f>SUM(B919:B966)</f>
        <v>951.39999999999986</v>
      </c>
      <c r="H22" s="11" t="str">
        <f t="shared" si="2"/>
        <v/>
      </c>
      <c r="I22" s="11" t="str">
        <f t="shared" si="3"/>
        <v/>
      </c>
      <c r="J22" s="12">
        <f>MAX(B919:B966)</f>
        <v>24.7</v>
      </c>
      <c r="K22" s="12">
        <f>MIN(B919:B966)</f>
        <v>15</v>
      </c>
    </row>
    <row r="23" spans="1:11" x14ac:dyDescent="0.3">
      <c r="A23" s="3">
        <v>45536.4375</v>
      </c>
      <c r="B23" s="1">
        <v>32.700000000000003</v>
      </c>
      <c r="C23" s="7" t="str">
        <f t="shared" si="0"/>
        <v>0</v>
      </c>
      <c r="D23" s="7" t="str">
        <f t="shared" si="1"/>
        <v>0</v>
      </c>
      <c r="E23" s="9">
        <v>45556</v>
      </c>
      <c r="F23" s="10">
        <f>AVERAGEA(B967:B1014)</f>
        <v>21.260416666666664</v>
      </c>
      <c r="G23" s="10">
        <f>SUM(B967:B1014)</f>
        <v>1020.4999999999999</v>
      </c>
      <c r="H23" s="11" t="str">
        <f t="shared" si="2"/>
        <v/>
      </c>
      <c r="I23" s="11" t="str">
        <f t="shared" si="3"/>
        <v/>
      </c>
      <c r="J23" s="12">
        <f>MAX(B967:B1014)</f>
        <v>25.6</v>
      </c>
      <c r="K23" s="12">
        <f>MIN(B967:B1014)</f>
        <v>17.7</v>
      </c>
    </row>
    <row r="24" spans="1:11" x14ac:dyDescent="0.3">
      <c r="A24" s="3">
        <v>45536.458333333336</v>
      </c>
      <c r="B24" s="1">
        <v>32.700000000000003</v>
      </c>
      <c r="C24" s="7" t="str">
        <f t="shared" si="0"/>
        <v>0</v>
      </c>
      <c r="D24" s="7" t="str">
        <f t="shared" si="1"/>
        <v>0</v>
      </c>
      <c r="E24" s="9">
        <v>45557</v>
      </c>
      <c r="F24" s="10">
        <f>AVERAGEA(B1015:B1062)</f>
        <v>21.3125</v>
      </c>
      <c r="G24" s="10">
        <f>SUM(B1015:B1062)</f>
        <v>1023</v>
      </c>
      <c r="H24" s="11" t="str">
        <f t="shared" si="2"/>
        <v/>
      </c>
      <c r="I24" s="11" t="str">
        <f t="shared" si="3"/>
        <v/>
      </c>
      <c r="J24" s="12">
        <f>MAX(B1015:B1062)</f>
        <v>25.7</v>
      </c>
      <c r="K24" s="12">
        <f>MIN(B1015:B1062)</f>
        <v>17.8</v>
      </c>
    </row>
    <row r="25" spans="1:11" x14ac:dyDescent="0.3">
      <c r="A25" s="3">
        <v>45536.479166666664</v>
      </c>
      <c r="B25" s="1">
        <v>33</v>
      </c>
      <c r="C25" s="7" t="str">
        <f t="shared" si="0"/>
        <v>0</v>
      </c>
      <c r="D25" s="7" t="str">
        <f t="shared" si="1"/>
        <v>0</v>
      </c>
      <c r="E25" s="9">
        <v>45558</v>
      </c>
      <c r="F25" s="10">
        <f>AVERAGEA(B1063:B1110)</f>
        <v>22.235416666666666</v>
      </c>
      <c r="G25" s="10">
        <f>SUM(B1063:B1110)</f>
        <v>1067.3</v>
      </c>
      <c r="H25" s="11" t="str">
        <f t="shared" si="2"/>
        <v/>
      </c>
      <c r="I25" s="11" t="str">
        <f t="shared" si="3"/>
        <v/>
      </c>
      <c r="J25" s="12">
        <f>MAX(B1063:B1110)</f>
        <v>26.3</v>
      </c>
      <c r="K25" s="12">
        <f>MIN(B1063:B1110)</f>
        <v>18.3</v>
      </c>
    </row>
    <row r="26" spans="1:11" x14ac:dyDescent="0.3">
      <c r="A26" s="3">
        <v>45536.5</v>
      </c>
      <c r="B26" s="1">
        <v>33.4</v>
      </c>
      <c r="C26" s="7" t="str">
        <f t="shared" si="0"/>
        <v>0</v>
      </c>
      <c r="D26" s="7" t="str">
        <f t="shared" si="1"/>
        <v>0</v>
      </c>
      <c r="E26" s="9">
        <v>45559</v>
      </c>
      <c r="F26" s="10">
        <f>AVERAGEA(B1111:B1158)</f>
        <v>21.754166666666674</v>
      </c>
      <c r="G26" s="10">
        <f>SUM(B1111:B1158)</f>
        <v>1044.2000000000003</v>
      </c>
      <c r="H26" s="11" t="str">
        <f t="shared" si="2"/>
        <v/>
      </c>
      <c r="I26" s="11" t="str">
        <f t="shared" si="3"/>
        <v/>
      </c>
      <c r="J26" s="12">
        <f>MAX(B1111:B1158)</f>
        <v>25.8</v>
      </c>
      <c r="K26" s="12">
        <f>MIN(B1111:B1158)</f>
        <v>19.8</v>
      </c>
    </row>
    <row r="27" spans="1:11" x14ac:dyDescent="0.3">
      <c r="A27" s="3">
        <v>45536.520833333336</v>
      </c>
      <c r="B27" s="1">
        <v>33.4</v>
      </c>
      <c r="C27" s="7" t="str">
        <f t="shared" si="0"/>
        <v>0</v>
      </c>
      <c r="D27" s="7" t="str">
        <f t="shared" si="1"/>
        <v>0</v>
      </c>
      <c r="E27" s="9">
        <v>45560</v>
      </c>
      <c r="F27" s="10">
        <f>AVERAGEA(B1159:B1206)</f>
        <v>21.566666666666663</v>
      </c>
      <c r="G27" s="10">
        <f>SUM(B1159:B1206)</f>
        <v>1035.1999999999998</v>
      </c>
      <c r="H27" s="11" t="str">
        <f t="shared" si="2"/>
        <v/>
      </c>
      <c r="I27" s="11" t="str">
        <f t="shared" si="3"/>
        <v/>
      </c>
      <c r="J27" s="12">
        <f>MAX(B1159:B1206)</f>
        <v>25.5</v>
      </c>
      <c r="K27" s="12">
        <f>MIN(B1159:B1206)</f>
        <v>17.5</v>
      </c>
    </row>
    <row r="28" spans="1:11" x14ac:dyDescent="0.3">
      <c r="A28" s="3">
        <v>45536.541666666664</v>
      </c>
      <c r="B28" s="1">
        <v>33.6</v>
      </c>
      <c r="C28" s="7" t="str">
        <f t="shared" si="0"/>
        <v>0</v>
      </c>
      <c r="D28" s="7" t="str">
        <f t="shared" si="1"/>
        <v>0</v>
      </c>
      <c r="E28" s="9">
        <v>45561</v>
      </c>
      <c r="F28" s="10">
        <f>AVERAGEA(B1207:B1254)</f>
        <v>22.77291666666666</v>
      </c>
      <c r="G28" s="10">
        <f>SUM(B1207:B1254)</f>
        <v>1093.0999999999997</v>
      </c>
      <c r="H28" s="11" t="str">
        <f t="shared" si="2"/>
        <v/>
      </c>
      <c r="I28" s="11" t="str">
        <f t="shared" si="3"/>
        <v/>
      </c>
      <c r="J28" s="12">
        <f>MAX(B1207:B1254)</f>
        <v>26.3</v>
      </c>
      <c r="K28" s="12">
        <f>MIN(B1207:B1254)</f>
        <v>19.100000000000001</v>
      </c>
    </row>
    <row r="29" spans="1:11" x14ac:dyDescent="0.3">
      <c r="A29" s="3">
        <v>45536.5625</v>
      </c>
      <c r="B29" s="1">
        <v>33.1</v>
      </c>
      <c r="C29" s="7" t="str">
        <f t="shared" si="0"/>
        <v>0</v>
      </c>
      <c r="D29" s="7" t="str">
        <f t="shared" si="1"/>
        <v>0</v>
      </c>
      <c r="E29" s="9">
        <v>45562</v>
      </c>
      <c r="F29" s="10">
        <f>AVERAGEA(B1255:B1302)</f>
        <v>24.681249999999995</v>
      </c>
      <c r="G29" s="10">
        <f>SUM(B1255:B1302)</f>
        <v>1184.6999999999998</v>
      </c>
      <c r="H29" s="11" t="str">
        <f t="shared" si="2"/>
        <v/>
      </c>
      <c r="I29" s="11" t="str">
        <f t="shared" si="3"/>
        <v/>
      </c>
      <c r="J29" s="12">
        <f>MAX(B1255:B1302)</f>
        <v>28.3</v>
      </c>
      <c r="K29" s="12">
        <f>MIN(B1255:B1302)</f>
        <v>22</v>
      </c>
    </row>
    <row r="30" spans="1:11" x14ac:dyDescent="0.3">
      <c r="A30" s="3">
        <v>45536.583333333336</v>
      </c>
      <c r="B30" s="1">
        <v>33.799999999999997</v>
      </c>
      <c r="C30" s="7" t="str">
        <f t="shared" si="0"/>
        <v>0</v>
      </c>
      <c r="D30" s="7" t="str">
        <f t="shared" si="1"/>
        <v>0</v>
      </c>
      <c r="E30" s="9">
        <v>45563</v>
      </c>
      <c r="F30" s="10">
        <f>AVERAGEA(B1303:B1350)</f>
        <v>22.087500000000002</v>
      </c>
      <c r="G30" s="10">
        <f>SUM(B1303:B1350)</f>
        <v>1060.2</v>
      </c>
      <c r="H30" s="11" t="str">
        <f t="shared" si="2"/>
        <v/>
      </c>
      <c r="I30" s="11" t="str">
        <f t="shared" si="3"/>
        <v/>
      </c>
      <c r="J30" s="12">
        <f>MAX(B1303:B1350)</f>
        <v>24.1</v>
      </c>
      <c r="K30" s="12">
        <f>MIN(B1303:B1350)</f>
        <v>17.5</v>
      </c>
    </row>
    <row r="31" spans="1:11" x14ac:dyDescent="0.3">
      <c r="A31" s="3">
        <v>45536.604166666664</v>
      </c>
      <c r="B31" s="1">
        <v>34</v>
      </c>
      <c r="C31" s="7" t="str">
        <f t="shared" si="0"/>
        <v>0</v>
      </c>
      <c r="D31" s="7" t="str">
        <f t="shared" si="1"/>
        <v>0</v>
      </c>
      <c r="E31" s="9">
        <v>45564</v>
      </c>
      <c r="F31" s="10">
        <f>AVERAGEA(B1351:B1398)</f>
        <v>19.406250000000004</v>
      </c>
      <c r="G31" s="10">
        <f>SUM(B1351:B1398)</f>
        <v>931.50000000000023</v>
      </c>
      <c r="H31" s="11" t="str">
        <f t="shared" si="2"/>
        <v/>
      </c>
      <c r="I31" s="11" t="str">
        <f t="shared" si="3"/>
        <v/>
      </c>
      <c r="J31" s="12">
        <f>MAX(B1351:B1398)</f>
        <v>24.7</v>
      </c>
      <c r="K31" s="12">
        <f>MIN(B1351:B1398)</f>
        <v>15</v>
      </c>
    </row>
    <row r="32" spans="1:11" x14ac:dyDescent="0.3">
      <c r="A32" s="3">
        <v>45536.625</v>
      </c>
      <c r="B32" s="1">
        <v>33.299999999999997</v>
      </c>
      <c r="C32" s="7" t="str">
        <f t="shared" si="0"/>
        <v>0</v>
      </c>
      <c r="D32" s="7" t="str">
        <f t="shared" si="1"/>
        <v>0</v>
      </c>
      <c r="E32" s="9">
        <v>45565</v>
      </c>
      <c r="F32" s="10">
        <f>AVERAGEA(B1399:B1446)</f>
        <v>18.818749999999998</v>
      </c>
      <c r="G32" s="10">
        <f>SUM(B1399:B1446)</f>
        <v>903.29999999999984</v>
      </c>
      <c r="H32" s="11" t="str">
        <f t="shared" si="2"/>
        <v/>
      </c>
      <c r="I32" s="11" t="str">
        <f t="shared" si="3"/>
        <v/>
      </c>
      <c r="J32" s="12">
        <f>MAX(B1399:B1446)</f>
        <v>24.2</v>
      </c>
      <c r="K32" s="12">
        <f>MIN(B1399:B1446)</f>
        <v>13.8</v>
      </c>
    </row>
    <row r="33" spans="1:11" x14ac:dyDescent="0.3">
      <c r="A33" s="3">
        <v>45536.645833333336</v>
      </c>
      <c r="B33" s="1">
        <v>33.6</v>
      </c>
      <c r="C33" s="7" t="str">
        <f t="shared" si="0"/>
        <v>0</v>
      </c>
      <c r="D33" s="7" t="str">
        <f t="shared" si="1"/>
        <v>0</v>
      </c>
      <c r="E33" s="5"/>
      <c r="F33" s="6"/>
      <c r="G33" s="6"/>
      <c r="H33" s="22"/>
      <c r="I33" s="22"/>
      <c r="J33" s="23"/>
      <c r="K33" s="23"/>
    </row>
    <row r="34" spans="1:11" x14ac:dyDescent="0.3">
      <c r="A34" s="3">
        <v>45536.666666666664</v>
      </c>
      <c r="B34" s="1">
        <v>33.4</v>
      </c>
      <c r="C34" s="7" t="str">
        <f t="shared" si="0"/>
        <v>0</v>
      </c>
      <c r="D34" s="7" t="str">
        <f t="shared" si="1"/>
        <v>0</v>
      </c>
      <c r="H34" s="5"/>
    </row>
    <row r="35" spans="1:11" x14ac:dyDescent="0.3">
      <c r="A35" s="3">
        <v>45536.6875</v>
      </c>
      <c r="B35" s="1">
        <v>33</v>
      </c>
      <c r="C35" s="7" t="str">
        <f t="shared" si="0"/>
        <v>0</v>
      </c>
      <c r="D35" s="7" t="str">
        <f t="shared" si="1"/>
        <v>0</v>
      </c>
      <c r="H35" s="5"/>
    </row>
    <row r="36" spans="1:11" x14ac:dyDescent="0.3">
      <c r="A36" s="3">
        <v>45536.708333333336</v>
      </c>
      <c r="B36" s="1">
        <v>32.200000000000003</v>
      </c>
      <c r="C36" s="7" t="str">
        <f t="shared" si="0"/>
        <v>0</v>
      </c>
      <c r="D36" s="7" t="str">
        <f t="shared" si="1"/>
        <v>0</v>
      </c>
      <c r="H36" s="5"/>
    </row>
    <row r="37" spans="1:11" x14ac:dyDescent="0.3">
      <c r="A37" s="3">
        <v>45536.729166666664</v>
      </c>
      <c r="B37" s="1">
        <v>30.9</v>
      </c>
      <c r="C37" s="7" t="str">
        <f t="shared" si="0"/>
        <v>0</v>
      </c>
      <c r="D37" s="7" t="str">
        <f t="shared" si="1"/>
        <v>0</v>
      </c>
      <c r="H37" s="5"/>
    </row>
    <row r="38" spans="1:11" x14ac:dyDescent="0.3">
      <c r="A38" s="3">
        <v>45536.75</v>
      </c>
      <c r="B38" s="1">
        <v>30.3</v>
      </c>
      <c r="C38" s="7" t="str">
        <f t="shared" si="0"/>
        <v>0</v>
      </c>
      <c r="D38" s="7" t="str">
        <f t="shared" si="1"/>
        <v>0</v>
      </c>
    </row>
    <row r="39" spans="1:11" x14ac:dyDescent="0.3">
      <c r="A39" s="3">
        <v>45536.770833333336</v>
      </c>
      <c r="B39" s="1">
        <v>30.3</v>
      </c>
      <c r="C39" s="7" t="str">
        <f t="shared" si="0"/>
        <v>0</v>
      </c>
      <c r="D39" s="7" t="str">
        <f t="shared" si="1"/>
        <v>0</v>
      </c>
    </row>
    <row r="40" spans="1:11" x14ac:dyDescent="0.3">
      <c r="A40" s="3">
        <v>45536.791666666664</v>
      </c>
      <c r="B40" s="1">
        <v>29.6</v>
      </c>
      <c r="C40" s="7" t="str">
        <f t="shared" si="0"/>
        <v>0</v>
      </c>
      <c r="D40" s="7" t="str">
        <f t="shared" si="1"/>
        <v>0</v>
      </c>
    </row>
    <row r="41" spans="1:11" x14ac:dyDescent="0.3">
      <c r="A41" s="3">
        <v>45536.8125</v>
      </c>
      <c r="B41" s="1">
        <v>29.4</v>
      </c>
      <c r="C41" s="7" t="str">
        <f t="shared" si="0"/>
        <v>0</v>
      </c>
      <c r="D41" s="7" t="str">
        <f t="shared" si="1"/>
        <v>0</v>
      </c>
    </row>
    <row r="42" spans="1:11" x14ac:dyDescent="0.3">
      <c r="A42" s="3">
        <v>45536.833333333336</v>
      </c>
      <c r="B42" s="1">
        <v>29.2</v>
      </c>
      <c r="C42" s="7" t="str">
        <f t="shared" si="0"/>
        <v>0</v>
      </c>
      <c r="D42" s="7" t="str">
        <f t="shared" si="1"/>
        <v>0</v>
      </c>
    </row>
    <row r="43" spans="1:11" x14ac:dyDescent="0.3">
      <c r="A43" s="3">
        <v>45536.854166666664</v>
      </c>
      <c r="B43" s="1">
        <v>29.3</v>
      </c>
      <c r="C43" s="7" t="str">
        <f t="shared" si="0"/>
        <v>0</v>
      </c>
      <c r="D43" s="7" t="str">
        <f t="shared" si="1"/>
        <v>0</v>
      </c>
    </row>
    <row r="44" spans="1:11" x14ac:dyDescent="0.3">
      <c r="A44" s="3">
        <v>45536.875</v>
      </c>
      <c r="B44" s="1">
        <v>29.4</v>
      </c>
      <c r="C44" s="7" t="str">
        <f t="shared" si="0"/>
        <v>0</v>
      </c>
      <c r="D44" s="7" t="str">
        <f t="shared" si="1"/>
        <v>0</v>
      </c>
    </row>
    <row r="45" spans="1:11" x14ac:dyDescent="0.3">
      <c r="A45" s="3">
        <v>45536.895833333336</v>
      </c>
      <c r="B45" s="1">
        <v>29.2</v>
      </c>
      <c r="C45" s="7" t="str">
        <f t="shared" si="0"/>
        <v>0</v>
      </c>
      <c r="D45" s="7" t="str">
        <f t="shared" si="1"/>
        <v>0</v>
      </c>
    </row>
    <row r="46" spans="1:11" x14ac:dyDescent="0.3">
      <c r="A46" s="3">
        <v>45536.916666666664</v>
      </c>
      <c r="B46" s="1">
        <v>29.1</v>
      </c>
      <c r="C46" s="7" t="str">
        <f t="shared" si="0"/>
        <v>0</v>
      </c>
      <c r="D46" s="7" t="str">
        <f t="shared" si="1"/>
        <v>0</v>
      </c>
    </row>
    <row r="47" spans="1:11" x14ac:dyDescent="0.3">
      <c r="A47" s="3">
        <v>45536.9375</v>
      </c>
      <c r="B47" s="1">
        <v>28</v>
      </c>
      <c r="C47" s="7" t="str">
        <f t="shared" si="0"/>
        <v>0</v>
      </c>
      <c r="D47" s="7" t="str">
        <f t="shared" si="1"/>
        <v>0</v>
      </c>
    </row>
    <row r="48" spans="1:11" x14ac:dyDescent="0.3">
      <c r="A48" s="3">
        <v>45536.958333333336</v>
      </c>
      <c r="B48" s="1">
        <v>27.4</v>
      </c>
      <c r="C48" s="7" t="str">
        <f t="shared" si="0"/>
        <v>0</v>
      </c>
      <c r="D48" s="7" t="str">
        <f t="shared" si="1"/>
        <v>0</v>
      </c>
    </row>
    <row r="49" spans="1:4" x14ac:dyDescent="0.3">
      <c r="A49" s="3">
        <v>45536.979166666664</v>
      </c>
      <c r="B49" s="1">
        <v>26.6</v>
      </c>
      <c r="C49" s="7" t="str">
        <f t="shared" si="0"/>
        <v>0</v>
      </c>
      <c r="D49" s="7" t="str">
        <f t="shared" si="1"/>
        <v>0</v>
      </c>
    </row>
    <row r="50" spans="1:4" x14ac:dyDescent="0.3">
      <c r="A50" s="3">
        <v>45537</v>
      </c>
      <c r="B50" s="1">
        <v>26.5</v>
      </c>
      <c r="C50" s="7" t="str">
        <f t="shared" si="0"/>
        <v>0</v>
      </c>
      <c r="D50" s="7" t="str">
        <f t="shared" si="1"/>
        <v>0</v>
      </c>
    </row>
    <row r="51" spans="1:4" x14ac:dyDescent="0.3">
      <c r="A51" s="3">
        <v>45537.020833333336</v>
      </c>
      <c r="B51" s="1">
        <v>26.2</v>
      </c>
      <c r="C51" s="7" t="str">
        <f t="shared" si="0"/>
        <v>0</v>
      </c>
      <c r="D51" s="7" t="str">
        <f t="shared" si="1"/>
        <v>0</v>
      </c>
    </row>
    <row r="52" spans="1:4" x14ac:dyDescent="0.3">
      <c r="A52" s="3">
        <v>45537.041666666664</v>
      </c>
      <c r="B52" s="1">
        <v>26.2</v>
      </c>
      <c r="C52" s="7" t="str">
        <f t="shared" si="0"/>
        <v>0</v>
      </c>
      <c r="D52" s="7" t="str">
        <f t="shared" si="1"/>
        <v>0</v>
      </c>
    </row>
    <row r="53" spans="1:4" x14ac:dyDescent="0.3">
      <c r="A53" s="3">
        <v>45537.0625</v>
      </c>
      <c r="B53" s="1">
        <v>25.7</v>
      </c>
      <c r="C53" s="7" t="str">
        <f t="shared" si="0"/>
        <v>0</v>
      </c>
      <c r="D53" s="7" t="str">
        <f t="shared" si="1"/>
        <v>0</v>
      </c>
    </row>
    <row r="54" spans="1:4" x14ac:dyDescent="0.3">
      <c r="A54" s="3">
        <v>45537.083333333336</v>
      </c>
      <c r="B54" s="1">
        <v>25.2</v>
      </c>
      <c r="C54" s="7" t="str">
        <f t="shared" si="0"/>
        <v>0</v>
      </c>
      <c r="D54" s="7" t="str">
        <f t="shared" si="1"/>
        <v>0</v>
      </c>
    </row>
    <row r="55" spans="1:4" x14ac:dyDescent="0.3">
      <c r="A55" s="3">
        <v>45537.104166666664</v>
      </c>
      <c r="B55" s="1">
        <v>24.8</v>
      </c>
      <c r="C55" s="7" t="str">
        <f t="shared" si="0"/>
        <v>0</v>
      </c>
      <c r="D55" s="7" t="str">
        <f t="shared" si="1"/>
        <v>0</v>
      </c>
    </row>
    <row r="56" spans="1:4" x14ac:dyDescent="0.3">
      <c r="A56" s="3">
        <v>45537.125</v>
      </c>
      <c r="B56" s="1">
        <v>24.7</v>
      </c>
      <c r="C56" s="7" t="str">
        <f t="shared" si="0"/>
        <v>0</v>
      </c>
      <c r="D56" s="7" t="str">
        <f t="shared" si="1"/>
        <v>0</v>
      </c>
    </row>
    <row r="57" spans="1:4" x14ac:dyDescent="0.3">
      <c r="A57" s="3">
        <v>45537.145833333336</v>
      </c>
      <c r="B57" s="1">
        <v>24.5</v>
      </c>
      <c r="C57" s="7" t="str">
        <f t="shared" si="0"/>
        <v>0</v>
      </c>
      <c r="D57" s="7" t="str">
        <f t="shared" si="1"/>
        <v>0</v>
      </c>
    </row>
    <row r="58" spans="1:4" x14ac:dyDescent="0.3">
      <c r="A58" s="3">
        <v>45537.166666666664</v>
      </c>
      <c r="B58" s="1">
        <v>24</v>
      </c>
      <c r="C58" s="7" t="str">
        <f t="shared" si="0"/>
        <v>0</v>
      </c>
      <c r="D58" s="7" t="str">
        <f t="shared" si="1"/>
        <v>0</v>
      </c>
    </row>
    <row r="59" spans="1:4" x14ac:dyDescent="0.3">
      <c r="A59" s="3">
        <v>45537.1875</v>
      </c>
      <c r="B59" s="1">
        <v>23.8</v>
      </c>
      <c r="C59" s="7" t="str">
        <f t="shared" si="0"/>
        <v>0</v>
      </c>
      <c r="D59" s="7" t="str">
        <f t="shared" si="1"/>
        <v>0</v>
      </c>
    </row>
    <row r="60" spans="1:4" x14ac:dyDescent="0.3">
      <c r="A60" s="3">
        <v>45537.208333333336</v>
      </c>
      <c r="B60" s="1">
        <v>23.4</v>
      </c>
      <c r="C60" s="7" t="str">
        <f t="shared" si="0"/>
        <v>0</v>
      </c>
      <c r="D60" s="7" t="str">
        <f t="shared" si="1"/>
        <v>0</v>
      </c>
    </row>
    <row r="61" spans="1:4" x14ac:dyDescent="0.3">
      <c r="A61" s="3">
        <v>45537.229166666664</v>
      </c>
      <c r="B61" s="1">
        <v>23.6</v>
      </c>
      <c r="C61" s="7" t="str">
        <f t="shared" si="0"/>
        <v>0</v>
      </c>
      <c r="D61" s="7" t="str">
        <f t="shared" si="1"/>
        <v>0</v>
      </c>
    </row>
    <row r="62" spans="1:4" x14ac:dyDescent="0.3">
      <c r="A62" s="3">
        <v>45537.25</v>
      </c>
      <c r="B62" s="1">
        <v>24</v>
      </c>
      <c r="C62" s="7" t="str">
        <f t="shared" si="0"/>
        <v>0</v>
      </c>
      <c r="D62" s="7" t="str">
        <f t="shared" si="1"/>
        <v>0</v>
      </c>
    </row>
    <row r="63" spans="1:4" x14ac:dyDescent="0.3">
      <c r="A63" s="3">
        <v>45537.270833333336</v>
      </c>
      <c r="B63" s="1">
        <v>24.3</v>
      </c>
      <c r="C63" s="7" t="str">
        <f t="shared" si="0"/>
        <v>0</v>
      </c>
      <c r="D63" s="7" t="str">
        <f t="shared" si="1"/>
        <v>0</v>
      </c>
    </row>
    <row r="64" spans="1:4" x14ac:dyDescent="0.3">
      <c r="A64" s="3">
        <v>45537.291666666664</v>
      </c>
      <c r="B64" s="1">
        <v>24.7</v>
      </c>
      <c r="C64" s="7" t="str">
        <f t="shared" si="0"/>
        <v>0</v>
      </c>
      <c r="D64" s="7" t="str">
        <f t="shared" si="1"/>
        <v>0</v>
      </c>
    </row>
    <row r="65" spans="1:4" x14ac:dyDescent="0.3">
      <c r="A65" s="3">
        <v>45537.3125</v>
      </c>
      <c r="B65" s="1">
        <v>25.4</v>
      </c>
      <c r="C65" s="7" t="str">
        <f t="shared" si="0"/>
        <v>0</v>
      </c>
      <c r="D65" s="7" t="str">
        <f t="shared" si="1"/>
        <v>0</v>
      </c>
    </row>
    <row r="66" spans="1:4" x14ac:dyDescent="0.3">
      <c r="A66" s="3">
        <v>45537.333333333336</v>
      </c>
      <c r="B66" s="1">
        <v>26.4</v>
      </c>
      <c r="C66" s="7" t="str">
        <f t="shared" si="0"/>
        <v>0</v>
      </c>
      <c r="D66" s="7" t="str">
        <f t="shared" si="1"/>
        <v>0</v>
      </c>
    </row>
    <row r="67" spans="1:4" x14ac:dyDescent="0.3">
      <c r="A67" s="3">
        <v>45537.354166666664</v>
      </c>
      <c r="B67" s="1">
        <v>27.7</v>
      </c>
      <c r="C67" s="7" t="str">
        <f t="shared" ref="C67:C130" si="4">IF(B67=$P$13,A67,"0")</f>
        <v>0</v>
      </c>
      <c r="D67" s="7" t="str">
        <f t="shared" ref="D67:D130" si="5">IF(B67=$M$13,A67,"0")</f>
        <v>0</v>
      </c>
    </row>
    <row r="68" spans="1:4" x14ac:dyDescent="0.3">
      <c r="A68" s="3">
        <v>45537.375</v>
      </c>
      <c r="B68" s="1">
        <v>28.6</v>
      </c>
      <c r="C68" s="7" t="str">
        <f t="shared" si="4"/>
        <v>0</v>
      </c>
      <c r="D68" s="7" t="str">
        <f t="shared" si="5"/>
        <v>0</v>
      </c>
    </row>
    <row r="69" spans="1:4" x14ac:dyDescent="0.3">
      <c r="A69" s="3">
        <v>45537.395833333336</v>
      </c>
      <c r="B69" s="1">
        <v>29.6</v>
      </c>
      <c r="C69" s="7" t="str">
        <f t="shared" si="4"/>
        <v>0</v>
      </c>
      <c r="D69" s="7" t="str">
        <f t="shared" si="5"/>
        <v>0</v>
      </c>
    </row>
    <row r="70" spans="1:4" x14ac:dyDescent="0.3">
      <c r="A70" s="3">
        <v>45537.416666666664</v>
      </c>
      <c r="B70" s="1">
        <v>30.6</v>
      </c>
      <c r="C70" s="7" t="str">
        <f t="shared" si="4"/>
        <v>0</v>
      </c>
      <c r="D70" s="7" t="str">
        <f t="shared" si="5"/>
        <v>0</v>
      </c>
    </row>
    <row r="71" spans="1:4" x14ac:dyDescent="0.3">
      <c r="A71" s="3">
        <v>45537.4375</v>
      </c>
      <c r="B71" s="1">
        <v>31.7</v>
      </c>
      <c r="C71" s="7" t="str">
        <f t="shared" si="4"/>
        <v>0</v>
      </c>
      <c r="D71" s="7" t="str">
        <f t="shared" si="5"/>
        <v>0</v>
      </c>
    </row>
    <row r="72" spans="1:4" x14ac:dyDescent="0.3">
      <c r="A72" s="3">
        <v>45537.458333333336</v>
      </c>
      <c r="B72" s="1">
        <v>32.4</v>
      </c>
      <c r="C72" s="7" t="str">
        <f t="shared" si="4"/>
        <v>0</v>
      </c>
      <c r="D72" s="7" t="str">
        <f t="shared" si="5"/>
        <v>0</v>
      </c>
    </row>
    <row r="73" spans="1:4" x14ac:dyDescent="0.3">
      <c r="A73" s="3">
        <v>45537.479166666664</v>
      </c>
      <c r="B73" s="1">
        <v>31.1</v>
      </c>
      <c r="C73" s="7" t="str">
        <f t="shared" si="4"/>
        <v>0</v>
      </c>
      <c r="D73" s="7" t="str">
        <f t="shared" si="5"/>
        <v>0</v>
      </c>
    </row>
    <row r="74" spans="1:4" x14ac:dyDescent="0.3">
      <c r="A74" s="3">
        <v>45537.5</v>
      </c>
      <c r="B74" s="1">
        <v>30.3</v>
      </c>
      <c r="C74" s="7" t="str">
        <f t="shared" si="4"/>
        <v>0</v>
      </c>
      <c r="D74" s="7" t="str">
        <f t="shared" si="5"/>
        <v>0</v>
      </c>
    </row>
    <row r="75" spans="1:4" x14ac:dyDescent="0.3">
      <c r="A75" s="3">
        <v>45537.520833333336</v>
      </c>
      <c r="B75" s="1">
        <v>29.1</v>
      </c>
      <c r="C75" s="7" t="str">
        <f t="shared" si="4"/>
        <v>0</v>
      </c>
      <c r="D75" s="7" t="str">
        <f t="shared" si="5"/>
        <v>0</v>
      </c>
    </row>
    <row r="76" spans="1:4" x14ac:dyDescent="0.3">
      <c r="A76" s="3">
        <v>45537.541666666664</v>
      </c>
      <c r="B76" s="1">
        <v>30.1</v>
      </c>
      <c r="C76" s="7" t="str">
        <f t="shared" si="4"/>
        <v>0</v>
      </c>
      <c r="D76" s="7" t="str">
        <f t="shared" si="5"/>
        <v>0</v>
      </c>
    </row>
    <row r="77" spans="1:4" x14ac:dyDescent="0.3">
      <c r="A77" s="3">
        <v>45537.5625</v>
      </c>
      <c r="B77" s="1">
        <v>31.8</v>
      </c>
      <c r="C77" s="7" t="str">
        <f t="shared" si="4"/>
        <v>0</v>
      </c>
      <c r="D77" s="7" t="str">
        <f t="shared" si="5"/>
        <v>0</v>
      </c>
    </row>
    <row r="78" spans="1:4" x14ac:dyDescent="0.3">
      <c r="A78" s="3">
        <v>45537.583333333336</v>
      </c>
      <c r="B78" s="1">
        <v>32.5</v>
      </c>
      <c r="C78" s="7" t="str">
        <f t="shared" si="4"/>
        <v>0</v>
      </c>
      <c r="D78" s="7" t="str">
        <f t="shared" si="5"/>
        <v>0</v>
      </c>
    </row>
    <row r="79" spans="1:4" x14ac:dyDescent="0.3">
      <c r="A79" s="3">
        <v>45537.604166666664</v>
      </c>
      <c r="B79" s="1">
        <v>33.200000000000003</v>
      </c>
      <c r="C79" s="7" t="str">
        <f t="shared" si="4"/>
        <v>0</v>
      </c>
      <c r="D79" s="7" t="str">
        <f t="shared" si="5"/>
        <v>0</v>
      </c>
    </row>
    <row r="80" spans="1:4" x14ac:dyDescent="0.3">
      <c r="A80" s="3">
        <v>45537.625</v>
      </c>
      <c r="B80" s="1">
        <v>30</v>
      </c>
      <c r="C80" s="7" t="str">
        <f t="shared" si="4"/>
        <v>0</v>
      </c>
      <c r="D80" s="7" t="str">
        <f t="shared" si="5"/>
        <v>0</v>
      </c>
    </row>
    <row r="81" spans="1:4" x14ac:dyDescent="0.3">
      <c r="A81" s="3">
        <v>45537.645833333336</v>
      </c>
      <c r="B81" s="1">
        <v>29.8</v>
      </c>
      <c r="C81" s="7" t="str">
        <f t="shared" si="4"/>
        <v>0</v>
      </c>
      <c r="D81" s="7" t="str">
        <f t="shared" si="5"/>
        <v>0</v>
      </c>
    </row>
    <row r="82" spans="1:4" x14ac:dyDescent="0.3">
      <c r="A82" s="3">
        <v>45537.666666666664</v>
      </c>
      <c r="B82" s="1">
        <v>29.6</v>
      </c>
      <c r="C82" s="7" t="str">
        <f t="shared" si="4"/>
        <v>0</v>
      </c>
      <c r="D82" s="7" t="str">
        <f t="shared" si="5"/>
        <v>0</v>
      </c>
    </row>
    <row r="83" spans="1:4" x14ac:dyDescent="0.3">
      <c r="A83" s="3">
        <v>45537.6875</v>
      </c>
      <c r="B83" s="1">
        <v>29.2</v>
      </c>
      <c r="C83" s="7" t="str">
        <f t="shared" si="4"/>
        <v>0</v>
      </c>
      <c r="D83" s="7" t="str">
        <f t="shared" si="5"/>
        <v>0</v>
      </c>
    </row>
    <row r="84" spans="1:4" x14ac:dyDescent="0.3">
      <c r="A84" s="3">
        <v>45537.708333333336</v>
      </c>
      <c r="B84" s="1">
        <v>29</v>
      </c>
      <c r="C84" s="7" t="str">
        <f t="shared" si="4"/>
        <v>0</v>
      </c>
      <c r="D84" s="7" t="str">
        <f t="shared" si="5"/>
        <v>0</v>
      </c>
    </row>
    <row r="85" spans="1:4" x14ac:dyDescent="0.3">
      <c r="A85" s="3">
        <v>45537.729166666664</v>
      </c>
      <c r="B85" s="1">
        <v>28.8</v>
      </c>
      <c r="C85" s="7" t="str">
        <f t="shared" si="4"/>
        <v>0</v>
      </c>
      <c r="D85" s="7" t="str">
        <f t="shared" si="5"/>
        <v>0</v>
      </c>
    </row>
    <row r="86" spans="1:4" x14ac:dyDescent="0.3">
      <c r="A86" s="3">
        <v>45537.75</v>
      </c>
      <c r="B86" s="1">
        <v>29</v>
      </c>
      <c r="C86" s="7" t="str">
        <f t="shared" si="4"/>
        <v>0</v>
      </c>
      <c r="D86" s="7" t="str">
        <f t="shared" si="5"/>
        <v>0</v>
      </c>
    </row>
    <row r="87" spans="1:4" x14ac:dyDescent="0.3">
      <c r="A87" s="3">
        <v>45537.770833333336</v>
      </c>
      <c r="B87" s="1">
        <v>28.9</v>
      </c>
      <c r="C87" s="7" t="str">
        <f t="shared" si="4"/>
        <v>0</v>
      </c>
      <c r="D87" s="7" t="str">
        <f t="shared" si="5"/>
        <v>0</v>
      </c>
    </row>
    <row r="88" spans="1:4" x14ac:dyDescent="0.3">
      <c r="A88" s="3">
        <v>45537.791666666664</v>
      </c>
      <c r="B88" s="1">
        <v>29</v>
      </c>
      <c r="C88" s="7" t="str">
        <f t="shared" si="4"/>
        <v>0</v>
      </c>
      <c r="D88" s="7" t="str">
        <f t="shared" si="5"/>
        <v>0</v>
      </c>
    </row>
    <row r="89" spans="1:4" x14ac:dyDescent="0.3">
      <c r="A89" s="3">
        <v>45537.8125</v>
      </c>
      <c r="B89" s="1">
        <v>28.8</v>
      </c>
      <c r="C89" s="7" t="str">
        <f t="shared" si="4"/>
        <v>0</v>
      </c>
      <c r="D89" s="7" t="str">
        <f t="shared" si="5"/>
        <v>0</v>
      </c>
    </row>
    <row r="90" spans="1:4" x14ac:dyDescent="0.3">
      <c r="A90" s="3">
        <v>45537.833333333336</v>
      </c>
      <c r="B90" s="1">
        <v>28.7</v>
      </c>
      <c r="C90" s="7" t="str">
        <f t="shared" si="4"/>
        <v>0</v>
      </c>
      <c r="D90" s="7" t="str">
        <f t="shared" si="5"/>
        <v>0</v>
      </c>
    </row>
    <row r="91" spans="1:4" x14ac:dyDescent="0.3">
      <c r="A91" s="3">
        <v>45537.854166666664</v>
      </c>
      <c r="B91" s="1">
        <v>28.7</v>
      </c>
      <c r="C91" s="7" t="str">
        <f t="shared" si="4"/>
        <v>0</v>
      </c>
      <c r="D91" s="7" t="str">
        <f t="shared" si="5"/>
        <v>0</v>
      </c>
    </row>
    <row r="92" spans="1:4" x14ac:dyDescent="0.3">
      <c r="A92" s="3">
        <v>45537.875</v>
      </c>
      <c r="B92" s="1">
        <v>28.6</v>
      </c>
      <c r="C92" s="7" t="str">
        <f t="shared" si="4"/>
        <v>0</v>
      </c>
      <c r="D92" s="7" t="str">
        <f t="shared" si="5"/>
        <v>0</v>
      </c>
    </row>
    <row r="93" spans="1:4" x14ac:dyDescent="0.3">
      <c r="A93" s="3">
        <v>45537.883553240739</v>
      </c>
      <c r="B93" s="1">
        <v>28.5</v>
      </c>
      <c r="C93" s="7" t="str">
        <f t="shared" si="4"/>
        <v>0</v>
      </c>
      <c r="D93" s="7" t="str">
        <f t="shared" si="5"/>
        <v>0</v>
      </c>
    </row>
    <row r="94" spans="1:4" x14ac:dyDescent="0.3">
      <c r="A94" s="3">
        <v>45537.895833333336</v>
      </c>
      <c r="B94" s="1">
        <v>28.2</v>
      </c>
      <c r="C94" s="7" t="str">
        <f t="shared" si="4"/>
        <v>0</v>
      </c>
      <c r="D94" s="7" t="str">
        <f t="shared" si="5"/>
        <v>0</v>
      </c>
    </row>
    <row r="95" spans="1:4" x14ac:dyDescent="0.3">
      <c r="A95" s="3">
        <v>45537.916666666664</v>
      </c>
      <c r="B95" s="1">
        <v>28.1</v>
      </c>
      <c r="C95" s="7" t="str">
        <f t="shared" si="4"/>
        <v>0</v>
      </c>
      <c r="D95" s="7" t="str">
        <f t="shared" si="5"/>
        <v>0</v>
      </c>
    </row>
    <row r="96" spans="1:4" x14ac:dyDescent="0.3">
      <c r="A96" s="3">
        <v>45537.9375</v>
      </c>
      <c r="B96" s="1">
        <v>27.9</v>
      </c>
      <c r="C96" s="7" t="str">
        <f t="shared" si="4"/>
        <v>0</v>
      </c>
      <c r="D96" s="7" t="str">
        <f t="shared" si="5"/>
        <v>0</v>
      </c>
    </row>
    <row r="97" spans="1:4" x14ac:dyDescent="0.3">
      <c r="A97" s="3">
        <v>45537.958333333336</v>
      </c>
      <c r="B97" s="1">
        <v>27.6</v>
      </c>
      <c r="C97" s="7" t="str">
        <f t="shared" si="4"/>
        <v>0</v>
      </c>
      <c r="D97" s="7" t="str">
        <f t="shared" si="5"/>
        <v>0</v>
      </c>
    </row>
    <row r="98" spans="1:4" x14ac:dyDescent="0.3">
      <c r="A98" s="3">
        <v>45537.979166666664</v>
      </c>
      <c r="B98" s="1">
        <v>27.4</v>
      </c>
      <c r="C98" s="7" t="str">
        <f t="shared" si="4"/>
        <v>0</v>
      </c>
      <c r="D98" s="7" t="str">
        <f t="shared" si="5"/>
        <v>0</v>
      </c>
    </row>
    <row r="99" spans="1:4" x14ac:dyDescent="0.3">
      <c r="A99" s="3">
        <v>45538</v>
      </c>
      <c r="B99" s="1">
        <v>26.9</v>
      </c>
      <c r="C99" s="7" t="str">
        <f t="shared" si="4"/>
        <v>0</v>
      </c>
      <c r="D99" s="7" t="str">
        <f t="shared" si="5"/>
        <v>0</v>
      </c>
    </row>
    <row r="100" spans="1:4" x14ac:dyDescent="0.3">
      <c r="A100" s="3">
        <v>45538.020833333336</v>
      </c>
      <c r="B100" s="1">
        <v>26.4</v>
      </c>
      <c r="C100" s="7" t="str">
        <f t="shared" si="4"/>
        <v>0</v>
      </c>
      <c r="D100" s="7" t="str">
        <f t="shared" si="5"/>
        <v>0</v>
      </c>
    </row>
    <row r="101" spans="1:4" x14ac:dyDescent="0.3">
      <c r="A101" s="3">
        <v>45538.041666666664</v>
      </c>
      <c r="B101" s="1">
        <v>25.7</v>
      </c>
      <c r="C101" s="7" t="str">
        <f t="shared" si="4"/>
        <v>0</v>
      </c>
      <c r="D101" s="7" t="str">
        <f t="shared" si="5"/>
        <v>0</v>
      </c>
    </row>
    <row r="102" spans="1:4" x14ac:dyDescent="0.3">
      <c r="A102" s="3">
        <v>45538.0625</v>
      </c>
      <c r="B102" s="1">
        <v>25.8</v>
      </c>
      <c r="C102" s="7" t="str">
        <f t="shared" si="4"/>
        <v>0</v>
      </c>
      <c r="D102" s="7" t="str">
        <f t="shared" si="5"/>
        <v>0</v>
      </c>
    </row>
    <row r="103" spans="1:4" x14ac:dyDescent="0.3">
      <c r="A103" s="3">
        <v>45538.083333333336</v>
      </c>
      <c r="B103" s="1">
        <v>25.4</v>
      </c>
      <c r="C103" s="7" t="str">
        <f t="shared" si="4"/>
        <v>0</v>
      </c>
      <c r="D103" s="7" t="str">
        <f t="shared" si="5"/>
        <v>0</v>
      </c>
    </row>
    <row r="104" spans="1:4" x14ac:dyDescent="0.3">
      <c r="A104" s="3">
        <v>45538.104166666664</v>
      </c>
      <c r="B104" s="1">
        <v>25.4</v>
      </c>
      <c r="C104" s="7" t="str">
        <f t="shared" si="4"/>
        <v>0</v>
      </c>
      <c r="D104" s="7" t="str">
        <f t="shared" si="5"/>
        <v>0</v>
      </c>
    </row>
    <row r="105" spans="1:4" x14ac:dyDescent="0.3">
      <c r="A105" s="3">
        <v>45538.125</v>
      </c>
      <c r="B105" s="1">
        <v>25.3</v>
      </c>
      <c r="C105" s="7" t="str">
        <f t="shared" si="4"/>
        <v>0</v>
      </c>
      <c r="D105" s="7" t="str">
        <f t="shared" si="5"/>
        <v>0</v>
      </c>
    </row>
    <row r="106" spans="1:4" x14ac:dyDescent="0.3">
      <c r="A106" s="3">
        <v>45538.145833333336</v>
      </c>
      <c r="B106" s="1">
        <v>25.6</v>
      </c>
      <c r="C106" s="7" t="str">
        <f t="shared" si="4"/>
        <v>0</v>
      </c>
      <c r="D106" s="7" t="str">
        <f t="shared" si="5"/>
        <v>0</v>
      </c>
    </row>
    <row r="107" spans="1:4" x14ac:dyDescent="0.3">
      <c r="A107" s="3">
        <v>45538.166666666664</v>
      </c>
      <c r="B107" s="1">
        <v>25.6</v>
      </c>
      <c r="C107" s="7" t="str">
        <f t="shared" si="4"/>
        <v>0</v>
      </c>
      <c r="D107" s="7" t="str">
        <f t="shared" si="5"/>
        <v>0</v>
      </c>
    </row>
    <row r="108" spans="1:4" x14ac:dyDescent="0.3">
      <c r="A108" s="3">
        <v>45538.1875</v>
      </c>
      <c r="B108" s="1">
        <v>25.3</v>
      </c>
      <c r="C108" s="7" t="str">
        <f t="shared" si="4"/>
        <v>0</v>
      </c>
      <c r="D108" s="7" t="str">
        <f t="shared" si="5"/>
        <v>0</v>
      </c>
    </row>
    <row r="109" spans="1:4" x14ac:dyDescent="0.3">
      <c r="A109" s="3">
        <v>45538.208333333336</v>
      </c>
      <c r="B109" s="1">
        <v>25</v>
      </c>
      <c r="C109" s="7" t="str">
        <f t="shared" si="4"/>
        <v>0</v>
      </c>
      <c r="D109" s="7" t="str">
        <f t="shared" si="5"/>
        <v>0</v>
      </c>
    </row>
    <row r="110" spans="1:4" x14ac:dyDescent="0.3">
      <c r="A110" s="3">
        <v>45538.229166666664</v>
      </c>
      <c r="B110" s="1">
        <v>24.9</v>
      </c>
      <c r="C110" s="7" t="str">
        <f t="shared" si="4"/>
        <v>0</v>
      </c>
      <c r="D110" s="7" t="str">
        <f t="shared" si="5"/>
        <v>0</v>
      </c>
    </row>
    <row r="111" spans="1:4" x14ac:dyDescent="0.3">
      <c r="A111" s="3">
        <v>45538.25</v>
      </c>
      <c r="B111" s="1">
        <v>25.2</v>
      </c>
      <c r="C111" s="7" t="str">
        <f t="shared" si="4"/>
        <v>0</v>
      </c>
      <c r="D111" s="7" t="str">
        <f t="shared" si="5"/>
        <v>0</v>
      </c>
    </row>
    <row r="112" spans="1:4" x14ac:dyDescent="0.3">
      <c r="A112" s="3">
        <v>45538.270833333336</v>
      </c>
      <c r="B112" s="1">
        <v>25.4</v>
      </c>
      <c r="C112" s="7" t="str">
        <f t="shared" si="4"/>
        <v>0</v>
      </c>
      <c r="D112" s="7" t="str">
        <f t="shared" si="5"/>
        <v>0</v>
      </c>
    </row>
    <row r="113" spans="1:4" x14ac:dyDescent="0.3">
      <c r="A113" s="3">
        <v>45538.291666666664</v>
      </c>
      <c r="B113" s="1">
        <v>25.7</v>
      </c>
      <c r="C113" s="7" t="str">
        <f t="shared" si="4"/>
        <v>0</v>
      </c>
      <c r="D113" s="7" t="str">
        <f t="shared" si="5"/>
        <v>0</v>
      </c>
    </row>
    <row r="114" spans="1:4" x14ac:dyDescent="0.3">
      <c r="A114" s="3">
        <v>45538.3125</v>
      </c>
      <c r="B114" s="1">
        <v>26.5</v>
      </c>
      <c r="C114" s="7" t="str">
        <f t="shared" si="4"/>
        <v>0</v>
      </c>
      <c r="D114" s="7" t="str">
        <f t="shared" si="5"/>
        <v>0</v>
      </c>
    </row>
    <row r="115" spans="1:4" x14ac:dyDescent="0.3">
      <c r="A115" s="3">
        <v>45538.333333333336</v>
      </c>
      <c r="B115" s="1">
        <v>27.2</v>
      </c>
      <c r="C115" s="7" t="str">
        <f t="shared" si="4"/>
        <v>0</v>
      </c>
      <c r="D115" s="7" t="str">
        <f t="shared" si="5"/>
        <v>0</v>
      </c>
    </row>
    <row r="116" spans="1:4" x14ac:dyDescent="0.3">
      <c r="A116" s="3">
        <v>45538.354166666664</v>
      </c>
      <c r="B116" s="1">
        <v>28</v>
      </c>
      <c r="C116" s="7" t="str">
        <f t="shared" si="4"/>
        <v>0</v>
      </c>
      <c r="D116" s="7" t="str">
        <f t="shared" si="5"/>
        <v>0</v>
      </c>
    </row>
    <row r="117" spans="1:4" x14ac:dyDescent="0.3">
      <c r="A117" s="3">
        <v>45538.375</v>
      </c>
      <c r="B117" s="1">
        <v>28.7</v>
      </c>
      <c r="C117" s="7" t="str">
        <f t="shared" si="4"/>
        <v>0</v>
      </c>
      <c r="D117" s="7" t="str">
        <f t="shared" si="5"/>
        <v>0</v>
      </c>
    </row>
    <row r="118" spans="1:4" x14ac:dyDescent="0.3">
      <c r="A118" s="3">
        <v>45538.395833333336</v>
      </c>
      <c r="B118" s="1">
        <v>29.9</v>
      </c>
      <c r="C118" s="7" t="str">
        <f t="shared" si="4"/>
        <v>0</v>
      </c>
      <c r="D118" s="7" t="str">
        <f t="shared" si="5"/>
        <v>0</v>
      </c>
    </row>
    <row r="119" spans="1:4" x14ac:dyDescent="0.3">
      <c r="A119" s="3">
        <v>45538.416666666664</v>
      </c>
      <c r="B119" s="1">
        <v>30.1</v>
      </c>
      <c r="C119" s="7" t="str">
        <f t="shared" si="4"/>
        <v>0</v>
      </c>
      <c r="D119" s="7" t="str">
        <f t="shared" si="5"/>
        <v>0</v>
      </c>
    </row>
    <row r="120" spans="1:4" x14ac:dyDescent="0.3">
      <c r="A120" s="3">
        <v>45538.4375</v>
      </c>
      <c r="B120" s="1">
        <v>25.1</v>
      </c>
      <c r="C120" s="7" t="str">
        <f t="shared" si="4"/>
        <v>0</v>
      </c>
      <c r="D120" s="7" t="str">
        <f t="shared" si="5"/>
        <v>0</v>
      </c>
    </row>
    <row r="121" spans="1:4" x14ac:dyDescent="0.3">
      <c r="A121" s="3">
        <v>45538.458333333336</v>
      </c>
      <c r="B121" s="1">
        <v>26.6</v>
      </c>
      <c r="C121" s="7" t="str">
        <f t="shared" si="4"/>
        <v>0</v>
      </c>
      <c r="D121" s="7" t="str">
        <f t="shared" si="5"/>
        <v>0</v>
      </c>
    </row>
    <row r="122" spans="1:4" x14ac:dyDescent="0.3">
      <c r="A122" s="3">
        <v>45538.479166666664</v>
      </c>
      <c r="B122" s="1">
        <v>26.4</v>
      </c>
      <c r="C122" s="7" t="str">
        <f t="shared" si="4"/>
        <v>0</v>
      </c>
      <c r="D122" s="7" t="str">
        <f t="shared" si="5"/>
        <v>0</v>
      </c>
    </row>
    <row r="123" spans="1:4" x14ac:dyDescent="0.3">
      <c r="A123" s="3">
        <v>45538.5</v>
      </c>
      <c r="B123" s="1">
        <v>28.3</v>
      </c>
      <c r="C123" s="7" t="str">
        <f t="shared" si="4"/>
        <v>0</v>
      </c>
      <c r="D123" s="7" t="str">
        <f t="shared" si="5"/>
        <v>0</v>
      </c>
    </row>
    <row r="124" spans="1:4" x14ac:dyDescent="0.3">
      <c r="A124" s="3">
        <v>45538.520833333336</v>
      </c>
      <c r="B124" s="1">
        <v>28.9</v>
      </c>
      <c r="C124" s="7" t="str">
        <f t="shared" si="4"/>
        <v>0</v>
      </c>
      <c r="D124" s="7" t="str">
        <f t="shared" si="5"/>
        <v>0</v>
      </c>
    </row>
    <row r="125" spans="1:4" x14ac:dyDescent="0.3">
      <c r="A125" s="3">
        <v>45538.541666666664</v>
      </c>
      <c r="B125" s="1">
        <v>29.5</v>
      </c>
      <c r="C125" s="7" t="str">
        <f t="shared" si="4"/>
        <v>0</v>
      </c>
      <c r="D125" s="7" t="str">
        <f t="shared" si="5"/>
        <v>0</v>
      </c>
    </row>
    <row r="126" spans="1:4" x14ac:dyDescent="0.3">
      <c r="A126" s="3">
        <v>45538.5625</v>
      </c>
      <c r="B126" s="1">
        <v>29.2</v>
      </c>
      <c r="C126" s="7" t="str">
        <f t="shared" si="4"/>
        <v>0</v>
      </c>
      <c r="D126" s="7" t="str">
        <f t="shared" si="5"/>
        <v>0</v>
      </c>
    </row>
    <row r="127" spans="1:4" x14ac:dyDescent="0.3">
      <c r="A127" s="3">
        <v>45538.583333333336</v>
      </c>
      <c r="B127" s="1">
        <v>29.7</v>
      </c>
      <c r="C127" s="7" t="str">
        <f t="shared" si="4"/>
        <v>0</v>
      </c>
      <c r="D127" s="7" t="str">
        <f t="shared" si="5"/>
        <v>0</v>
      </c>
    </row>
    <row r="128" spans="1:4" x14ac:dyDescent="0.3">
      <c r="A128" s="3">
        <v>45538.604166666664</v>
      </c>
      <c r="B128" s="1">
        <v>29.7</v>
      </c>
      <c r="C128" s="7" t="str">
        <f t="shared" si="4"/>
        <v>0</v>
      </c>
      <c r="D128" s="7" t="str">
        <f t="shared" si="5"/>
        <v>0</v>
      </c>
    </row>
    <row r="129" spans="1:4" x14ac:dyDescent="0.3">
      <c r="A129" s="3">
        <v>45538.625</v>
      </c>
      <c r="B129" s="1">
        <v>22.5</v>
      </c>
      <c r="C129" s="7" t="str">
        <f t="shared" si="4"/>
        <v>0</v>
      </c>
      <c r="D129" s="7" t="str">
        <f t="shared" si="5"/>
        <v>0</v>
      </c>
    </row>
    <row r="130" spans="1:4" x14ac:dyDescent="0.3">
      <c r="A130" s="3">
        <v>45538.645833333336</v>
      </c>
      <c r="B130" s="1">
        <v>22.1</v>
      </c>
      <c r="C130" s="7" t="str">
        <f t="shared" si="4"/>
        <v>0</v>
      </c>
      <c r="D130" s="7" t="str">
        <f t="shared" si="5"/>
        <v>0</v>
      </c>
    </row>
    <row r="131" spans="1:4" x14ac:dyDescent="0.3">
      <c r="A131" s="3">
        <v>45538.666666666664</v>
      </c>
      <c r="B131" s="1">
        <v>22.5</v>
      </c>
      <c r="C131" s="7" t="str">
        <f t="shared" ref="C131:C194" si="6">IF(B131=$P$13,A131,"0")</f>
        <v>0</v>
      </c>
      <c r="D131" s="7" t="str">
        <f t="shared" ref="D131:D194" si="7">IF(B131=$M$13,A131,"0")</f>
        <v>0</v>
      </c>
    </row>
    <row r="132" spans="1:4" x14ac:dyDescent="0.3">
      <c r="A132" s="3">
        <v>45538.6875</v>
      </c>
      <c r="B132" s="1">
        <v>23.1</v>
      </c>
      <c r="C132" s="7" t="str">
        <f t="shared" si="6"/>
        <v>0</v>
      </c>
      <c r="D132" s="7" t="str">
        <f t="shared" si="7"/>
        <v>0</v>
      </c>
    </row>
    <row r="133" spans="1:4" x14ac:dyDescent="0.3">
      <c r="A133" s="3">
        <v>45538.708333333336</v>
      </c>
      <c r="B133" s="1">
        <v>23.3</v>
      </c>
      <c r="C133" s="7" t="str">
        <f t="shared" si="6"/>
        <v>0</v>
      </c>
      <c r="D133" s="7" t="str">
        <f t="shared" si="7"/>
        <v>0</v>
      </c>
    </row>
    <row r="134" spans="1:4" x14ac:dyDescent="0.3">
      <c r="A134" s="3">
        <v>45538.729166666664</v>
      </c>
      <c r="B134" s="1">
        <v>23.8</v>
      </c>
      <c r="C134" s="7" t="str">
        <f t="shared" si="6"/>
        <v>0</v>
      </c>
      <c r="D134" s="7" t="str">
        <f t="shared" si="7"/>
        <v>0</v>
      </c>
    </row>
    <row r="135" spans="1:4" x14ac:dyDescent="0.3">
      <c r="A135" s="3">
        <v>45538.75</v>
      </c>
      <c r="B135" s="1">
        <v>23.8</v>
      </c>
      <c r="C135" s="7" t="str">
        <f t="shared" si="6"/>
        <v>0</v>
      </c>
      <c r="D135" s="7" t="str">
        <f t="shared" si="7"/>
        <v>0</v>
      </c>
    </row>
    <row r="136" spans="1:4" x14ac:dyDescent="0.3">
      <c r="A136" s="3">
        <v>45538.770833333336</v>
      </c>
      <c r="B136" s="1">
        <v>23.7</v>
      </c>
      <c r="C136" s="7" t="str">
        <f t="shared" si="6"/>
        <v>0</v>
      </c>
      <c r="D136" s="7" t="str">
        <f t="shared" si="7"/>
        <v>0</v>
      </c>
    </row>
    <row r="137" spans="1:4" x14ac:dyDescent="0.3">
      <c r="A137" s="3">
        <v>45538.791666666664</v>
      </c>
      <c r="B137" s="1">
        <v>23.3</v>
      </c>
      <c r="C137" s="7" t="str">
        <f t="shared" si="6"/>
        <v>0</v>
      </c>
      <c r="D137" s="7" t="str">
        <f t="shared" si="7"/>
        <v>0</v>
      </c>
    </row>
    <row r="138" spans="1:4" x14ac:dyDescent="0.3">
      <c r="A138" s="3">
        <v>45538.8125</v>
      </c>
      <c r="B138" s="1">
        <v>22.7</v>
      </c>
      <c r="C138" s="7" t="str">
        <f t="shared" si="6"/>
        <v>0</v>
      </c>
      <c r="D138" s="7" t="str">
        <f t="shared" si="7"/>
        <v>0</v>
      </c>
    </row>
    <row r="139" spans="1:4" x14ac:dyDescent="0.3">
      <c r="A139" s="3">
        <v>45538.833333333336</v>
      </c>
      <c r="B139" s="1">
        <v>22.6</v>
      </c>
      <c r="C139" s="7" t="str">
        <f t="shared" si="6"/>
        <v>0</v>
      </c>
      <c r="D139" s="7" t="str">
        <f t="shared" si="7"/>
        <v>0</v>
      </c>
    </row>
    <row r="140" spans="1:4" x14ac:dyDescent="0.3">
      <c r="A140" s="3">
        <v>45538.854166666664</v>
      </c>
      <c r="B140" s="1">
        <v>22.9</v>
      </c>
      <c r="C140" s="7" t="str">
        <f t="shared" si="6"/>
        <v>0</v>
      </c>
      <c r="D140" s="7" t="str">
        <f t="shared" si="7"/>
        <v>0</v>
      </c>
    </row>
    <row r="141" spans="1:4" x14ac:dyDescent="0.3">
      <c r="A141" s="3">
        <v>45538.875</v>
      </c>
      <c r="B141" s="1">
        <v>22.7</v>
      </c>
      <c r="C141" s="7" t="str">
        <f t="shared" si="6"/>
        <v>0</v>
      </c>
      <c r="D141" s="7" t="str">
        <f t="shared" si="7"/>
        <v>0</v>
      </c>
    </row>
    <row r="142" spans="1:4" x14ac:dyDescent="0.3">
      <c r="A142" s="3">
        <v>45538.895833333336</v>
      </c>
      <c r="B142" s="1">
        <v>22.7</v>
      </c>
      <c r="C142" s="7" t="str">
        <f t="shared" si="6"/>
        <v>0</v>
      </c>
      <c r="D142" s="7" t="str">
        <f t="shared" si="7"/>
        <v>0</v>
      </c>
    </row>
    <row r="143" spans="1:4" x14ac:dyDescent="0.3">
      <c r="A143" s="3">
        <v>45538.916666666664</v>
      </c>
      <c r="B143" s="1">
        <v>22.6</v>
      </c>
      <c r="C143" s="7" t="str">
        <f t="shared" si="6"/>
        <v>0</v>
      </c>
      <c r="D143" s="7" t="str">
        <f t="shared" si="7"/>
        <v>0</v>
      </c>
    </row>
    <row r="144" spans="1:4" x14ac:dyDescent="0.3">
      <c r="A144" s="3">
        <v>45538.9375</v>
      </c>
      <c r="B144" s="1">
        <v>22.4</v>
      </c>
      <c r="C144" s="7" t="str">
        <f t="shared" si="6"/>
        <v>0</v>
      </c>
      <c r="D144" s="7" t="str">
        <f t="shared" si="7"/>
        <v>0</v>
      </c>
    </row>
    <row r="145" spans="1:4" x14ac:dyDescent="0.3">
      <c r="A145" s="3">
        <v>45538.958333333336</v>
      </c>
      <c r="B145" s="1">
        <v>22.2</v>
      </c>
      <c r="C145" s="7" t="str">
        <f t="shared" si="6"/>
        <v>0</v>
      </c>
      <c r="D145" s="7" t="str">
        <f t="shared" si="7"/>
        <v>0</v>
      </c>
    </row>
    <row r="146" spans="1:4" x14ac:dyDescent="0.3">
      <c r="A146" s="3">
        <v>45538.979166666664</v>
      </c>
      <c r="B146" s="1">
        <v>21.9</v>
      </c>
      <c r="C146" s="7" t="str">
        <f t="shared" si="6"/>
        <v>0</v>
      </c>
      <c r="D146" s="7" t="str">
        <f t="shared" si="7"/>
        <v>0</v>
      </c>
    </row>
    <row r="147" spans="1:4" x14ac:dyDescent="0.3">
      <c r="A147" s="3">
        <v>45539</v>
      </c>
      <c r="B147" s="1">
        <v>21.6</v>
      </c>
      <c r="C147" s="7" t="str">
        <f t="shared" si="6"/>
        <v>0</v>
      </c>
      <c r="D147" s="7" t="str">
        <f t="shared" si="7"/>
        <v>0</v>
      </c>
    </row>
    <row r="148" spans="1:4" x14ac:dyDescent="0.3">
      <c r="A148" s="3">
        <v>45539.020833333336</v>
      </c>
      <c r="B148" s="1">
        <v>21.6</v>
      </c>
      <c r="C148" s="7" t="str">
        <f t="shared" si="6"/>
        <v>0</v>
      </c>
      <c r="D148" s="7" t="str">
        <f t="shared" si="7"/>
        <v>0</v>
      </c>
    </row>
    <row r="149" spans="1:4" x14ac:dyDescent="0.3">
      <c r="A149" s="3">
        <v>45539.041666666664</v>
      </c>
      <c r="B149" s="1">
        <v>21.6</v>
      </c>
      <c r="C149" s="7" t="str">
        <f t="shared" si="6"/>
        <v>0</v>
      </c>
      <c r="D149" s="7" t="str">
        <f t="shared" si="7"/>
        <v>0</v>
      </c>
    </row>
    <row r="150" spans="1:4" x14ac:dyDescent="0.3">
      <c r="A150" s="3">
        <v>45539.0625</v>
      </c>
      <c r="B150" s="1">
        <v>21.5</v>
      </c>
      <c r="C150" s="7" t="str">
        <f t="shared" si="6"/>
        <v>0</v>
      </c>
      <c r="D150" s="7" t="str">
        <f t="shared" si="7"/>
        <v>0</v>
      </c>
    </row>
    <row r="151" spans="1:4" x14ac:dyDescent="0.3">
      <c r="A151" s="3">
        <v>45539.083333333336</v>
      </c>
      <c r="B151" s="1">
        <v>21.2</v>
      </c>
      <c r="C151" s="7" t="str">
        <f t="shared" si="6"/>
        <v>0</v>
      </c>
      <c r="D151" s="7" t="str">
        <f t="shared" si="7"/>
        <v>0</v>
      </c>
    </row>
    <row r="152" spans="1:4" x14ac:dyDescent="0.3">
      <c r="A152" s="3">
        <v>45539.104166666664</v>
      </c>
      <c r="B152" s="1">
        <v>21.7</v>
      </c>
      <c r="C152" s="7" t="str">
        <f t="shared" si="6"/>
        <v>0</v>
      </c>
      <c r="D152" s="7" t="str">
        <f t="shared" si="7"/>
        <v>0</v>
      </c>
    </row>
    <row r="153" spans="1:4" x14ac:dyDescent="0.3">
      <c r="A153" s="3">
        <v>45539.125</v>
      </c>
      <c r="B153" s="1">
        <v>21.3</v>
      </c>
      <c r="C153" s="7" t="str">
        <f t="shared" si="6"/>
        <v>0</v>
      </c>
      <c r="D153" s="7" t="str">
        <f t="shared" si="7"/>
        <v>0</v>
      </c>
    </row>
    <row r="154" spans="1:4" x14ac:dyDescent="0.3">
      <c r="A154" s="3">
        <v>45539.145833333336</v>
      </c>
      <c r="B154" s="1">
        <v>20.8</v>
      </c>
      <c r="C154" s="7" t="str">
        <f t="shared" si="6"/>
        <v>0</v>
      </c>
      <c r="D154" s="7" t="str">
        <f t="shared" si="7"/>
        <v>0</v>
      </c>
    </row>
    <row r="155" spans="1:4" x14ac:dyDescent="0.3">
      <c r="A155" s="3">
        <v>45539.166666666664</v>
      </c>
      <c r="B155" s="1">
        <v>20.9</v>
      </c>
      <c r="C155" s="7" t="str">
        <f t="shared" si="6"/>
        <v>0</v>
      </c>
      <c r="D155" s="7" t="str">
        <f t="shared" si="7"/>
        <v>0</v>
      </c>
    </row>
    <row r="156" spans="1:4" x14ac:dyDescent="0.3">
      <c r="A156" s="3">
        <v>45539.1875</v>
      </c>
      <c r="B156" s="1">
        <v>21</v>
      </c>
      <c r="C156" s="7" t="str">
        <f t="shared" si="6"/>
        <v>0</v>
      </c>
      <c r="D156" s="7" t="str">
        <f t="shared" si="7"/>
        <v>0</v>
      </c>
    </row>
    <row r="157" spans="1:4" x14ac:dyDescent="0.3">
      <c r="A157" s="3">
        <v>45539.208333333336</v>
      </c>
      <c r="B157" s="1">
        <v>20.8</v>
      </c>
      <c r="C157" s="7" t="str">
        <f t="shared" si="6"/>
        <v>0</v>
      </c>
      <c r="D157" s="7" t="str">
        <f t="shared" si="7"/>
        <v>0</v>
      </c>
    </row>
    <row r="158" spans="1:4" x14ac:dyDescent="0.3">
      <c r="A158" s="3">
        <v>45539.229166666664</v>
      </c>
      <c r="B158" s="1">
        <v>20.8</v>
      </c>
      <c r="C158" s="7" t="str">
        <f t="shared" si="6"/>
        <v>0</v>
      </c>
      <c r="D158" s="7" t="str">
        <f t="shared" si="7"/>
        <v>0</v>
      </c>
    </row>
    <row r="159" spans="1:4" x14ac:dyDescent="0.3">
      <c r="A159" s="3">
        <v>45539.25</v>
      </c>
      <c r="B159" s="1">
        <v>21.5</v>
      </c>
      <c r="C159" s="7" t="str">
        <f t="shared" si="6"/>
        <v>0</v>
      </c>
      <c r="D159" s="7" t="str">
        <f t="shared" si="7"/>
        <v>0</v>
      </c>
    </row>
    <row r="160" spans="1:4" x14ac:dyDescent="0.3">
      <c r="A160" s="3">
        <v>45539.270833333336</v>
      </c>
      <c r="B160" s="1">
        <v>22.2</v>
      </c>
      <c r="C160" s="7" t="str">
        <f t="shared" si="6"/>
        <v>0</v>
      </c>
      <c r="D160" s="7" t="str">
        <f t="shared" si="7"/>
        <v>0</v>
      </c>
    </row>
    <row r="161" spans="1:4" x14ac:dyDescent="0.3">
      <c r="A161" s="3">
        <v>45539.291666666664</v>
      </c>
      <c r="B161" s="1">
        <v>22.9</v>
      </c>
      <c r="C161" s="7" t="str">
        <f t="shared" si="6"/>
        <v>0</v>
      </c>
      <c r="D161" s="7" t="str">
        <f t="shared" si="7"/>
        <v>0</v>
      </c>
    </row>
    <row r="162" spans="1:4" x14ac:dyDescent="0.3">
      <c r="A162" s="3">
        <v>45539.3125</v>
      </c>
      <c r="B162" s="1">
        <v>23.5</v>
      </c>
      <c r="C162" s="7" t="str">
        <f t="shared" si="6"/>
        <v>0</v>
      </c>
      <c r="D162" s="7" t="str">
        <f t="shared" si="7"/>
        <v>0</v>
      </c>
    </row>
    <row r="163" spans="1:4" x14ac:dyDescent="0.3">
      <c r="A163" s="3">
        <v>45539.333333333336</v>
      </c>
      <c r="B163" s="1">
        <v>24.6</v>
      </c>
      <c r="C163" s="7" t="str">
        <f t="shared" si="6"/>
        <v>0</v>
      </c>
      <c r="D163" s="7" t="str">
        <f t="shared" si="7"/>
        <v>0</v>
      </c>
    </row>
    <row r="164" spans="1:4" x14ac:dyDescent="0.3">
      <c r="A164" s="3">
        <v>45539.354166666664</v>
      </c>
      <c r="B164" s="1">
        <v>25.6</v>
      </c>
      <c r="C164" s="7" t="str">
        <f t="shared" si="6"/>
        <v>0</v>
      </c>
      <c r="D164" s="7" t="str">
        <f t="shared" si="7"/>
        <v>0</v>
      </c>
    </row>
    <row r="165" spans="1:4" x14ac:dyDescent="0.3">
      <c r="A165" s="3">
        <v>45539.375</v>
      </c>
      <c r="B165" s="1">
        <v>26.4</v>
      </c>
      <c r="C165" s="7" t="str">
        <f t="shared" si="6"/>
        <v>0</v>
      </c>
      <c r="D165" s="7" t="str">
        <f t="shared" si="7"/>
        <v>0</v>
      </c>
    </row>
    <row r="166" spans="1:4" x14ac:dyDescent="0.3">
      <c r="A166" s="3">
        <v>45539.395833333336</v>
      </c>
      <c r="B166" s="1">
        <v>27.2</v>
      </c>
      <c r="C166" s="7" t="str">
        <f t="shared" si="6"/>
        <v>0</v>
      </c>
      <c r="D166" s="7" t="str">
        <f t="shared" si="7"/>
        <v>0</v>
      </c>
    </row>
    <row r="167" spans="1:4" x14ac:dyDescent="0.3">
      <c r="A167" s="3">
        <v>45539.416666666664</v>
      </c>
      <c r="B167" s="1">
        <v>27.8</v>
      </c>
      <c r="C167" s="7" t="str">
        <f t="shared" si="6"/>
        <v>0</v>
      </c>
      <c r="D167" s="7" t="str">
        <f t="shared" si="7"/>
        <v>0</v>
      </c>
    </row>
    <row r="168" spans="1:4" x14ac:dyDescent="0.3">
      <c r="A168" s="3">
        <v>45539.4375</v>
      </c>
      <c r="B168" s="1">
        <v>27.7</v>
      </c>
      <c r="C168" s="7" t="str">
        <f t="shared" si="6"/>
        <v>0</v>
      </c>
      <c r="D168" s="7" t="str">
        <f t="shared" si="7"/>
        <v>0</v>
      </c>
    </row>
    <row r="169" spans="1:4" x14ac:dyDescent="0.3">
      <c r="A169" s="3">
        <v>45539.458333333336</v>
      </c>
      <c r="B169" s="1">
        <v>28</v>
      </c>
      <c r="C169" s="7" t="str">
        <f t="shared" si="6"/>
        <v>0</v>
      </c>
      <c r="D169" s="7" t="str">
        <f t="shared" si="7"/>
        <v>0</v>
      </c>
    </row>
    <row r="170" spans="1:4" x14ac:dyDescent="0.3">
      <c r="A170" s="3">
        <v>45539.479166666664</v>
      </c>
      <c r="B170" s="1">
        <v>28.8</v>
      </c>
      <c r="C170" s="7" t="str">
        <f t="shared" si="6"/>
        <v>0</v>
      </c>
      <c r="D170" s="7" t="str">
        <f t="shared" si="7"/>
        <v>0</v>
      </c>
    </row>
    <row r="171" spans="1:4" x14ac:dyDescent="0.3">
      <c r="A171" s="3">
        <v>45539.5</v>
      </c>
      <c r="B171" s="1">
        <v>29.2</v>
      </c>
      <c r="C171" s="7" t="str">
        <f t="shared" si="6"/>
        <v>0</v>
      </c>
      <c r="D171" s="7" t="str">
        <f t="shared" si="7"/>
        <v>0</v>
      </c>
    </row>
    <row r="172" spans="1:4" x14ac:dyDescent="0.3">
      <c r="A172" s="3">
        <v>45539.520833333336</v>
      </c>
      <c r="B172" s="1">
        <v>30.2</v>
      </c>
      <c r="C172" s="7" t="str">
        <f t="shared" si="6"/>
        <v>0</v>
      </c>
      <c r="D172" s="7" t="str">
        <f t="shared" si="7"/>
        <v>0</v>
      </c>
    </row>
    <row r="173" spans="1:4" x14ac:dyDescent="0.3">
      <c r="A173" s="3">
        <v>45539.541666666664</v>
      </c>
      <c r="B173" s="1">
        <v>29.5</v>
      </c>
      <c r="C173" s="7" t="str">
        <f t="shared" si="6"/>
        <v>0</v>
      </c>
      <c r="D173" s="7" t="str">
        <f t="shared" si="7"/>
        <v>0</v>
      </c>
    </row>
    <row r="174" spans="1:4" x14ac:dyDescent="0.3">
      <c r="A174" s="3">
        <v>45539.5625</v>
      </c>
      <c r="B174" s="1">
        <v>29.6</v>
      </c>
      <c r="C174" s="7" t="str">
        <f t="shared" si="6"/>
        <v>0</v>
      </c>
      <c r="D174" s="7" t="str">
        <f t="shared" si="7"/>
        <v>0</v>
      </c>
    </row>
    <row r="175" spans="1:4" x14ac:dyDescent="0.3">
      <c r="A175" s="3">
        <v>45539.583333333336</v>
      </c>
      <c r="B175" s="1">
        <v>30</v>
      </c>
      <c r="C175" s="7" t="str">
        <f t="shared" si="6"/>
        <v>0</v>
      </c>
      <c r="D175" s="7" t="str">
        <f t="shared" si="7"/>
        <v>0</v>
      </c>
    </row>
    <row r="176" spans="1:4" x14ac:dyDescent="0.3">
      <c r="A176" s="3">
        <v>45539.604166666664</v>
      </c>
      <c r="B176" s="1">
        <v>30.2</v>
      </c>
      <c r="C176" s="7" t="str">
        <f t="shared" si="6"/>
        <v>0</v>
      </c>
      <c r="D176" s="7" t="str">
        <f t="shared" si="7"/>
        <v>0</v>
      </c>
    </row>
    <row r="177" spans="1:4" x14ac:dyDescent="0.3">
      <c r="A177" s="3">
        <v>45539.625</v>
      </c>
      <c r="B177" s="1">
        <v>30.2</v>
      </c>
      <c r="C177" s="7" t="str">
        <f t="shared" si="6"/>
        <v>0</v>
      </c>
      <c r="D177" s="7" t="str">
        <f t="shared" si="7"/>
        <v>0</v>
      </c>
    </row>
    <row r="178" spans="1:4" x14ac:dyDescent="0.3">
      <c r="A178" s="3">
        <v>45539.645833333336</v>
      </c>
      <c r="B178" s="1">
        <v>29.3</v>
      </c>
      <c r="C178" s="7" t="str">
        <f t="shared" si="6"/>
        <v>0</v>
      </c>
      <c r="D178" s="7" t="str">
        <f t="shared" si="7"/>
        <v>0</v>
      </c>
    </row>
    <row r="179" spans="1:4" x14ac:dyDescent="0.3">
      <c r="A179" s="3">
        <v>45539.666666666664</v>
      </c>
      <c r="B179" s="1">
        <v>29.7</v>
      </c>
      <c r="C179" s="7" t="str">
        <f t="shared" si="6"/>
        <v>0</v>
      </c>
      <c r="D179" s="7" t="str">
        <f t="shared" si="7"/>
        <v>0</v>
      </c>
    </row>
    <row r="180" spans="1:4" x14ac:dyDescent="0.3">
      <c r="A180" s="3">
        <v>45539.6875</v>
      </c>
      <c r="B180" s="1">
        <v>29.9</v>
      </c>
      <c r="C180" s="7" t="str">
        <f t="shared" si="6"/>
        <v>0</v>
      </c>
      <c r="D180" s="7" t="str">
        <f t="shared" si="7"/>
        <v>0</v>
      </c>
    </row>
    <row r="181" spans="1:4" x14ac:dyDescent="0.3">
      <c r="A181" s="3">
        <v>45539.708333333336</v>
      </c>
      <c r="B181" s="1">
        <v>29</v>
      </c>
      <c r="C181" s="7" t="str">
        <f t="shared" si="6"/>
        <v>0</v>
      </c>
      <c r="D181" s="7" t="str">
        <f t="shared" si="7"/>
        <v>0</v>
      </c>
    </row>
    <row r="182" spans="1:4" x14ac:dyDescent="0.3">
      <c r="A182" s="3">
        <v>45539.729166666664</v>
      </c>
      <c r="B182" s="1">
        <v>28.9</v>
      </c>
      <c r="C182" s="7" t="str">
        <f t="shared" si="6"/>
        <v>0</v>
      </c>
      <c r="D182" s="7" t="str">
        <f t="shared" si="7"/>
        <v>0</v>
      </c>
    </row>
    <row r="183" spans="1:4" x14ac:dyDescent="0.3">
      <c r="A183" s="3">
        <v>45539.75</v>
      </c>
      <c r="B183" s="1">
        <v>28.4</v>
      </c>
      <c r="C183" s="7" t="str">
        <f t="shared" si="6"/>
        <v>0</v>
      </c>
      <c r="D183" s="7" t="str">
        <f t="shared" si="7"/>
        <v>0</v>
      </c>
    </row>
    <row r="184" spans="1:4" x14ac:dyDescent="0.3">
      <c r="A184" s="3">
        <v>45539.770833333336</v>
      </c>
      <c r="B184" s="1">
        <v>27.6</v>
      </c>
      <c r="C184" s="7" t="str">
        <f t="shared" si="6"/>
        <v>0</v>
      </c>
      <c r="D184" s="7" t="str">
        <f t="shared" si="7"/>
        <v>0</v>
      </c>
    </row>
    <row r="185" spans="1:4" x14ac:dyDescent="0.3">
      <c r="A185" s="3">
        <v>45539.791666666664</v>
      </c>
      <c r="B185" s="1">
        <v>27.3</v>
      </c>
      <c r="C185" s="7" t="str">
        <f t="shared" si="6"/>
        <v>0</v>
      </c>
      <c r="D185" s="7" t="str">
        <f t="shared" si="7"/>
        <v>0</v>
      </c>
    </row>
    <row r="186" spans="1:4" x14ac:dyDescent="0.3">
      <c r="A186" s="3">
        <v>45539.8125</v>
      </c>
      <c r="B186" s="1">
        <v>27.1</v>
      </c>
      <c r="C186" s="7" t="str">
        <f t="shared" si="6"/>
        <v>0</v>
      </c>
      <c r="D186" s="7" t="str">
        <f t="shared" si="7"/>
        <v>0</v>
      </c>
    </row>
    <row r="187" spans="1:4" x14ac:dyDescent="0.3">
      <c r="A187" s="3">
        <v>45539.833333333336</v>
      </c>
      <c r="B187" s="1">
        <v>26.8</v>
      </c>
      <c r="C187" s="7" t="str">
        <f t="shared" si="6"/>
        <v>0</v>
      </c>
      <c r="D187" s="7" t="str">
        <f t="shared" si="7"/>
        <v>0</v>
      </c>
    </row>
    <row r="188" spans="1:4" x14ac:dyDescent="0.3">
      <c r="A188" s="3">
        <v>45539.854166666664</v>
      </c>
      <c r="B188" s="1">
        <v>26.7</v>
      </c>
      <c r="C188" s="7" t="str">
        <f t="shared" si="6"/>
        <v>0</v>
      </c>
      <c r="D188" s="7" t="str">
        <f t="shared" si="7"/>
        <v>0</v>
      </c>
    </row>
    <row r="189" spans="1:4" x14ac:dyDescent="0.3">
      <c r="A189" s="3">
        <v>45539.875</v>
      </c>
      <c r="B189" s="1">
        <v>26.6</v>
      </c>
      <c r="C189" s="7" t="str">
        <f t="shared" si="6"/>
        <v>0</v>
      </c>
      <c r="D189" s="7" t="str">
        <f t="shared" si="7"/>
        <v>0</v>
      </c>
    </row>
    <row r="190" spans="1:4" x14ac:dyDescent="0.3">
      <c r="A190" s="3">
        <v>45539.895833333336</v>
      </c>
      <c r="B190" s="1">
        <v>26.4</v>
      </c>
      <c r="C190" s="7" t="str">
        <f t="shared" si="6"/>
        <v>0</v>
      </c>
      <c r="D190" s="7" t="str">
        <f t="shared" si="7"/>
        <v>0</v>
      </c>
    </row>
    <row r="191" spans="1:4" x14ac:dyDescent="0.3">
      <c r="A191" s="3">
        <v>45539.916666666664</v>
      </c>
      <c r="B191" s="1">
        <v>25.7</v>
      </c>
      <c r="C191" s="7" t="str">
        <f t="shared" si="6"/>
        <v>0</v>
      </c>
      <c r="D191" s="7" t="str">
        <f t="shared" si="7"/>
        <v>0</v>
      </c>
    </row>
    <row r="192" spans="1:4" x14ac:dyDescent="0.3">
      <c r="A192" s="3">
        <v>45539.9375</v>
      </c>
      <c r="B192" s="1">
        <v>25.6</v>
      </c>
      <c r="C192" s="7" t="str">
        <f t="shared" si="6"/>
        <v>0</v>
      </c>
      <c r="D192" s="7" t="str">
        <f t="shared" si="7"/>
        <v>0</v>
      </c>
    </row>
    <row r="193" spans="1:4" x14ac:dyDescent="0.3">
      <c r="A193" s="3">
        <v>45539.958333333336</v>
      </c>
      <c r="B193" s="1">
        <v>25.5</v>
      </c>
      <c r="C193" s="7" t="str">
        <f t="shared" si="6"/>
        <v>0</v>
      </c>
      <c r="D193" s="7" t="str">
        <f t="shared" si="7"/>
        <v>0</v>
      </c>
    </row>
    <row r="194" spans="1:4" x14ac:dyDescent="0.3">
      <c r="A194" s="3">
        <v>45539.979166666664</v>
      </c>
      <c r="B194" s="1">
        <v>25.6</v>
      </c>
      <c r="C194" s="7" t="str">
        <f t="shared" si="6"/>
        <v>0</v>
      </c>
      <c r="D194" s="7" t="str">
        <f t="shared" si="7"/>
        <v>0</v>
      </c>
    </row>
    <row r="195" spans="1:4" x14ac:dyDescent="0.3">
      <c r="A195" s="3">
        <v>45540</v>
      </c>
      <c r="B195" s="1">
        <v>25.5</v>
      </c>
      <c r="C195" s="7" t="str">
        <f t="shared" ref="C195:C258" si="8">IF(B195=$P$13,A195,"0")</f>
        <v>0</v>
      </c>
      <c r="D195" s="7" t="str">
        <f t="shared" ref="D195:D258" si="9">IF(B195=$M$13,A195,"0")</f>
        <v>0</v>
      </c>
    </row>
    <row r="196" spans="1:4" x14ac:dyDescent="0.3">
      <c r="A196" s="3">
        <v>45540.020833333336</v>
      </c>
      <c r="B196" s="1">
        <v>25.2</v>
      </c>
      <c r="C196" s="7" t="str">
        <f t="shared" si="8"/>
        <v>0</v>
      </c>
      <c r="D196" s="7" t="str">
        <f t="shared" si="9"/>
        <v>0</v>
      </c>
    </row>
    <row r="197" spans="1:4" x14ac:dyDescent="0.3">
      <c r="A197" s="3">
        <v>45540.041666666664</v>
      </c>
      <c r="B197" s="1">
        <v>25.2</v>
      </c>
      <c r="C197" s="7" t="str">
        <f t="shared" si="8"/>
        <v>0</v>
      </c>
      <c r="D197" s="7" t="str">
        <f t="shared" si="9"/>
        <v>0</v>
      </c>
    </row>
    <row r="198" spans="1:4" x14ac:dyDescent="0.3">
      <c r="A198" s="3">
        <v>45540.0625</v>
      </c>
      <c r="B198" s="1">
        <v>25.2</v>
      </c>
      <c r="C198" s="7" t="str">
        <f t="shared" si="8"/>
        <v>0</v>
      </c>
      <c r="D198" s="7" t="str">
        <f t="shared" si="9"/>
        <v>0</v>
      </c>
    </row>
    <row r="199" spans="1:4" x14ac:dyDescent="0.3">
      <c r="A199" s="3">
        <v>45540.083333333336</v>
      </c>
      <c r="B199" s="1">
        <v>25.4</v>
      </c>
      <c r="C199" s="7" t="str">
        <f t="shared" si="8"/>
        <v>0</v>
      </c>
      <c r="D199" s="7" t="str">
        <f t="shared" si="9"/>
        <v>0</v>
      </c>
    </row>
    <row r="200" spans="1:4" x14ac:dyDescent="0.3">
      <c r="A200" s="3">
        <v>45540.104166666664</v>
      </c>
      <c r="B200" s="1">
        <v>25.1</v>
      </c>
      <c r="C200" s="7" t="str">
        <f t="shared" si="8"/>
        <v>0</v>
      </c>
      <c r="D200" s="7" t="str">
        <f t="shared" si="9"/>
        <v>0</v>
      </c>
    </row>
    <row r="201" spans="1:4" x14ac:dyDescent="0.3">
      <c r="A201" s="3">
        <v>45540.125</v>
      </c>
      <c r="B201" s="1">
        <v>24.9</v>
      </c>
      <c r="C201" s="7" t="str">
        <f t="shared" si="8"/>
        <v>0</v>
      </c>
      <c r="D201" s="7" t="str">
        <f t="shared" si="9"/>
        <v>0</v>
      </c>
    </row>
    <row r="202" spans="1:4" x14ac:dyDescent="0.3">
      <c r="A202" s="3">
        <v>45540.145833333336</v>
      </c>
      <c r="B202" s="1">
        <v>24.1</v>
      </c>
      <c r="C202" s="7" t="str">
        <f t="shared" si="8"/>
        <v>0</v>
      </c>
      <c r="D202" s="7" t="str">
        <f t="shared" si="9"/>
        <v>0</v>
      </c>
    </row>
    <row r="203" spans="1:4" x14ac:dyDescent="0.3">
      <c r="A203" s="3">
        <v>45540.166666666664</v>
      </c>
      <c r="B203" s="1">
        <v>22.8</v>
      </c>
      <c r="C203" s="7" t="str">
        <f t="shared" si="8"/>
        <v>0</v>
      </c>
      <c r="D203" s="7" t="str">
        <f t="shared" si="9"/>
        <v>0</v>
      </c>
    </row>
    <row r="204" spans="1:4" x14ac:dyDescent="0.3">
      <c r="A204" s="3">
        <v>45540.1875</v>
      </c>
      <c r="B204" s="1">
        <v>22.6</v>
      </c>
      <c r="C204" s="7" t="str">
        <f t="shared" si="8"/>
        <v>0</v>
      </c>
      <c r="D204" s="7" t="str">
        <f t="shared" si="9"/>
        <v>0</v>
      </c>
    </row>
    <row r="205" spans="1:4" x14ac:dyDescent="0.3">
      <c r="A205" s="3">
        <v>45540.208333333336</v>
      </c>
      <c r="B205" s="1">
        <v>22.4</v>
      </c>
      <c r="C205" s="7" t="str">
        <f t="shared" si="8"/>
        <v>0</v>
      </c>
      <c r="D205" s="7" t="str">
        <f t="shared" si="9"/>
        <v>0</v>
      </c>
    </row>
    <row r="206" spans="1:4" x14ac:dyDescent="0.3">
      <c r="A206" s="3">
        <v>45540.229166666664</v>
      </c>
      <c r="B206" s="1">
        <v>22.6</v>
      </c>
      <c r="C206" s="7" t="str">
        <f t="shared" si="8"/>
        <v>0</v>
      </c>
      <c r="D206" s="7" t="str">
        <f t="shared" si="9"/>
        <v>0</v>
      </c>
    </row>
    <row r="207" spans="1:4" x14ac:dyDescent="0.3">
      <c r="A207" s="3">
        <v>45540.25</v>
      </c>
      <c r="B207" s="1">
        <v>22.3</v>
      </c>
      <c r="C207" s="7" t="str">
        <f t="shared" si="8"/>
        <v>0</v>
      </c>
      <c r="D207" s="7" t="str">
        <f t="shared" si="9"/>
        <v>0</v>
      </c>
    </row>
    <row r="208" spans="1:4" x14ac:dyDescent="0.3">
      <c r="A208" s="3">
        <v>45540.270833333336</v>
      </c>
      <c r="B208" s="1">
        <v>22.4</v>
      </c>
      <c r="C208" s="7" t="str">
        <f t="shared" si="8"/>
        <v>0</v>
      </c>
      <c r="D208" s="7" t="str">
        <f t="shared" si="9"/>
        <v>0</v>
      </c>
    </row>
    <row r="209" spans="1:4" x14ac:dyDescent="0.3">
      <c r="A209" s="3">
        <v>45540.291666666664</v>
      </c>
      <c r="B209" s="1">
        <v>22.7</v>
      </c>
      <c r="C209" s="7" t="str">
        <f t="shared" si="8"/>
        <v>0</v>
      </c>
      <c r="D209" s="7" t="str">
        <f t="shared" si="9"/>
        <v>0</v>
      </c>
    </row>
    <row r="210" spans="1:4" x14ac:dyDescent="0.3">
      <c r="A210" s="3">
        <v>45540.3125</v>
      </c>
      <c r="B210" s="1">
        <v>23.4</v>
      </c>
      <c r="C210" s="7" t="str">
        <f t="shared" si="8"/>
        <v>0</v>
      </c>
      <c r="D210" s="7" t="str">
        <f t="shared" si="9"/>
        <v>0</v>
      </c>
    </row>
    <row r="211" spans="1:4" x14ac:dyDescent="0.3">
      <c r="A211" s="3">
        <v>45540.333333333336</v>
      </c>
      <c r="B211" s="1">
        <v>23.9</v>
      </c>
      <c r="C211" s="7" t="str">
        <f t="shared" si="8"/>
        <v>0</v>
      </c>
      <c r="D211" s="7" t="str">
        <f t="shared" si="9"/>
        <v>0</v>
      </c>
    </row>
    <row r="212" spans="1:4" x14ac:dyDescent="0.3">
      <c r="A212" s="3">
        <v>45540.354166666664</v>
      </c>
      <c r="B212" s="1">
        <v>24.1</v>
      </c>
      <c r="C212" s="7" t="str">
        <f t="shared" si="8"/>
        <v>0</v>
      </c>
      <c r="D212" s="7" t="str">
        <f t="shared" si="9"/>
        <v>0</v>
      </c>
    </row>
    <row r="213" spans="1:4" x14ac:dyDescent="0.3">
      <c r="A213" s="3">
        <v>45540.375</v>
      </c>
      <c r="B213" s="1">
        <v>24.1</v>
      </c>
      <c r="C213" s="7" t="str">
        <f t="shared" si="8"/>
        <v>0</v>
      </c>
      <c r="D213" s="7" t="str">
        <f t="shared" si="9"/>
        <v>0</v>
      </c>
    </row>
    <row r="214" spans="1:4" x14ac:dyDescent="0.3">
      <c r="A214" s="3">
        <v>45540.395833333336</v>
      </c>
      <c r="B214" s="1">
        <v>24</v>
      </c>
      <c r="C214" s="7" t="str">
        <f t="shared" si="8"/>
        <v>0</v>
      </c>
      <c r="D214" s="7" t="str">
        <f t="shared" si="9"/>
        <v>0</v>
      </c>
    </row>
    <row r="215" spans="1:4" x14ac:dyDescent="0.3">
      <c r="A215" s="3">
        <v>45540.416666666664</v>
      </c>
      <c r="B215" s="1">
        <v>24.8</v>
      </c>
      <c r="C215" s="7" t="str">
        <f t="shared" si="8"/>
        <v>0</v>
      </c>
      <c r="D215" s="7" t="str">
        <f t="shared" si="9"/>
        <v>0</v>
      </c>
    </row>
    <row r="216" spans="1:4" x14ac:dyDescent="0.3">
      <c r="A216" s="3">
        <v>45540.4375</v>
      </c>
      <c r="B216" s="1">
        <v>26.7</v>
      </c>
      <c r="C216" s="7" t="str">
        <f t="shared" si="8"/>
        <v>0</v>
      </c>
      <c r="D216" s="7" t="str">
        <f t="shared" si="9"/>
        <v>0</v>
      </c>
    </row>
    <row r="217" spans="1:4" x14ac:dyDescent="0.3">
      <c r="A217" s="3">
        <v>45540.458333333336</v>
      </c>
      <c r="B217" s="1">
        <v>27.5</v>
      </c>
      <c r="C217" s="7" t="str">
        <f t="shared" si="8"/>
        <v>0</v>
      </c>
      <c r="D217" s="7" t="str">
        <f t="shared" si="9"/>
        <v>0</v>
      </c>
    </row>
    <row r="218" spans="1:4" x14ac:dyDescent="0.3">
      <c r="A218" s="3">
        <v>45540.479166666664</v>
      </c>
      <c r="B218" s="1">
        <v>28.9</v>
      </c>
      <c r="C218" s="7" t="str">
        <f t="shared" si="8"/>
        <v>0</v>
      </c>
      <c r="D218" s="7" t="str">
        <f t="shared" si="9"/>
        <v>0</v>
      </c>
    </row>
    <row r="219" spans="1:4" x14ac:dyDescent="0.3">
      <c r="A219" s="3">
        <v>45540.5</v>
      </c>
      <c r="B219" s="1">
        <v>29.1</v>
      </c>
      <c r="C219" s="7" t="str">
        <f t="shared" si="8"/>
        <v>0</v>
      </c>
      <c r="D219" s="7" t="str">
        <f t="shared" si="9"/>
        <v>0</v>
      </c>
    </row>
    <row r="220" spans="1:4" x14ac:dyDescent="0.3">
      <c r="A220" s="3">
        <v>45540.520833333336</v>
      </c>
      <c r="B220" s="1">
        <v>29.5</v>
      </c>
      <c r="C220" s="7" t="str">
        <f t="shared" si="8"/>
        <v>0</v>
      </c>
      <c r="D220" s="7" t="str">
        <f t="shared" si="9"/>
        <v>0</v>
      </c>
    </row>
    <row r="221" spans="1:4" x14ac:dyDescent="0.3">
      <c r="A221" s="3">
        <v>45540.541666666664</v>
      </c>
      <c r="B221" s="1">
        <v>29.3</v>
      </c>
      <c r="C221" s="7" t="str">
        <f t="shared" si="8"/>
        <v>0</v>
      </c>
      <c r="D221" s="7" t="str">
        <f t="shared" si="9"/>
        <v>0</v>
      </c>
    </row>
    <row r="222" spans="1:4" x14ac:dyDescent="0.3">
      <c r="A222" s="3">
        <v>45540.5625</v>
      </c>
      <c r="B222" s="1">
        <v>29.8</v>
      </c>
      <c r="C222" s="7" t="str">
        <f t="shared" si="8"/>
        <v>0</v>
      </c>
      <c r="D222" s="7" t="str">
        <f t="shared" si="9"/>
        <v>0</v>
      </c>
    </row>
    <row r="223" spans="1:4" x14ac:dyDescent="0.3">
      <c r="A223" s="3">
        <v>45540.583333333336</v>
      </c>
      <c r="B223" s="1">
        <v>30</v>
      </c>
      <c r="C223" s="7" t="str">
        <f t="shared" si="8"/>
        <v>0</v>
      </c>
      <c r="D223" s="7" t="str">
        <f t="shared" si="9"/>
        <v>0</v>
      </c>
    </row>
    <row r="224" spans="1:4" x14ac:dyDescent="0.3">
      <c r="A224" s="3">
        <v>45540.604166666664</v>
      </c>
      <c r="B224" s="1">
        <v>30.6</v>
      </c>
      <c r="C224" s="7" t="str">
        <f t="shared" si="8"/>
        <v>0</v>
      </c>
      <c r="D224" s="7" t="str">
        <f t="shared" si="9"/>
        <v>0</v>
      </c>
    </row>
    <row r="225" spans="1:4" x14ac:dyDescent="0.3">
      <c r="A225" s="3">
        <v>45540.625</v>
      </c>
      <c r="B225" s="1">
        <v>29.5</v>
      </c>
      <c r="C225" s="7" t="str">
        <f t="shared" si="8"/>
        <v>0</v>
      </c>
      <c r="D225" s="7" t="str">
        <f t="shared" si="9"/>
        <v>0</v>
      </c>
    </row>
    <row r="226" spans="1:4" x14ac:dyDescent="0.3">
      <c r="A226" s="3">
        <v>45540.645833333336</v>
      </c>
      <c r="B226" s="1">
        <v>29</v>
      </c>
      <c r="C226" s="7" t="str">
        <f t="shared" si="8"/>
        <v>0</v>
      </c>
      <c r="D226" s="7" t="str">
        <f t="shared" si="9"/>
        <v>0</v>
      </c>
    </row>
    <row r="227" spans="1:4" x14ac:dyDescent="0.3">
      <c r="A227" s="3">
        <v>45540.666666666664</v>
      </c>
      <c r="B227" s="1">
        <v>28.5</v>
      </c>
      <c r="C227" s="7" t="str">
        <f t="shared" si="8"/>
        <v>0</v>
      </c>
      <c r="D227" s="7" t="str">
        <f t="shared" si="9"/>
        <v>0</v>
      </c>
    </row>
    <row r="228" spans="1:4" x14ac:dyDescent="0.3">
      <c r="A228" s="3">
        <v>45540.6875</v>
      </c>
      <c r="B228" s="1">
        <v>29.1</v>
      </c>
      <c r="C228" s="7" t="str">
        <f t="shared" si="8"/>
        <v>0</v>
      </c>
      <c r="D228" s="7" t="str">
        <f t="shared" si="9"/>
        <v>0</v>
      </c>
    </row>
    <row r="229" spans="1:4" x14ac:dyDescent="0.3">
      <c r="A229" s="3">
        <v>45540.708333333336</v>
      </c>
      <c r="B229" s="1">
        <v>28.8</v>
      </c>
      <c r="C229" s="7" t="str">
        <f t="shared" si="8"/>
        <v>0</v>
      </c>
      <c r="D229" s="7" t="str">
        <f t="shared" si="9"/>
        <v>0</v>
      </c>
    </row>
    <row r="230" spans="1:4" x14ac:dyDescent="0.3">
      <c r="A230" s="3">
        <v>45540.729166666664</v>
      </c>
      <c r="B230" s="1">
        <v>28</v>
      </c>
      <c r="C230" s="7" t="str">
        <f t="shared" si="8"/>
        <v>0</v>
      </c>
      <c r="D230" s="7" t="str">
        <f t="shared" si="9"/>
        <v>0</v>
      </c>
    </row>
    <row r="231" spans="1:4" x14ac:dyDescent="0.3">
      <c r="A231" s="3">
        <v>45540.75</v>
      </c>
      <c r="B231" s="1">
        <v>26.2</v>
      </c>
      <c r="C231" s="7" t="str">
        <f t="shared" si="8"/>
        <v>0</v>
      </c>
      <c r="D231" s="7" t="str">
        <f t="shared" si="9"/>
        <v>0</v>
      </c>
    </row>
    <row r="232" spans="1:4" x14ac:dyDescent="0.3">
      <c r="A232" s="3">
        <v>45540.770833333336</v>
      </c>
      <c r="B232" s="1">
        <v>25.9</v>
      </c>
      <c r="C232" s="7" t="str">
        <f t="shared" si="8"/>
        <v>0</v>
      </c>
      <c r="D232" s="7" t="str">
        <f t="shared" si="9"/>
        <v>0</v>
      </c>
    </row>
    <row r="233" spans="1:4" x14ac:dyDescent="0.3">
      <c r="A233" s="3">
        <v>45540.791666666664</v>
      </c>
      <c r="B233" s="1">
        <v>25.7</v>
      </c>
      <c r="C233" s="7" t="str">
        <f t="shared" si="8"/>
        <v>0</v>
      </c>
      <c r="D233" s="7" t="str">
        <f t="shared" si="9"/>
        <v>0</v>
      </c>
    </row>
    <row r="234" spans="1:4" x14ac:dyDescent="0.3">
      <c r="A234" s="3">
        <v>45540.8125</v>
      </c>
      <c r="B234" s="1">
        <v>25.6</v>
      </c>
      <c r="C234" s="7" t="str">
        <f t="shared" si="8"/>
        <v>0</v>
      </c>
      <c r="D234" s="7" t="str">
        <f t="shared" si="9"/>
        <v>0</v>
      </c>
    </row>
    <row r="235" spans="1:4" x14ac:dyDescent="0.3">
      <c r="A235" s="3">
        <v>45540.833333333336</v>
      </c>
      <c r="B235" s="1">
        <v>25.6</v>
      </c>
      <c r="C235" s="7" t="str">
        <f t="shared" si="8"/>
        <v>0</v>
      </c>
      <c r="D235" s="7" t="str">
        <f t="shared" si="9"/>
        <v>0</v>
      </c>
    </row>
    <row r="236" spans="1:4" x14ac:dyDescent="0.3">
      <c r="A236" s="3">
        <v>45540.854166666664</v>
      </c>
      <c r="B236" s="1">
        <v>25.5</v>
      </c>
      <c r="C236" s="7" t="str">
        <f t="shared" si="8"/>
        <v>0</v>
      </c>
      <c r="D236" s="7" t="str">
        <f t="shared" si="9"/>
        <v>0</v>
      </c>
    </row>
    <row r="237" spans="1:4" x14ac:dyDescent="0.3">
      <c r="A237" s="3">
        <v>45540.875</v>
      </c>
      <c r="B237" s="1">
        <v>25.7</v>
      </c>
      <c r="C237" s="7" t="str">
        <f t="shared" si="8"/>
        <v>0</v>
      </c>
      <c r="D237" s="7" t="str">
        <f t="shared" si="9"/>
        <v>0</v>
      </c>
    </row>
    <row r="238" spans="1:4" x14ac:dyDescent="0.3">
      <c r="A238" s="3">
        <v>45540.895833333336</v>
      </c>
      <c r="B238" s="1">
        <v>25.6</v>
      </c>
      <c r="C238" s="7" t="str">
        <f t="shared" si="8"/>
        <v>0</v>
      </c>
      <c r="D238" s="7" t="str">
        <f t="shared" si="9"/>
        <v>0</v>
      </c>
    </row>
    <row r="239" spans="1:4" x14ac:dyDescent="0.3">
      <c r="A239" s="3">
        <v>45540.916666666664</v>
      </c>
      <c r="B239" s="1">
        <v>25.4</v>
      </c>
      <c r="C239" s="7" t="str">
        <f t="shared" si="8"/>
        <v>0</v>
      </c>
      <c r="D239" s="7" t="str">
        <f t="shared" si="9"/>
        <v>0</v>
      </c>
    </row>
    <row r="240" spans="1:4" x14ac:dyDescent="0.3">
      <c r="A240" s="3">
        <v>45540.9375</v>
      </c>
      <c r="B240" s="1">
        <v>25.2</v>
      </c>
      <c r="C240" s="7" t="str">
        <f t="shared" si="8"/>
        <v>0</v>
      </c>
      <c r="D240" s="7" t="str">
        <f t="shared" si="9"/>
        <v>0</v>
      </c>
    </row>
    <row r="241" spans="1:4" x14ac:dyDescent="0.3">
      <c r="A241" s="3">
        <v>45540.958333333336</v>
      </c>
      <c r="B241" s="1">
        <v>25.1</v>
      </c>
      <c r="C241" s="7" t="str">
        <f t="shared" si="8"/>
        <v>0</v>
      </c>
      <c r="D241" s="7" t="str">
        <f t="shared" si="9"/>
        <v>0</v>
      </c>
    </row>
    <row r="242" spans="1:4" x14ac:dyDescent="0.3">
      <c r="A242" s="3">
        <v>45540.979166666664</v>
      </c>
      <c r="B242" s="1">
        <v>25</v>
      </c>
      <c r="C242" s="7" t="str">
        <f t="shared" si="8"/>
        <v>0</v>
      </c>
      <c r="D242" s="7" t="str">
        <f t="shared" si="9"/>
        <v>0</v>
      </c>
    </row>
    <row r="243" spans="1:4" x14ac:dyDescent="0.3">
      <c r="A243" s="3">
        <v>45541</v>
      </c>
      <c r="B243" s="1">
        <v>24.6</v>
      </c>
      <c r="C243" s="7" t="str">
        <f t="shared" si="8"/>
        <v>0</v>
      </c>
      <c r="D243" s="7" t="str">
        <f t="shared" si="9"/>
        <v>0</v>
      </c>
    </row>
    <row r="244" spans="1:4" x14ac:dyDescent="0.3">
      <c r="A244" s="3">
        <v>45541.020833333336</v>
      </c>
      <c r="B244" s="1">
        <v>24.7</v>
      </c>
      <c r="C244" s="7" t="str">
        <f t="shared" si="8"/>
        <v>0</v>
      </c>
      <c r="D244" s="7" t="str">
        <f t="shared" si="9"/>
        <v>0</v>
      </c>
    </row>
    <row r="245" spans="1:4" x14ac:dyDescent="0.3">
      <c r="A245" s="3">
        <v>45541.041666666664</v>
      </c>
      <c r="B245" s="1">
        <v>24.6</v>
      </c>
      <c r="C245" s="7" t="str">
        <f t="shared" si="8"/>
        <v>0</v>
      </c>
      <c r="D245" s="7" t="str">
        <f t="shared" si="9"/>
        <v>0</v>
      </c>
    </row>
    <row r="246" spans="1:4" x14ac:dyDescent="0.3">
      <c r="A246" s="3">
        <v>45541.0625</v>
      </c>
      <c r="B246" s="1">
        <v>24.3</v>
      </c>
      <c r="C246" s="7" t="str">
        <f t="shared" si="8"/>
        <v>0</v>
      </c>
      <c r="D246" s="7" t="str">
        <f t="shared" si="9"/>
        <v>0</v>
      </c>
    </row>
    <row r="247" spans="1:4" x14ac:dyDescent="0.3">
      <c r="A247" s="3">
        <v>45541.083333333336</v>
      </c>
      <c r="B247" s="1">
        <v>24.3</v>
      </c>
      <c r="C247" s="7" t="str">
        <f t="shared" si="8"/>
        <v>0</v>
      </c>
      <c r="D247" s="7" t="str">
        <f t="shared" si="9"/>
        <v>0</v>
      </c>
    </row>
    <row r="248" spans="1:4" x14ac:dyDescent="0.3">
      <c r="A248" s="3">
        <v>45541.104166666664</v>
      </c>
      <c r="B248" s="1">
        <v>24.2</v>
      </c>
      <c r="C248" s="7" t="str">
        <f t="shared" si="8"/>
        <v>0</v>
      </c>
      <c r="D248" s="7" t="str">
        <f t="shared" si="9"/>
        <v>0</v>
      </c>
    </row>
    <row r="249" spans="1:4" x14ac:dyDescent="0.3">
      <c r="A249" s="3">
        <v>45541.125</v>
      </c>
      <c r="B249" s="1">
        <v>24.1</v>
      </c>
      <c r="C249" s="7" t="str">
        <f t="shared" si="8"/>
        <v>0</v>
      </c>
      <c r="D249" s="7" t="str">
        <f t="shared" si="9"/>
        <v>0</v>
      </c>
    </row>
    <row r="250" spans="1:4" x14ac:dyDescent="0.3">
      <c r="A250" s="3">
        <v>45541.145833333336</v>
      </c>
      <c r="B250" s="1">
        <v>23.4</v>
      </c>
      <c r="C250" s="7" t="str">
        <f t="shared" si="8"/>
        <v>0</v>
      </c>
      <c r="D250" s="7" t="str">
        <f t="shared" si="9"/>
        <v>0</v>
      </c>
    </row>
    <row r="251" spans="1:4" x14ac:dyDescent="0.3">
      <c r="A251" s="3">
        <v>45541.166666666664</v>
      </c>
      <c r="B251" s="1">
        <v>22.8</v>
      </c>
      <c r="C251" s="7" t="str">
        <f t="shared" si="8"/>
        <v>0</v>
      </c>
      <c r="D251" s="7" t="str">
        <f t="shared" si="9"/>
        <v>0</v>
      </c>
    </row>
    <row r="252" spans="1:4" x14ac:dyDescent="0.3">
      <c r="A252" s="3">
        <v>45541.1875</v>
      </c>
      <c r="B252" s="1">
        <v>22.4</v>
      </c>
      <c r="C252" s="7" t="str">
        <f t="shared" si="8"/>
        <v>0</v>
      </c>
      <c r="D252" s="7" t="str">
        <f t="shared" si="9"/>
        <v>0</v>
      </c>
    </row>
    <row r="253" spans="1:4" x14ac:dyDescent="0.3">
      <c r="A253" s="3">
        <v>45541.208333333336</v>
      </c>
      <c r="B253" s="1">
        <v>22.8</v>
      </c>
      <c r="C253" s="7" t="str">
        <f t="shared" si="8"/>
        <v>0</v>
      </c>
      <c r="D253" s="7" t="str">
        <f t="shared" si="9"/>
        <v>0</v>
      </c>
    </row>
    <row r="254" spans="1:4" x14ac:dyDescent="0.3">
      <c r="A254" s="3">
        <v>45541.229166666664</v>
      </c>
      <c r="B254" s="1">
        <v>22</v>
      </c>
      <c r="C254" s="7" t="str">
        <f t="shared" si="8"/>
        <v>0</v>
      </c>
      <c r="D254" s="7" t="str">
        <f t="shared" si="9"/>
        <v>0</v>
      </c>
    </row>
    <row r="255" spans="1:4" x14ac:dyDescent="0.3">
      <c r="A255" s="3">
        <v>45541.25</v>
      </c>
      <c r="B255" s="1">
        <v>22.2</v>
      </c>
      <c r="C255" s="7" t="str">
        <f t="shared" si="8"/>
        <v>0</v>
      </c>
      <c r="D255" s="7" t="str">
        <f t="shared" si="9"/>
        <v>0</v>
      </c>
    </row>
    <row r="256" spans="1:4" x14ac:dyDescent="0.3">
      <c r="A256" s="3">
        <v>45541.270833333336</v>
      </c>
      <c r="B256" s="1">
        <v>22.9</v>
      </c>
      <c r="C256" s="7" t="str">
        <f t="shared" si="8"/>
        <v>0</v>
      </c>
      <c r="D256" s="7" t="str">
        <f t="shared" si="9"/>
        <v>0</v>
      </c>
    </row>
    <row r="257" spans="1:4" x14ac:dyDescent="0.3">
      <c r="A257" s="3">
        <v>45541.291666666664</v>
      </c>
      <c r="B257" s="1">
        <v>23.9</v>
      </c>
      <c r="C257" s="7" t="str">
        <f t="shared" si="8"/>
        <v>0</v>
      </c>
      <c r="D257" s="7" t="str">
        <f t="shared" si="9"/>
        <v>0</v>
      </c>
    </row>
    <row r="258" spans="1:4" x14ac:dyDescent="0.3">
      <c r="A258" s="3">
        <v>45541.3125</v>
      </c>
      <c r="B258" s="1">
        <v>24.7</v>
      </c>
      <c r="C258" s="7" t="str">
        <f t="shared" si="8"/>
        <v>0</v>
      </c>
      <c r="D258" s="7" t="str">
        <f t="shared" si="9"/>
        <v>0</v>
      </c>
    </row>
    <row r="259" spans="1:4" x14ac:dyDescent="0.3">
      <c r="A259" s="3">
        <v>45541.333333333336</v>
      </c>
      <c r="B259" s="1">
        <v>24.7</v>
      </c>
      <c r="C259" s="7" t="str">
        <f t="shared" ref="C259:C322" si="10">IF(B259=$P$13,A259,"0")</f>
        <v>0</v>
      </c>
      <c r="D259" s="7" t="str">
        <f t="shared" ref="D259:D322" si="11">IF(B259=$M$13,A259,"0")</f>
        <v>0</v>
      </c>
    </row>
    <row r="260" spans="1:4" x14ac:dyDescent="0.3">
      <c r="A260" s="3">
        <v>45541.354166666664</v>
      </c>
      <c r="B260" s="1">
        <v>25.4</v>
      </c>
      <c r="C260" s="7" t="str">
        <f t="shared" si="10"/>
        <v>0</v>
      </c>
      <c r="D260" s="7" t="str">
        <f t="shared" si="11"/>
        <v>0</v>
      </c>
    </row>
    <row r="261" spans="1:4" x14ac:dyDescent="0.3">
      <c r="A261" s="3">
        <v>45541.375</v>
      </c>
      <c r="B261" s="1">
        <v>26.5</v>
      </c>
      <c r="C261" s="7" t="str">
        <f t="shared" si="10"/>
        <v>0</v>
      </c>
      <c r="D261" s="7" t="str">
        <f t="shared" si="11"/>
        <v>0</v>
      </c>
    </row>
    <row r="262" spans="1:4" x14ac:dyDescent="0.3">
      <c r="A262" s="3">
        <v>45541.395833333336</v>
      </c>
      <c r="B262" s="1">
        <v>27.6</v>
      </c>
      <c r="C262" s="7" t="str">
        <f t="shared" si="10"/>
        <v>0</v>
      </c>
      <c r="D262" s="7" t="str">
        <f t="shared" si="11"/>
        <v>0</v>
      </c>
    </row>
    <row r="263" spans="1:4" x14ac:dyDescent="0.3">
      <c r="A263" s="3">
        <v>45541.416666666664</v>
      </c>
      <c r="B263" s="1">
        <v>28.3</v>
      </c>
      <c r="C263" s="7" t="str">
        <f t="shared" si="10"/>
        <v>0</v>
      </c>
      <c r="D263" s="7" t="str">
        <f t="shared" si="11"/>
        <v>0</v>
      </c>
    </row>
    <row r="264" spans="1:4" x14ac:dyDescent="0.3">
      <c r="A264" s="3">
        <v>45541.4375</v>
      </c>
      <c r="B264" s="1">
        <v>28.7</v>
      </c>
      <c r="C264" s="7" t="str">
        <f t="shared" si="10"/>
        <v>0</v>
      </c>
      <c r="D264" s="7" t="str">
        <f t="shared" si="11"/>
        <v>0</v>
      </c>
    </row>
    <row r="265" spans="1:4" x14ac:dyDescent="0.3">
      <c r="A265" s="3">
        <v>45541.458333333336</v>
      </c>
      <c r="B265" s="1">
        <v>29.1</v>
      </c>
      <c r="C265" s="7" t="str">
        <f t="shared" si="10"/>
        <v>0</v>
      </c>
      <c r="D265" s="7" t="str">
        <f t="shared" si="11"/>
        <v>0</v>
      </c>
    </row>
    <row r="266" spans="1:4" x14ac:dyDescent="0.3">
      <c r="A266" s="3">
        <v>45541.479166666664</v>
      </c>
      <c r="B266" s="1">
        <v>29.8</v>
      </c>
      <c r="C266" s="7" t="str">
        <f t="shared" si="10"/>
        <v>0</v>
      </c>
      <c r="D266" s="7" t="str">
        <f t="shared" si="11"/>
        <v>0</v>
      </c>
    </row>
    <row r="267" spans="1:4" x14ac:dyDescent="0.3">
      <c r="A267" s="3">
        <v>45541.5</v>
      </c>
      <c r="B267" s="1">
        <v>29.9</v>
      </c>
      <c r="C267" s="7" t="str">
        <f t="shared" si="10"/>
        <v>0</v>
      </c>
      <c r="D267" s="7" t="str">
        <f t="shared" si="11"/>
        <v>0</v>
      </c>
    </row>
    <row r="268" spans="1:4" x14ac:dyDescent="0.3">
      <c r="A268" s="3">
        <v>45541.520833333336</v>
      </c>
      <c r="B268" s="1">
        <v>29.3</v>
      </c>
      <c r="C268" s="7" t="str">
        <f t="shared" si="10"/>
        <v>0</v>
      </c>
      <c r="D268" s="7" t="str">
        <f t="shared" si="11"/>
        <v>0</v>
      </c>
    </row>
    <row r="269" spans="1:4" x14ac:dyDescent="0.3">
      <c r="A269" s="3">
        <v>45541.541666666664</v>
      </c>
      <c r="B269" s="1">
        <v>30.1</v>
      </c>
      <c r="C269" s="7" t="str">
        <f t="shared" si="10"/>
        <v>0</v>
      </c>
      <c r="D269" s="7" t="str">
        <f t="shared" si="11"/>
        <v>0</v>
      </c>
    </row>
    <row r="270" spans="1:4" x14ac:dyDescent="0.3">
      <c r="A270" s="3">
        <v>45541.5625</v>
      </c>
      <c r="B270" s="1">
        <v>30.4</v>
      </c>
      <c r="C270" s="7" t="str">
        <f t="shared" si="10"/>
        <v>0</v>
      </c>
      <c r="D270" s="7" t="str">
        <f t="shared" si="11"/>
        <v>0</v>
      </c>
    </row>
    <row r="271" spans="1:4" x14ac:dyDescent="0.3">
      <c r="A271" s="3">
        <v>45541.583333333336</v>
      </c>
      <c r="B271" s="1">
        <v>30.8</v>
      </c>
      <c r="C271" s="7" t="str">
        <f t="shared" si="10"/>
        <v>0</v>
      </c>
      <c r="D271" s="7" t="str">
        <f t="shared" si="11"/>
        <v>0</v>
      </c>
    </row>
    <row r="272" spans="1:4" x14ac:dyDescent="0.3">
      <c r="A272" s="3">
        <v>45541.604166666664</v>
      </c>
      <c r="B272" s="1">
        <v>30.7</v>
      </c>
      <c r="C272" s="7" t="str">
        <f t="shared" si="10"/>
        <v>0</v>
      </c>
      <c r="D272" s="7" t="str">
        <f t="shared" si="11"/>
        <v>0</v>
      </c>
    </row>
    <row r="273" spans="1:4" x14ac:dyDescent="0.3">
      <c r="A273" s="3">
        <v>45541.625</v>
      </c>
      <c r="B273" s="1">
        <v>29.6</v>
      </c>
      <c r="C273" s="7" t="str">
        <f t="shared" si="10"/>
        <v>0</v>
      </c>
      <c r="D273" s="7" t="str">
        <f t="shared" si="11"/>
        <v>0</v>
      </c>
    </row>
    <row r="274" spans="1:4" x14ac:dyDescent="0.3">
      <c r="A274" s="3">
        <v>45541.645833333336</v>
      </c>
      <c r="B274" s="1">
        <v>30.1</v>
      </c>
      <c r="C274" s="7" t="str">
        <f t="shared" si="10"/>
        <v>0</v>
      </c>
      <c r="D274" s="7" t="str">
        <f t="shared" si="11"/>
        <v>0</v>
      </c>
    </row>
    <row r="275" spans="1:4" x14ac:dyDescent="0.3">
      <c r="A275" s="3">
        <v>45541.666666666664</v>
      </c>
      <c r="B275" s="1">
        <v>30.2</v>
      </c>
      <c r="C275" s="7" t="str">
        <f t="shared" si="10"/>
        <v>0</v>
      </c>
      <c r="D275" s="7" t="str">
        <f t="shared" si="11"/>
        <v>0</v>
      </c>
    </row>
    <row r="276" spans="1:4" x14ac:dyDescent="0.3">
      <c r="A276" s="3">
        <v>45541.6875</v>
      </c>
      <c r="B276" s="1">
        <v>30.6</v>
      </c>
      <c r="C276" s="7" t="str">
        <f t="shared" si="10"/>
        <v>0</v>
      </c>
      <c r="D276" s="7" t="str">
        <f t="shared" si="11"/>
        <v>0</v>
      </c>
    </row>
    <row r="277" spans="1:4" x14ac:dyDescent="0.3">
      <c r="A277" s="3">
        <v>45541.708333333336</v>
      </c>
      <c r="B277" s="1">
        <v>30.1</v>
      </c>
      <c r="C277" s="7" t="str">
        <f t="shared" si="10"/>
        <v>0</v>
      </c>
      <c r="D277" s="7" t="str">
        <f t="shared" si="11"/>
        <v>0</v>
      </c>
    </row>
    <row r="278" spans="1:4" x14ac:dyDescent="0.3">
      <c r="A278" s="3">
        <v>45541.729166666664</v>
      </c>
      <c r="B278" s="1">
        <v>28.6</v>
      </c>
      <c r="C278" s="7" t="str">
        <f t="shared" si="10"/>
        <v>0</v>
      </c>
      <c r="D278" s="7" t="str">
        <f t="shared" si="11"/>
        <v>0</v>
      </c>
    </row>
    <row r="279" spans="1:4" x14ac:dyDescent="0.3">
      <c r="A279" s="3">
        <v>45541.75</v>
      </c>
      <c r="B279" s="1">
        <v>27.4</v>
      </c>
      <c r="C279" s="7" t="str">
        <f t="shared" si="10"/>
        <v>0</v>
      </c>
      <c r="D279" s="7" t="str">
        <f t="shared" si="11"/>
        <v>0</v>
      </c>
    </row>
    <row r="280" spans="1:4" x14ac:dyDescent="0.3">
      <c r="A280" s="3">
        <v>45541.770833333336</v>
      </c>
      <c r="B280" s="1">
        <v>27</v>
      </c>
      <c r="C280" s="7" t="str">
        <f t="shared" si="10"/>
        <v>0</v>
      </c>
      <c r="D280" s="7" t="str">
        <f t="shared" si="11"/>
        <v>0</v>
      </c>
    </row>
    <row r="281" spans="1:4" x14ac:dyDescent="0.3">
      <c r="A281" s="3">
        <v>45541.791666666664</v>
      </c>
      <c r="B281" s="1">
        <v>26.5</v>
      </c>
      <c r="C281" s="7" t="str">
        <f t="shared" si="10"/>
        <v>0</v>
      </c>
      <c r="D281" s="7" t="str">
        <f t="shared" si="11"/>
        <v>0</v>
      </c>
    </row>
    <row r="282" spans="1:4" x14ac:dyDescent="0.3">
      <c r="A282" s="3">
        <v>45541.8125</v>
      </c>
      <c r="B282" s="1">
        <v>26.2</v>
      </c>
      <c r="C282" s="7" t="str">
        <f t="shared" si="10"/>
        <v>0</v>
      </c>
      <c r="D282" s="7" t="str">
        <f t="shared" si="11"/>
        <v>0</v>
      </c>
    </row>
    <row r="283" spans="1:4" x14ac:dyDescent="0.3">
      <c r="A283" s="3">
        <v>45541.833333333336</v>
      </c>
      <c r="B283" s="1">
        <v>26</v>
      </c>
      <c r="C283" s="7" t="str">
        <f t="shared" si="10"/>
        <v>0</v>
      </c>
      <c r="D283" s="7" t="str">
        <f t="shared" si="11"/>
        <v>0</v>
      </c>
    </row>
    <row r="284" spans="1:4" x14ac:dyDescent="0.3">
      <c r="A284" s="3">
        <v>45541.854166666664</v>
      </c>
      <c r="B284" s="1">
        <v>25.8</v>
      </c>
      <c r="C284" s="7" t="str">
        <f t="shared" si="10"/>
        <v>0</v>
      </c>
      <c r="D284" s="7" t="str">
        <f t="shared" si="11"/>
        <v>0</v>
      </c>
    </row>
    <row r="285" spans="1:4" x14ac:dyDescent="0.3">
      <c r="A285" s="3">
        <v>45541.875</v>
      </c>
      <c r="B285" s="1">
        <v>26</v>
      </c>
      <c r="C285" s="7" t="str">
        <f t="shared" si="10"/>
        <v>0</v>
      </c>
      <c r="D285" s="7" t="str">
        <f t="shared" si="11"/>
        <v>0</v>
      </c>
    </row>
    <row r="286" spans="1:4" x14ac:dyDescent="0.3">
      <c r="A286" s="3">
        <v>45541.895833333336</v>
      </c>
      <c r="B286" s="1">
        <v>26</v>
      </c>
      <c r="C286" s="7" t="str">
        <f t="shared" si="10"/>
        <v>0</v>
      </c>
      <c r="D286" s="7" t="str">
        <f t="shared" si="11"/>
        <v>0</v>
      </c>
    </row>
    <row r="287" spans="1:4" x14ac:dyDescent="0.3">
      <c r="A287" s="3">
        <v>45541.916666666664</v>
      </c>
      <c r="B287" s="1">
        <v>26.2</v>
      </c>
      <c r="C287" s="7" t="str">
        <f t="shared" si="10"/>
        <v>0</v>
      </c>
      <c r="D287" s="7" t="str">
        <f t="shared" si="11"/>
        <v>0</v>
      </c>
    </row>
    <row r="288" spans="1:4" x14ac:dyDescent="0.3">
      <c r="A288" s="3">
        <v>45541.9375</v>
      </c>
      <c r="B288" s="1">
        <v>25.8</v>
      </c>
      <c r="C288" s="7" t="str">
        <f t="shared" si="10"/>
        <v>0</v>
      </c>
      <c r="D288" s="7" t="str">
        <f t="shared" si="11"/>
        <v>0</v>
      </c>
    </row>
    <row r="289" spans="1:4" x14ac:dyDescent="0.3">
      <c r="A289" s="3">
        <v>45541.958333333336</v>
      </c>
      <c r="B289" s="1">
        <v>25.6</v>
      </c>
      <c r="C289" s="7" t="str">
        <f t="shared" si="10"/>
        <v>0</v>
      </c>
      <c r="D289" s="7" t="str">
        <f t="shared" si="11"/>
        <v>0</v>
      </c>
    </row>
    <row r="290" spans="1:4" x14ac:dyDescent="0.3">
      <c r="A290" s="3">
        <v>45541.979166666664</v>
      </c>
      <c r="B290" s="1">
        <v>25.3</v>
      </c>
      <c r="C290" s="7" t="str">
        <f t="shared" si="10"/>
        <v>0</v>
      </c>
      <c r="D290" s="7" t="str">
        <f t="shared" si="11"/>
        <v>0</v>
      </c>
    </row>
    <row r="291" spans="1:4" x14ac:dyDescent="0.3">
      <c r="A291" s="3">
        <v>45542</v>
      </c>
      <c r="B291" s="1">
        <v>24.7</v>
      </c>
      <c r="C291" s="7" t="str">
        <f t="shared" si="10"/>
        <v>0</v>
      </c>
      <c r="D291" s="7" t="str">
        <f t="shared" si="11"/>
        <v>0</v>
      </c>
    </row>
    <row r="292" spans="1:4" x14ac:dyDescent="0.3">
      <c r="A292" s="3">
        <v>45542.020833333336</v>
      </c>
      <c r="B292" s="1">
        <v>24</v>
      </c>
      <c r="C292" s="7" t="str">
        <f t="shared" si="10"/>
        <v>0</v>
      </c>
      <c r="D292" s="7" t="str">
        <f t="shared" si="11"/>
        <v>0</v>
      </c>
    </row>
    <row r="293" spans="1:4" x14ac:dyDescent="0.3">
      <c r="A293" s="3">
        <v>45542.041666666664</v>
      </c>
      <c r="B293" s="1">
        <v>23.4</v>
      </c>
      <c r="C293" s="7" t="str">
        <f t="shared" si="10"/>
        <v>0</v>
      </c>
      <c r="D293" s="7" t="str">
        <f t="shared" si="11"/>
        <v>0</v>
      </c>
    </row>
    <row r="294" spans="1:4" x14ac:dyDescent="0.3">
      <c r="A294" s="3">
        <v>45542.0625</v>
      </c>
      <c r="B294" s="1">
        <v>23.1</v>
      </c>
      <c r="C294" s="7" t="str">
        <f t="shared" si="10"/>
        <v>0</v>
      </c>
      <c r="D294" s="7" t="str">
        <f t="shared" si="11"/>
        <v>0</v>
      </c>
    </row>
    <row r="295" spans="1:4" x14ac:dyDescent="0.3">
      <c r="A295" s="3">
        <v>45542.083333333336</v>
      </c>
      <c r="B295" s="1">
        <v>23</v>
      </c>
      <c r="C295" s="7" t="str">
        <f t="shared" si="10"/>
        <v>0</v>
      </c>
      <c r="D295" s="7" t="str">
        <f t="shared" si="11"/>
        <v>0</v>
      </c>
    </row>
    <row r="296" spans="1:4" x14ac:dyDescent="0.3">
      <c r="A296" s="3">
        <v>45542.104166666664</v>
      </c>
      <c r="B296" s="1">
        <v>22.7</v>
      </c>
      <c r="C296" s="7" t="str">
        <f t="shared" si="10"/>
        <v>0</v>
      </c>
      <c r="D296" s="7" t="str">
        <f t="shared" si="11"/>
        <v>0</v>
      </c>
    </row>
    <row r="297" spans="1:4" x14ac:dyDescent="0.3">
      <c r="A297" s="3">
        <v>45542.125</v>
      </c>
      <c r="B297" s="1">
        <v>22.6</v>
      </c>
      <c r="C297" s="7" t="str">
        <f t="shared" si="10"/>
        <v>0</v>
      </c>
      <c r="D297" s="7" t="str">
        <f t="shared" si="11"/>
        <v>0</v>
      </c>
    </row>
    <row r="298" spans="1:4" x14ac:dyDescent="0.3">
      <c r="A298" s="3">
        <v>45542.145833333336</v>
      </c>
      <c r="B298" s="1">
        <v>22.5</v>
      </c>
      <c r="C298" s="7" t="str">
        <f t="shared" si="10"/>
        <v>0</v>
      </c>
      <c r="D298" s="7" t="str">
        <f t="shared" si="11"/>
        <v>0</v>
      </c>
    </row>
    <row r="299" spans="1:4" x14ac:dyDescent="0.3">
      <c r="A299" s="3">
        <v>45542.166666666664</v>
      </c>
      <c r="B299" s="1">
        <v>22.6</v>
      </c>
      <c r="C299" s="7" t="str">
        <f t="shared" si="10"/>
        <v>0</v>
      </c>
      <c r="D299" s="7" t="str">
        <f t="shared" si="11"/>
        <v>0</v>
      </c>
    </row>
    <row r="300" spans="1:4" x14ac:dyDescent="0.3">
      <c r="A300" s="3">
        <v>45542.1875</v>
      </c>
      <c r="B300" s="1">
        <v>22.2</v>
      </c>
      <c r="C300" s="7" t="str">
        <f t="shared" si="10"/>
        <v>0</v>
      </c>
      <c r="D300" s="7" t="str">
        <f t="shared" si="11"/>
        <v>0</v>
      </c>
    </row>
    <row r="301" spans="1:4" x14ac:dyDescent="0.3">
      <c r="A301" s="3">
        <v>45542.208333333336</v>
      </c>
      <c r="B301" s="1">
        <v>21.9</v>
      </c>
      <c r="C301" s="7" t="str">
        <f t="shared" si="10"/>
        <v>0</v>
      </c>
      <c r="D301" s="7" t="str">
        <f t="shared" si="11"/>
        <v>0</v>
      </c>
    </row>
    <row r="302" spans="1:4" x14ac:dyDescent="0.3">
      <c r="A302" s="3">
        <v>45542.229166666664</v>
      </c>
      <c r="B302" s="1">
        <v>22</v>
      </c>
      <c r="C302" s="7" t="str">
        <f t="shared" si="10"/>
        <v>0</v>
      </c>
      <c r="D302" s="7" t="str">
        <f t="shared" si="11"/>
        <v>0</v>
      </c>
    </row>
    <row r="303" spans="1:4" x14ac:dyDescent="0.3">
      <c r="A303" s="3">
        <v>45542.25</v>
      </c>
      <c r="B303" s="1">
        <v>22.5</v>
      </c>
      <c r="C303" s="7" t="str">
        <f t="shared" si="10"/>
        <v>0</v>
      </c>
      <c r="D303" s="7" t="str">
        <f t="shared" si="11"/>
        <v>0</v>
      </c>
    </row>
    <row r="304" spans="1:4" x14ac:dyDescent="0.3">
      <c r="A304" s="3">
        <v>45542.270833333336</v>
      </c>
      <c r="B304" s="1">
        <v>23.1</v>
      </c>
      <c r="C304" s="7" t="str">
        <f t="shared" si="10"/>
        <v>0</v>
      </c>
      <c r="D304" s="7" t="str">
        <f t="shared" si="11"/>
        <v>0</v>
      </c>
    </row>
    <row r="305" spans="1:4" x14ac:dyDescent="0.3">
      <c r="A305" s="3">
        <v>45542.291666666664</v>
      </c>
      <c r="B305" s="1">
        <v>24</v>
      </c>
      <c r="C305" s="7" t="str">
        <f t="shared" si="10"/>
        <v>0</v>
      </c>
      <c r="D305" s="7" t="str">
        <f t="shared" si="11"/>
        <v>0</v>
      </c>
    </row>
    <row r="306" spans="1:4" x14ac:dyDescent="0.3">
      <c r="A306" s="3">
        <v>45542.3125</v>
      </c>
      <c r="B306" s="1">
        <v>24.8</v>
      </c>
      <c r="C306" s="7" t="str">
        <f t="shared" si="10"/>
        <v>0</v>
      </c>
      <c r="D306" s="7" t="str">
        <f t="shared" si="11"/>
        <v>0</v>
      </c>
    </row>
    <row r="307" spans="1:4" x14ac:dyDescent="0.3">
      <c r="A307" s="3">
        <v>45542.333333333336</v>
      </c>
      <c r="B307" s="1">
        <v>25.7</v>
      </c>
      <c r="C307" s="7" t="str">
        <f t="shared" si="10"/>
        <v>0</v>
      </c>
      <c r="D307" s="7" t="str">
        <f t="shared" si="11"/>
        <v>0</v>
      </c>
    </row>
    <row r="308" spans="1:4" x14ac:dyDescent="0.3">
      <c r="A308" s="3">
        <v>45542.354166666664</v>
      </c>
      <c r="B308" s="1">
        <v>26.7</v>
      </c>
      <c r="C308" s="7" t="str">
        <f t="shared" si="10"/>
        <v>0</v>
      </c>
      <c r="D308" s="7" t="str">
        <f t="shared" si="11"/>
        <v>0</v>
      </c>
    </row>
    <row r="309" spans="1:4" x14ac:dyDescent="0.3">
      <c r="A309" s="3">
        <v>45542.375</v>
      </c>
      <c r="B309" s="1">
        <v>27.7</v>
      </c>
      <c r="C309" s="7" t="str">
        <f t="shared" si="10"/>
        <v>0</v>
      </c>
      <c r="D309" s="7" t="str">
        <f t="shared" si="11"/>
        <v>0</v>
      </c>
    </row>
    <row r="310" spans="1:4" x14ac:dyDescent="0.3">
      <c r="A310" s="3">
        <v>45542.395833333336</v>
      </c>
      <c r="B310" s="1">
        <v>28.6</v>
      </c>
      <c r="C310" s="7" t="str">
        <f t="shared" si="10"/>
        <v>0</v>
      </c>
      <c r="D310" s="7" t="str">
        <f t="shared" si="11"/>
        <v>0</v>
      </c>
    </row>
    <row r="311" spans="1:4" x14ac:dyDescent="0.3">
      <c r="A311" s="3">
        <v>45542.416666666664</v>
      </c>
      <c r="B311" s="1">
        <v>29.6</v>
      </c>
      <c r="C311" s="7" t="str">
        <f t="shared" si="10"/>
        <v>0</v>
      </c>
      <c r="D311" s="7" t="str">
        <f t="shared" si="11"/>
        <v>0</v>
      </c>
    </row>
    <row r="312" spans="1:4" x14ac:dyDescent="0.3">
      <c r="A312" s="3">
        <v>45542.4375</v>
      </c>
      <c r="B312" s="1">
        <v>30.3</v>
      </c>
      <c r="C312" s="7" t="str">
        <f t="shared" si="10"/>
        <v>0</v>
      </c>
      <c r="D312" s="7" t="str">
        <f t="shared" si="11"/>
        <v>0</v>
      </c>
    </row>
    <row r="313" spans="1:4" x14ac:dyDescent="0.3">
      <c r="A313" s="3">
        <v>45542.458333333336</v>
      </c>
      <c r="B313" s="1">
        <v>30.9</v>
      </c>
      <c r="C313" s="7" t="str">
        <f t="shared" si="10"/>
        <v>0</v>
      </c>
      <c r="D313" s="7" t="str">
        <f t="shared" si="11"/>
        <v>0</v>
      </c>
    </row>
    <row r="314" spans="1:4" x14ac:dyDescent="0.3">
      <c r="A314" s="3">
        <v>45542.479166666664</v>
      </c>
      <c r="B314" s="1">
        <v>31.5</v>
      </c>
      <c r="C314" s="7" t="str">
        <f t="shared" si="10"/>
        <v>0</v>
      </c>
      <c r="D314" s="7" t="str">
        <f t="shared" si="11"/>
        <v>0</v>
      </c>
    </row>
    <row r="315" spans="1:4" x14ac:dyDescent="0.3">
      <c r="A315" s="3">
        <v>45542.5</v>
      </c>
      <c r="B315" s="1">
        <v>31.9</v>
      </c>
      <c r="C315" s="7" t="str">
        <f t="shared" si="10"/>
        <v>0</v>
      </c>
      <c r="D315" s="7" t="str">
        <f t="shared" si="11"/>
        <v>0</v>
      </c>
    </row>
    <row r="316" spans="1:4" x14ac:dyDescent="0.3">
      <c r="A316" s="3">
        <v>45542.520833333336</v>
      </c>
      <c r="B316" s="1">
        <v>32.4</v>
      </c>
      <c r="C316" s="7" t="str">
        <f t="shared" si="10"/>
        <v>0</v>
      </c>
      <c r="D316" s="7" t="str">
        <f t="shared" si="11"/>
        <v>0</v>
      </c>
    </row>
    <row r="317" spans="1:4" x14ac:dyDescent="0.3">
      <c r="A317" s="3">
        <v>45542.541666666664</v>
      </c>
      <c r="B317" s="1">
        <v>32.5</v>
      </c>
      <c r="C317" s="7" t="str">
        <f t="shared" si="10"/>
        <v>0</v>
      </c>
      <c r="D317" s="7" t="str">
        <f t="shared" si="11"/>
        <v>0</v>
      </c>
    </row>
    <row r="318" spans="1:4" x14ac:dyDescent="0.3">
      <c r="A318" s="3">
        <v>45542.5625</v>
      </c>
      <c r="B318" s="1">
        <v>31.8</v>
      </c>
      <c r="C318" s="7" t="str">
        <f t="shared" si="10"/>
        <v>0</v>
      </c>
      <c r="D318" s="7" t="str">
        <f t="shared" si="11"/>
        <v>0</v>
      </c>
    </row>
    <row r="319" spans="1:4" x14ac:dyDescent="0.3">
      <c r="A319" s="3">
        <v>45542.583333333336</v>
      </c>
      <c r="B319" s="1">
        <v>31.6</v>
      </c>
      <c r="C319" s="7" t="str">
        <f t="shared" si="10"/>
        <v>0</v>
      </c>
      <c r="D319" s="7" t="str">
        <f t="shared" si="11"/>
        <v>0</v>
      </c>
    </row>
    <row r="320" spans="1:4" x14ac:dyDescent="0.3">
      <c r="A320" s="3">
        <v>45542.604166666664</v>
      </c>
      <c r="B320" s="1">
        <v>31.8</v>
      </c>
      <c r="C320" s="7" t="str">
        <f t="shared" si="10"/>
        <v>0</v>
      </c>
      <c r="D320" s="7" t="str">
        <f t="shared" si="11"/>
        <v>0</v>
      </c>
    </row>
    <row r="321" spans="1:4" x14ac:dyDescent="0.3">
      <c r="A321" s="3">
        <v>45542.625</v>
      </c>
      <c r="B321" s="1">
        <v>31.3</v>
      </c>
      <c r="C321" s="7" t="str">
        <f t="shared" si="10"/>
        <v>0</v>
      </c>
      <c r="D321" s="7" t="str">
        <f t="shared" si="11"/>
        <v>0</v>
      </c>
    </row>
    <row r="322" spans="1:4" x14ac:dyDescent="0.3">
      <c r="A322" s="3">
        <v>45542.645833333336</v>
      </c>
      <c r="B322" s="1">
        <v>30.8</v>
      </c>
      <c r="C322" s="7" t="str">
        <f t="shared" si="10"/>
        <v>0</v>
      </c>
      <c r="D322" s="7" t="str">
        <f t="shared" si="11"/>
        <v>0</v>
      </c>
    </row>
    <row r="323" spans="1:4" x14ac:dyDescent="0.3">
      <c r="A323" s="3">
        <v>45542.666666666664</v>
      </c>
      <c r="B323" s="1">
        <v>31</v>
      </c>
      <c r="C323" s="7" t="str">
        <f t="shared" ref="C323:C386" si="12">IF(B323=$P$13,A323,"0")</f>
        <v>0</v>
      </c>
      <c r="D323" s="7" t="str">
        <f t="shared" ref="D323:D386" si="13">IF(B323=$M$13,A323,"0")</f>
        <v>0</v>
      </c>
    </row>
    <row r="324" spans="1:4" x14ac:dyDescent="0.3">
      <c r="A324" s="3">
        <v>45542.6875</v>
      </c>
      <c r="B324" s="1">
        <v>30.7</v>
      </c>
      <c r="C324" s="7" t="str">
        <f t="shared" si="12"/>
        <v>0</v>
      </c>
      <c r="D324" s="7" t="str">
        <f t="shared" si="13"/>
        <v>0</v>
      </c>
    </row>
    <row r="325" spans="1:4" x14ac:dyDescent="0.3">
      <c r="A325" s="3">
        <v>45542.708333333336</v>
      </c>
      <c r="B325" s="1">
        <v>30.2</v>
      </c>
      <c r="C325" s="7" t="str">
        <f t="shared" si="12"/>
        <v>0</v>
      </c>
      <c r="D325" s="7" t="str">
        <f t="shared" si="13"/>
        <v>0</v>
      </c>
    </row>
    <row r="326" spans="1:4" x14ac:dyDescent="0.3">
      <c r="A326" s="3">
        <v>45542.729166666664</v>
      </c>
      <c r="B326" s="1">
        <v>29.8</v>
      </c>
      <c r="C326" s="7" t="str">
        <f t="shared" si="12"/>
        <v>0</v>
      </c>
      <c r="D326" s="7" t="str">
        <f t="shared" si="13"/>
        <v>0</v>
      </c>
    </row>
    <row r="327" spans="1:4" x14ac:dyDescent="0.3">
      <c r="A327" s="3">
        <v>45542.75</v>
      </c>
      <c r="B327" s="1">
        <v>29.5</v>
      </c>
      <c r="C327" s="7" t="str">
        <f t="shared" si="12"/>
        <v>0</v>
      </c>
      <c r="D327" s="7" t="str">
        <f t="shared" si="13"/>
        <v>0</v>
      </c>
    </row>
    <row r="328" spans="1:4" x14ac:dyDescent="0.3">
      <c r="A328" s="3">
        <v>45542.770833333336</v>
      </c>
      <c r="B328" s="1">
        <v>29.1</v>
      </c>
      <c r="C328" s="7" t="str">
        <f t="shared" si="12"/>
        <v>0</v>
      </c>
      <c r="D328" s="7" t="str">
        <f t="shared" si="13"/>
        <v>0</v>
      </c>
    </row>
    <row r="329" spans="1:4" x14ac:dyDescent="0.3">
      <c r="A329" s="3">
        <v>45542.791666666664</v>
      </c>
      <c r="B329" s="1">
        <v>28.9</v>
      </c>
      <c r="C329" s="7" t="str">
        <f t="shared" si="12"/>
        <v>0</v>
      </c>
      <c r="D329" s="7" t="str">
        <f t="shared" si="13"/>
        <v>0</v>
      </c>
    </row>
    <row r="330" spans="1:4" x14ac:dyDescent="0.3">
      <c r="A330" s="3">
        <v>45542.8125</v>
      </c>
      <c r="B330" s="1">
        <v>28.7</v>
      </c>
      <c r="C330" s="7" t="str">
        <f t="shared" si="12"/>
        <v>0</v>
      </c>
      <c r="D330" s="7" t="str">
        <f t="shared" si="13"/>
        <v>0</v>
      </c>
    </row>
    <row r="331" spans="1:4" x14ac:dyDescent="0.3">
      <c r="A331" s="3">
        <v>45542.833333333336</v>
      </c>
      <c r="B331" s="1">
        <v>28.5</v>
      </c>
      <c r="C331" s="7" t="str">
        <f t="shared" si="12"/>
        <v>0</v>
      </c>
      <c r="D331" s="7" t="str">
        <f t="shared" si="13"/>
        <v>0</v>
      </c>
    </row>
    <row r="332" spans="1:4" x14ac:dyDescent="0.3">
      <c r="A332" s="3">
        <v>45542.854166666664</v>
      </c>
      <c r="B332" s="1">
        <v>28.1</v>
      </c>
      <c r="C332" s="7" t="str">
        <f t="shared" si="12"/>
        <v>0</v>
      </c>
      <c r="D332" s="7" t="str">
        <f t="shared" si="13"/>
        <v>0</v>
      </c>
    </row>
    <row r="333" spans="1:4" x14ac:dyDescent="0.3">
      <c r="A333" s="3">
        <v>45542.875</v>
      </c>
      <c r="B333" s="1">
        <v>28</v>
      </c>
      <c r="C333" s="7" t="str">
        <f t="shared" si="12"/>
        <v>0</v>
      </c>
      <c r="D333" s="7" t="str">
        <f t="shared" si="13"/>
        <v>0</v>
      </c>
    </row>
    <row r="334" spans="1:4" x14ac:dyDescent="0.3">
      <c r="A334" s="3">
        <v>45542.895833333336</v>
      </c>
      <c r="B334" s="1">
        <v>27.9</v>
      </c>
      <c r="C334" s="7" t="str">
        <f t="shared" si="12"/>
        <v>0</v>
      </c>
      <c r="D334" s="7" t="str">
        <f t="shared" si="13"/>
        <v>0</v>
      </c>
    </row>
    <row r="335" spans="1:4" x14ac:dyDescent="0.3">
      <c r="A335" s="3">
        <v>45542.916666666664</v>
      </c>
      <c r="B335" s="1">
        <v>27.6</v>
      </c>
      <c r="C335" s="7" t="str">
        <f t="shared" si="12"/>
        <v>0</v>
      </c>
      <c r="D335" s="7" t="str">
        <f t="shared" si="13"/>
        <v>0</v>
      </c>
    </row>
    <row r="336" spans="1:4" x14ac:dyDescent="0.3">
      <c r="A336" s="3">
        <v>45542.9375</v>
      </c>
      <c r="B336" s="1">
        <v>27.1</v>
      </c>
      <c r="C336" s="7" t="str">
        <f t="shared" si="12"/>
        <v>0</v>
      </c>
      <c r="D336" s="7" t="str">
        <f t="shared" si="13"/>
        <v>0</v>
      </c>
    </row>
    <row r="337" spans="1:4" x14ac:dyDescent="0.3">
      <c r="A337" s="3">
        <v>45542.958333333336</v>
      </c>
      <c r="B337" s="1">
        <v>26.6</v>
      </c>
      <c r="C337" s="7" t="str">
        <f t="shared" si="12"/>
        <v>0</v>
      </c>
      <c r="D337" s="7" t="str">
        <f t="shared" si="13"/>
        <v>0</v>
      </c>
    </row>
    <row r="338" spans="1:4" x14ac:dyDescent="0.3">
      <c r="A338" s="3">
        <v>45542.979166666664</v>
      </c>
      <c r="B338" s="1">
        <v>26.6</v>
      </c>
      <c r="C338" s="7" t="str">
        <f t="shared" si="12"/>
        <v>0</v>
      </c>
      <c r="D338" s="7" t="str">
        <f t="shared" si="13"/>
        <v>0</v>
      </c>
    </row>
    <row r="339" spans="1:4" x14ac:dyDescent="0.3">
      <c r="A339" s="3">
        <v>45543</v>
      </c>
      <c r="B339" s="1">
        <v>26.3</v>
      </c>
      <c r="C339" s="7" t="str">
        <f t="shared" si="12"/>
        <v>0</v>
      </c>
      <c r="D339" s="7" t="str">
        <f t="shared" si="13"/>
        <v>0</v>
      </c>
    </row>
    <row r="340" spans="1:4" x14ac:dyDescent="0.3">
      <c r="A340" s="3">
        <v>45543.020833333336</v>
      </c>
      <c r="B340" s="1">
        <v>26</v>
      </c>
      <c r="C340" s="7" t="str">
        <f t="shared" si="12"/>
        <v>0</v>
      </c>
      <c r="D340" s="7" t="str">
        <f t="shared" si="13"/>
        <v>0</v>
      </c>
    </row>
    <row r="341" spans="1:4" x14ac:dyDescent="0.3">
      <c r="A341" s="3">
        <v>45543.041666666664</v>
      </c>
      <c r="B341" s="1">
        <v>25.9</v>
      </c>
      <c r="C341" s="7" t="str">
        <f t="shared" si="12"/>
        <v>0</v>
      </c>
      <c r="D341" s="7" t="str">
        <f t="shared" si="13"/>
        <v>0</v>
      </c>
    </row>
    <row r="342" spans="1:4" x14ac:dyDescent="0.3">
      <c r="A342" s="3">
        <v>45543.0625</v>
      </c>
      <c r="B342" s="1">
        <v>25.7</v>
      </c>
      <c r="C342" s="7" t="str">
        <f t="shared" si="12"/>
        <v>0</v>
      </c>
      <c r="D342" s="7" t="str">
        <f t="shared" si="13"/>
        <v>0</v>
      </c>
    </row>
    <row r="343" spans="1:4" x14ac:dyDescent="0.3">
      <c r="A343" s="3">
        <v>45543.083333333336</v>
      </c>
      <c r="B343" s="1">
        <v>25.2</v>
      </c>
      <c r="C343" s="7" t="str">
        <f t="shared" si="12"/>
        <v>0</v>
      </c>
      <c r="D343" s="7" t="str">
        <f t="shared" si="13"/>
        <v>0</v>
      </c>
    </row>
    <row r="344" spans="1:4" x14ac:dyDescent="0.3">
      <c r="A344" s="3">
        <v>45543.104166666664</v>
      </c>
      <c r="B344" s="1">
        <v>24.8</v>
      </c>
      <c r="C344" s="7" t="str">
        <f t="shared" si="12"/>
        <v>0</v>
      </c>
      <c r="D344" s="7" t="str">
        <f t="shared" si="13"/>
        <v>0</v>
      </c>
    </row>
    <row r="345" spans="1:4" x14ac:dyDescent="0.3">
      <c r="A345" s="3">
        <v>45543.125</v>
      </c>
      <c r="B345" s="1">
        <v>24.3</v>
      </c>
      <c r="C345" s="7" t="str">
        <f t="shared" si="12"/>
        <v>0</v>
      </c>
      <c r="D345" s="7" t="str">
        <f t="shared" si="13"/>
        <v>0</v>
      </c>
    </row>
    <row r="346" spans="1:4" x14ac:dyDescent="0.3">
      <c r="A346" s="3">
        <v>45543.145833333336</v>
      </c>
      <c r="B346" s="1">
        <v>24.9</v>
      </c>
      <c r="C346" s="7" t="str">
        <f t="shared" si="12"/>
        <v>0</v>
      </c>
      <c r="D346" s="7" t="str">
        <f t="shared" si="13"/>
        <v>0</v>
      </c>
    </row>
    <row r="347" spans="1:4" x14ac:dyDescent="0.3">
      <c r="A347" s="3">
        <v>45543.166666666664</v>
      </c>
      <c r="B347" s="1">
        <v>24.9</v>
      </c>
      <c r="C347" s="7" t="str">
        <f t="shared" si="12"/>
        <v>0</v>
      </c>
      <c r="D347" s="7" t="str">
        <f t="shared" si="13"/>
        <v>0</v>
      </c>
    </row>
    <row r="348" spans="1:4" x14ac:dyDescent="0.3">
      <c r="A348" s="3">
        <v>45543.1875</v>
      </c>
      <c r="B348" s="1">
        <v>24.8</v>
      </c>
      <c r="C348" s="7" t="str">
        <f t="shared" si="12"/>
        <v>0</v>
      </c>
      <c r="D348" s="7" t="str">
        <f t="shared" si="13"/>
        <v>0</v>
      </c>
    </row>
    <row r="349" spans="1:4" x14ac:dyDescent="0.3">
      <c r="A349" s="3">
        <v>45543.208333333336</v>
      </c>
      <c r="B349" s="1">
        <v>23.9</v>
      </c>
      <c r="C349" s="7" t="str">
        <f t="shared" si="12"/>
        <v>0</v>
      </c>
      <c r="D349" s="7" t="str">
        <f t="shared" si="13"/>
        <v>0</v>
      </c>
    </row>
    <row r="350" spans="1:4" x14ac:dyDescent="0.3">
      <c r="A350" s="3">
        <v>45543.229166666664</v>
      </c>
      <c r="B350" s="1">
        <v>23.9</v>
      </c>
      <c r="C350" s="7" t="str">
        <f t="shared" si="12"/>
        <v>0</v>
      </c>
      <c r="D350" s="7" t="str">
        <f t="shared" si="13"/>
        <v>0</v>
      </c>
    </row>
    <row r="351" spans="1:4" x14ac:dyDescent="0.3">
      <c r="A351" s="3">
        <v>45543.25</v>
      </c>
      <c r="B351" s="1">
        <v>24.5</v>
      </c>
      <c r="C351" s="7" t="str">
        <f t="shared" si="12"/>
        <v>0</v>
      </c>
      <c r="D351" s="7" t="str">
        <f t="shared" si="13"/>
        <v>0</v>
      </c>
    </row>
    <row r="352" spans="1:4" x14ac:dyDescent="0.3">
      <c r="A352" s="3">
        <v>45543.270833333336</v>
      </c>
      <c r="B352" s="1">
        <v>25.4</v>
      </c>
      <c r="C352" s="7" t="str">
        <f t="shared" si="12"/>
        <v>0</v>
      </c>
      <c r="D352" s="7" t="str">
        <f t="shared" si="13"/>
        <v>0</v>
      </c>
    </row>
    <row r="353" spans="1:4" x14ac:dyDescent="0.3">
      <c r="A353" s="3">
        <v>45543.291666666664</v>
      </c>
      <c r="B353" s="1">
        <v>25.7</v>
      </c>
      <c r="C353" s="7" t="str">
        <f t="shared" si="12"/>
        <v>0</v>
      </c>
      <c r="D353" s="7" t="str">
        <f t="shared" si="13"/>
        <v>0</v>
      </c>
    </row>
    <row r="354" spans="1:4" x14ac:dyDescent="0.3">
      <c r="A354" s="3">
        <v>45543.3125</v>
      </c>
      <c r="B354" s="1">
        <v>26.4</v>
      </c>
      <c r="C354" s="7" t="str">
        <f t="shared" si="12"/>
        <v>0</v>
      </c>
      <c r="D354" s="7" t="str">
        <f t="shared" si="13"/>
        <v>0</v>
      </c>
    </row>
    <row r="355" spans="1:4" x14ac:dyDescent="0.3">
      <c r="A355" s="3">
        <v>45543.333333333336</v>
      </c>
      <c r="B355" s="1">
        <v>27.7</v>
      </c>
      <c r="C355" s="7" t="str">
        <f t="shared" si="12"/>
        <v>0</v>
      </c>
      <c r="D355" s="7" t="str">
        <f t="shared" si="13"/>
        <v>0</v>
      </c>
    </row>
    <row r="356" spans="1:4" x14ac:dyDescent="0.3">
      <c r="A356" s="3">
        <v>45543.354166666664</v>
      </c>
      <c r="B356" s="1">
        <v>28.8</v>
      </c>
      <c r="C356" s="7" t="str">
        <f t="shared" si="12"/>
        <v>0</v>
      </c>
      <c r="D356" s="7" t="str">
        <f t="shared" si="13"/>
        <v>0</v>
      </c>
    </row>
    <row r="357" spans="1:4" x14ac:dyDescent="0.3">
      <c r="A357" s="3">
        <v>45543.375</v>
      </c>
      <c r="B357" s="1">
        <v>30</v>
      </c>
      <c r="C357" s="7" t="str">
        <f t="shared" si="12"/>
        <v>0</v>
      </c>
      <c r="D357" s="7" t="str">
        <f t="shared" si="13"/>
        <v>0</v>
      </c>
    </row>
    <row r="358" spans="1:4" x14ac:dyDescent="0.3">
      <c r="A358" s="3">
        <v>45543.395833333336</v>
      </c>
      <c r="B358" s="1">
        <v>31.5</v>
      </c>
      <c r="C358" s="7" t="str">
        <f t="shared" si="12"/>
        <v>0</v>
      </c>
      <c r="D358" s="7" t="str">
        <f t="shared" si="13"/>
        <v>0</v>
      </c>
    </row>
    <row r="359" spans="1:4" x14ac:dyDescent="0.3">
      <c r="A359" s="3">
        <v>45543.416666666664</v>
      </c>
      <c r="B359" s="1">
        <v>32.299999999999997</v>
      </c>
      <c r="C359" s="7" t="str">
        <f t="shared" si="12"/>
        <v>0</v>
      </c>
      <c r="D359" s="7" t="str">
        <f t="shared" si="13"/>
        <v>0</v>
      </c>
    </row>
    <row r="360" spans="1:4" x14ac:dyDescent="0.3">
      <c r="A360" s="3">
        <v>45543.4375</v>
      </c>
      <c r="B360" s="1">
        <v>32.700000000000003</v>
      </c>
      <c r="C360" s="7" t="str">
        <f t="shared" si="12"/>
        <v>0</v>
      </c>
      <c r="D360" s="7" t="str">
        <f t="shared" si="13"/>
        <v>0</v>
      </c>
    </row>
    <row r="361" spans="1:4" x14ac:dyDescent="0.3">
      <c r="A361" s="3">
        <v>45543.458333333336</v>
      </c>
      <c r="B361" s="1">
        <v>32.9</v>
      </c>
      <c r="C361" s="7" t="str">
        <f t="shared" si="12"/>
        <v>0</v>
      </c>
      <c r="D361" s="7" t="str">
        <f t="shared" si="13"/>
        <v>0</v>
      </c>
    </row>
    <row r="362" spans="1:4" x14ac:dyDescent="0.3">
      <c r="A362" s="3">
        <v>45543.479166666664</v>
      </c>
      <c r="B362" s="1">
        <v>33.1</v>
      </c>
      <c r="C362" s="7" t="str">
        <f t="shared" si="12"/>
        <v>0</v>
      </c>
      <c r="D362" s="7" t="str">
        <f t="shared" si="13"/>
        <v>0</v>
      </c>
    </row>
    <row r="363" spans="1:4" x14ac:dyDescent="0.3">
      <c r="A363" s="3">
        <v>45543.5</v>
      </c>
      <c r="B363" s="1">
        <v>33.4</v>
      </c>
      <c r="C363" s="7" t="str">
        <f t="shared" si="12"/>
        <v>0</v>
      </c>
      <c r="D363" s="7" t="str">
        <f t="shared" si="13"/>
        <v>0</v>
      </c>
    </row>
    <row r="364" spans="1:4" x14ac:dyDescent="0.3">
      <c r="A364" s="3">
        <v>45543.520833333336</v>
      </c>
      <c r="B364" s="1">
        <v>33.799999999999997</v>
      </c>
      <c r="C364" s="7" t="str">
        <f t="shared" si="12"/>
        <v>0</v>
      </c>
      <c r="D364" s="7" t="str">
        <f t="shared" si="13"/>
        <v>0</v>
      </c>
    </row>
    <row r="365" spans="1:4" x14ac:dyDescent="0.3">
      <c r="A365" s="3">
        <v>45543.541666666664</v>
      </c>
      <c r="B365" s="1">
        <v>34.1</v>
      </c>
      <c r="C365" s="7" t="str">
        <f t="shared" si="12"/>
        <v>0</v>
      </c>
      <c r="D365" s="7" t="str">
        <f t="shared" si="13"/>
        <v>0</v>
      </c>
    </row>
    <row r="366" spans="1:4" x14ac:dyDescent="0.3">
      <c r="A366" s="3">
        <v>45543.5625</v>
      </c>
      <c r="B366" s="1">
        <v>34.200000000000003</v>
      </c>
      <c r="C366" s="7" t="str">
        <f t="shared" si="12"/>
        <v>0</v>
      </c>
      <c r="D366" s="7">
        <f t="shared" si="13"/>
        <v>45543.5625</v>
      </c>
    </row>
    <row r="367" spans="1:4" x14ac:dyDescent="0.3">
      <c r="A367" s="3">
        <v>45543.583333333336</v>
      </c>
      <c r="B367" s="1">
        <v>33.4</v>
      </c>
      <c r="C367" s="7" t="str">
        <f t="shared" si="12"/>
        <v>0</v>
      </c>
      <c r="D367" s="7" t="str">
        <f t="shared" si="13"/>
        <v>0</v>
      </c>
    </row>
    <row r="368" spans="1:4" x14ac:dyDescent="0.3">
      <c r="A368" s="3">
        <v>45543.604166666664</v>
      </c>
      <c r="B368" s="1">
        <v>32.6</v>
      </c>
      <c r="C368" s="7" t="str">
        <f t="shared" si="12"/>
        <v>0</v>
      </c>
      <c r="D368" s="7" t="str">
        <f t="shared" si="13"/>
        <v>0</v>
      </c>
    </row>
    <row r="369" spans="1:4" x14ac:dyDescent="0.3">
      <c r="A369" s="3">
        <v>45543.625</v>
      </c>
      <c r="B369" s="1">
        <v>32.1</v>
      </c>
      <c r="C369" s="7" t="str">
        <f t="shared" si="12"/>
        <v>0</v>
      </c>
      <c r="D369" s="7" t="str">
        <f t="shared" si="13"/>
        <v>0</v>
      </c>
    </row>
    <row r="370" spans="1:4" x14ac:dyDescent="0.3">
      <c r="A370" s="3">
        <v>45543.645833333336</v>
      </c>
      <c r="B370" s="1">
        <v>31.5</v>
      </c>
      <c r="C370" s="7" t="str">
        <f t="shared" si="12"/>
        <v>0</v>
      </c>
      <c r="D370" s="7" t="str">
        <f t="shared" si="13"/>
        <v>0</v>
      </c>
    </row>
    <row r="371" spans="1:4" x14ac:dyDescent="0.3">
      <c r="A371" s="3">
        <v>45543.666666666664</v>
      </c>
      <c r="B371" s="1">
        <v>31.1</v>
      </c>
      <c r="C371" s="7" t="str">
        <f t="shared" si="12"/>
        <v>0</v>
      </c>
      <c r="D371" s="7" t="str">
        <f t="shared" si="13"/>
        <v>0</v>
      </c>
    </row>
    <row r="372" spans="1:4" x14ac:dyDescent="0.3">
      <c r="A372" s="3">
        <v>45543.6875</v>
      </c>
      <c r="B372" s="1">
        <v>30.7</v>
      </c>
      <c r="C372" s="7" t="str">
        <f t="shared" si="12"/>
        <v>0</v>
      </c>
      <c r="D372" s="7" t="str">
        <f t="shared" si="13"/>
        <v>0</v>
      </c>
    </row>
    <row r="373" spans="1:4" x14ac:dyDescent="0.3">
      <c r="A373" s="3">
        <v>45543.708333333336</v>
      </c>
      <c r="B373" s="1">
        <v>30.2</v>
      </c>
      <c r="C373" s="7" t="str">
        <f t="shared" si="12"/>
        <v>0</v>
      </c>
      <c r="D373" s="7" t="str">
        <f t="shared" si="13"/>
        <v>0</v>
      </c>
    </row>
    <row r="374" spans="1:4" x14ac:dyDescent="0.3">
      <c r="A374" s="3">
        <v>45543.729166666664</v>
      </c>
      <c r="B374" s="1">
        <v>29.9</v>
      </c>
      <c r="C374" s="7" t="str">
        <f t="shared" si="12"/>
        <v>0</v>
      </c>
      <c r="D374" s="7" t="str">
        <f t="shared" si="13"/>
        <v>0</v>
      </c>
    </row>
    <row r="375" spans="1:4" x14ac:dyDescent="0.3">
      <c r="A375" s="3">
        <v>45543.75</v>
      </c>
      <c r="B375" s="1">
        <v>29.7</v>
      </c>
      <c r="C375" s="7" t="str">
        <f t="shared" si="12"/>
        <v>0</v>
      </c>
      <c r="D375" s="7" t="str">
        <f t="shared" si="13"/>
        <v>0</v>
      </c>
    </row>
    <row r="376" spans="1:4" x14ac:dyDescent="0.3">
      <c r="A376" s="3">
        <v>45543.770833333336</v>
      </c>
      <c r="B376" s="1">
        <v>29.7</v>
      </c>
      <c r="C376" s="7" t="str">
        <f t="shared" si="12"/>
        <v>0</v>
      </c>
      <c r="D376" s="7" t="str">
        <f t="shared" si="13"/>
        <v>0</v>
      </c>
    </row>
    <row r="377" spans="1:4" x14ac:dyDescent="0.3">
      <c r="A377" s="3">
        <v>45543.791666666664</v>
      </c>
      <c r="B377" s="1">
        <v>29.8</v>
      </c>
      <c r="C377" s="7" t="str">
        <f t="shared" si="12"/>
        <v>0</v>
      </c>
      <c r="D377" s="7" t="str">
        <f t="shared" si="13"/>
        <v>0</v>
      </c>
    </row>
    <row r="378" spans="1:4" x14ac:dyDescent="0.3">
      <c r="A378" s="3">
        <v>45543.8125</v>
      </c>
      <c r="B378" s="1">
        <v>29.8</v>
      </c>
      <c r="C378" s="7" t="str">
        <f t="shared" si="12"/>
        <v>0</v>
      </c>
      <c r="D378" s="7" t="str">
        <f t="shared" si="13"/>
        <v>0</v>
      </c>
    </row>
    <row r="379" spans="1:4" x14ac:dyDescent="0.3">
      <c r="A379" s="3">
        <v>45543.833333333336</v>
      </c>
      <c r="B379" s="1">
        <v>29.6</v>
      </c>
      <c r="C379" s="7" t="str">
        <f t="shared" si="12"/>
        <v>0</v>
      </c>
      <c r="D379" s="7" t="str">
        <f t="shared" si="13"/>
        <v>0</v>
      </c>
    </row>
    <row r="380" spans="1:4" x14ac:dyDescent="0.3">
      <c r="A380" s="3">
        <v>45543.854166666664</v>
      </c>
      <c r="B380" s="1">
        <v>29.3</v>
      </c>
      <c r="C380" s="7" t="str">
        <f t="shared" si="12"/>
        <v>0</v>
      </c>
      <c r="D380" s="7" t="str">
        <f t="shared" si="13"/>
        <v>0</v>
      </c>
    </row>
    <row r="381" spans="1:4" x14ac:dyDescent="0.3">
      <c r="A381" s="3">
        <v>45543.875</v>
      </c>
      <c r="B381" s="1">
        <v>29.2</v>
      </c>
      <c r="C381" s="7" t="str">
        <f t="shared" si="12"/>
        <v>0</v>
      </c>
      <c r="D381" s="7" t="str">
        <f t="shared" si="13"/>
        <v>0</v>
      </c>
    </row>
    <row r="382" spans="1:4" x14ac:dyDescent="0.3">
      <c r="A382" s="3">
        <v>45543.895833333336</v>
      </c>
      <c r="B382" s="1">
        <v>29</v>
      </c>
      <c r="C382" s="7" t="str">
        <f t="shared" si="12"/>
        <v>0</v>
      </c>
      <c r="D382" s="7" t="str">
        <f t="shared" si="13"/>
        <v>0</v>
      </c>
    </row>
    <row r="383" spans="1:4" x14ac:dyDescent="0.3">
      <c r="A383" s="3">
        <v>45543.916666666664</v>
      </c>
      <c r="B383" s="1">
        <v>24.5</v>
      </c>
      <c r="C383" s="7" t="str">
        <f t="shared" si="12"/>
        <v>0</v>
      </c>
      <c r="D383" s="7" t="str">
        <f t="shared" si="13"/>
        <v>0</v>
      </c>
    </row>
    <row r="384" spans="1:4" x14ac:dyDescent="0.3">
      <c r="A384" s="3">
        <v>45543.9375</v>
      </c>
      <c r="B384" s="1">
        <v>24.3</v>
      </c>
      <c r="C384" s="7" t="str">
        <f t="shared" si="12"/>
        <v>0</v>
      </c>
      <c r="D384" s="7" t="str">
        <f t="shared" si="13"/>
        <v>0</v>
      </c>
    </row>
    <row r="385" spans="1:4" x14ac:dyDescent="0.3">
      <c r="A385" s="3">
        <v>45543.958333333336</v>
      </c>
      <c r="B385" s="1">
        <v>24.3</v>
      </c>
      <c r="C385" s="7" t="str">
        <f t="shared" si="12"/>
        <v>0</v>
      </c>
      <c r="D385" s="7" t="str">
        <f t="shared" si="13"/>
        <v>0</v>
      </c>
    </row>
    <row r="386" spans="1:4" x14ac:dyDescent="0.3">
      <c r="A386" s="3">
        <v>45543.979166666664</v>
      </c>
      <c r="B386" s="1">
        <v>24.4</v>
      </c>
      <c r="C386" s="7" t="str">
        <f t="shared" si="12"/>
        <v>0</v>
      </c>
      <c r="D386" s="7" t="str">
        <f t="shared" si="13"/>
        <v>0</v>
      </c>
    </row>
    <row r="387" spans="1:4" x14ac:dyDescent="0.3">
      <c r="A387" s="3">
        <v>45544</v>
      </c>
      <c r="B387" s="1">
        <v>24.2</v>
      </c>
      <c r="C387" s="7" t="str">
        <f t="shared" ref="C387:C450" si="14">IF(B387=$P$13,A387,"0")</f>
        <v>0</v>
      </c>
      <c r="D387" s="7" t="str">
        <f t="shared" ref="D387:D450" si="15">IF(B387=$M$13,A387,"0")</f>
        <v>0</v>
      </c>
    </row>
    <row r="388" spans="1:4" x14ac:dyDescent="0.3">
      <c r="A388" s="3">
        <v>45544.020833333336</v>
      </c>
      <c r="B388" s="1">
        <v>23.9</v>
      </c>
      <c r="C388" s="7" t="str">
        <f t="shared" si="14"/>
        <v>0</v>
      </c>
      <c r="D388" s="7" t="str">
        <f t="shared" si="15"/>
        <v>0</v>
      </c>
    </row>
    <row r="389" spans="1:4" x14ac:dyDescent="0.3">
      <c r="A389" s="3">
        <v>45544.041666666664</v>
      </c>
      <c r="B389" s="1">
        <v>23.9</v>
      </c>
      <c r="C389" s="7" t="str">
        <f t="shared" si="14"/>
        <v>0</v>
      </c>
      <c r="D389" s="7" t="str">
        <f t="shared" si="15"/>
        <v>0</v>
      </c>
    </row>
    <row r="390" spans="1:4" x14ac:dyDescent="0.3">
      <c r="A390" s="3">
        <v>45544.0625</v>
      </c>
      <c r="B390" s="1">
        <v>24.3</v>
      </c>
      <c r="C390" s="7" t="str">
        <f t="shared" si="14"/>
        <v>0</v>
      </c>
      <c r="D390" s="7" t="str">
        <f t="shared" si="15"/>
        <v>0</v>
      </c>
    </row>
    <row r="391" spans="1:4" x14ac:dyDescent="0.3">
      <c r="A391" s="3">
        <v>45544.083333333336</v>
      </c>
      <c r="B391" s="1">
        <v>24.2</v>
      </c>
      <c r="C391" s="7" t="str">
        <f t="shared" si="14"/>
        <v>0</v>
      </c>
      <c r="D391" s="7" t="str">
        <f t="shared" si="15"/>
        <v>0</v>
      </c>
    </row>
    <row r="392" spans="1:4" x14ac:dyDescent="0.3">
      <c r="A392" s="3">
        <v>45544.104166666664</v>
      </c>
      <c r="B392" s="1">
        <v>24.3</v>
      </c>
      <c r="C392" s="7" t="str">
        <f t="shared" si="14"/>
        <v>0</v>
      </c>
      <c r="D392" s="7" t="str">
        <f t="shared" si="15"/>
        <v>0</v>
      </c>
    </row>
    <row r="393" spans="1:4" x14ac:dyDescent="0.3">
      <c r="A393" s="3">
        <v>45544.125</v>
      </c>
      <c r="B393" s="1">
        <v>24</v>
      </c>
      <c r="C393" s="7" t="str">
        <f t="shared" si="14"/>
        <v>0</v>
      </c>
      <c r="D393" s="7" t="str">
        <f t="shared" si="15"/>
        <v>0</v>
      </c>
    </row>
    <row r="394" spans="1:4" x14ac:dyDescent="0.3">
      <c r="A394" s="3">
        <v>45544.145833333336</v>
      </c>
      <c r="B394" s="1">
        <v>24.3</v>
      </c>
      <c r="C394" s="7" t="str">
        <f t="shared" si="14"/>
        <v>0</v>
      </c>
      <c r="D394" s="7" t="str">
        <f t="shared" si="15"/>
        <v>0</v>
      </c>
    </row>
    <row r="395" spans="1:4" x14ac:dyDescent="0.3">
      <c r="A395" s="3">
        <v>45544.166666666664</v>
      </c>
      <c r="B395" s="1">
        <v>24.4</v>
      </c>
      <c r="C395" s="7" t="str">
        <f t="shared" si="14"/>
        <v>0</v>
      </c>
      <c r="D395" s="7" t="str">
        <f t="shared" si="15"/>
        <v>0</v>
      </c>
    </row>
    <row r="396" spans="1:4" x14ac:dyDescent="0.3">
      <c r="A396" s="3">
        <v>45544.1875</v>
      </c>
      <c r="B396" s="1">
        <v>24.4</v>
      </c>
      <c r="C396" s="7" t="str">
        <f t="shared" si="14"/>
        <v>0</v>
      </c>
      <c r="D396" s="7" t="str">
        <f t="shared" si="15"/>
        <v>0</v>
      </c>
    </row>
    <row r="397" spans="1:4" x14ac:dyDescent="0.3">
      <c r="A397" s="3">
        <v>45544.208333333336</v>
      </c>
      <c r="B397" s="1">
        <v>24.4</v>
      </c>
      <c r="C397" s="7" t="str">
        <f t="shared" si="14"/>
        <v>0</v>
      </c>
      <c r="D397" s="7" t="str">
        <f t="shared" si="15"/>
        <v>0</v>
      </c>
    </row>
    <row r="398" spans="1:4" x14ac:dyDescent="0.3">
      <c r="A398" s="3">
        <v>45544.229166666664</v>
      </c>
      <c r="B398" s="1">
        <v>24.4</v>
      </c>
      <c r="C398" s="7" t="str">
        <f t="shared" si="14"/>
        <v>0</v>
      </c>
      <c r="D398" s="7" t="str">
        <f t="shared" si="15"/>
        <v>0</v>
      </c>
    </row>
    <row r="399" spans="1:4" x14ac:dyDescent="0.3">
      <c r="A399" s="3">
        <v>45544.25</v>
      </c>
      <c r="B399" s="1">
        <v>24.6</v>
      </c>
      <c r="C399" s="7" t="str">
        <f t="shared" si="14"/>
        <v>0</v>
      </c>
      <c r="D399" s="7" t="str">
        <f t="shared" si="15"/>
        <v>0</v>
      </c>
    </row>
    <row r="400" spans="1:4" x14ac:dyDescent="0.3">
      <c r="A400" s="3">
        <v>45544.270833333336</v>
      </c>
      <c r="B400" s="1">
        <v>24.8</v>
      </c>
      <c r="C400" s="7" t="str">
        <f t="shared" si="14"/>
        <v>0</v>
      </c>
      <c r="D400" s="7" t="str">
        <f t="shared" si="15"/>
        <v>0</v>
      </c>
    </row>
    <row r="401" spans="1:4" x14ac:dyDescent="0.3">
      <c r="A401" s="3">
        <v>45544.291666666664</v>
      </c>
      <c r="B401" s="1">
        <v>25.1</v>
      </c>
      <c r="C401" s="7" t="str">
        <f t="shared" si="14"/>
        <v>0</v>
      </c>
      <c r="D401" s="7" t="str">
        <f t="shared" si="15"/>
        <v>0</v>
      </c>
    </row>
    <row r="402" spans="1:4" x14ac:dyDescent="0.3">
      <c r="A402" s="3">
        <v>45544.3125</v>
      </c>
      <c r="B402" s="1">
        <v>24.9</v>
      </c>
      <c r="C402" s="7" t="str">
        <f t="shared" si="14"/>
        <v>0</v>
      </c>
      <c r="D402" s="7" t="str">
        <f t="shared" si="15"/>
        <v>0</v>
      </c>
    </row>
    <row r="403" spans="1:4" x14ac:dyDescent="0.3">
      <c r="A403" s="3">
        <v>45544.333333333336</v>
      </c>
      <c r="B403" s="1">
        <v>25.3</v>
      </c>
      <c r="C403" s="7" t="str">
        <f t="shared" si="14"/>
        <v>0</v>
      </c>
      <c r="D403" s="7" t="str">
        <f t="shared" si="15"/>
        <v>0</v>
      </c>
    </row>
    <row r="404" spans="1:4" x14ac:dyDescent="0.3">
      <c r="A404" s="3">
        <v>45544.354166666664</v>
      </c>
      <c r="B404" s="1">
        <v>25.6</v>
      </c>
      <c r="C404" s="7" t="str">
        <f t="shared" si="14"/>
        <v>0</v>
      </c>
      <c r="D404" s="7" t="str">
        <f t="shared" si="15"/>
        <v>0</v>
      </c>
    </row>
    <row r="405" spans="1:4" x14ac:dyDescent="0.3">
      <c r="A405" s="3">
        <v>45544.375</v>
      </c>
      <c r="B405" s="1">
        <v>25.3</v>
      </c>
      <c r="C405" s="7" t="str">
        <f t="shared" si="14"/>
        <v>0</v>
      </c>
      <c r="D405" s="7" t="str">
        <f t="shared" si="15"/>
        <v>0</v>
      </c>
    </row>
    <row r="406" spans="1:4" x14ac:dyDescent="0.3">
      <c r="A406" s="3">
        <v>45544.395833333336</v>
      </c>
      <c r="B406" s="1">
        <v>25.6</v>
      </c>
      <c r="C406" s="7" t="str">
        <f t="shared" si="14"/>
        <v>0</v>
      </c>
      <c r="D406" s="7" t="str">
        <f t="shared" si="15"/>
        <v>0</v>
      </c>
    </row>
    <row r="407" spans="1:4" x14ac:dyDescent="0.3">
      <c r="A407" s="3">
        <v>45544.416666666664</v>
      </c>
      <c r="B407" s="1">
        <v>25.2</v>
      </c>
      <c r="C407" s="7" t="str">
        <f t="shared" si="14"/>
        <v>0</v>
      </c>
      <c r="D407" s="7" t="str">
        <f t="shared" si="15"/>
        <v>0</v>
      </c>
    </row>
    <row r="408" spans="1:4" x14ac:dyDescent="0.3">
      <c r="A408" s="3">
        <v>45544.4375</v>
      </c>
      <c r="B408" s="1">
        <v>24.4</v>
      </c>
      <c r="C408" s="7" t="str">
        <f t="shared" si="14"/>
        <v>0</v>
      </c>
      <c r="D408" s="7" t="str">
        <f t="shared" si="15"/>
        <v>0</v>
      </c>
    </row>
    <row r="409" spans="1:4" x14ac:dyDescent="0.3">
      <c r="A409" s="3">
        <v>45544.458333333336</v>
      </c>
      <c r="B409" s="1">
        <v>24.3</v>
      </c>
      <c r="C409" s="7" t="str">
        <f t="shared" si="14"/>
        <v>0</v>
      </c>
      <c r="D409" s="7" t="str">
        <f t="shared" si="15"/>
        <v>0</v>
      </c>
    </row>
    <row r="410" spans="1:4" x14ac:dyDescent="0.3">
      <c r="A410" s="3">
        <v>45544.479166666664</v>
      </c>
      <c r="B410" s="1">
        <v>25.3</v>
      </c>
      <c r="C410" s="7" t="str">
        <f t="shared" si="14"/>
        <v>0</v>
      </c>
      <c r="D410" s="7" t="str">
        <f t="shared" si="15"/>
        <v>0</v>
      </c>
    </row>
    <row r="411" spans="1:4" x14ac:dyDescent="0.3">
      <c r="A411" s="3">
        <v>45544.5</v>
      </c>
      <c r="B411" s="1">
        <v>26.2</v>
      </c>
      <c r="C411" s="7" t="str">
        <f t="shared" si="14"/>
        <v>0</v>
      </c>
      <c r="D411" s="7" t="str">
        <f t="shared" si="15"/>
        <v>0</v>
      </c>
    </row>
    <row r="412" spans="1:4" x14ac:dyDescent="0.3">
      <c r="A412" s="3">
        <v>45544.520833333336</v>
      </c>
      <c r="B412" s="1">
        <v>25.6</v>
      </c>
      <c r="C412" s="7" t="str">
        <f t="shared" si="14"/>
        <v>0</v>
      </c>
      <c r="D412" s="7" t="str">
        <f t="shared" si="15"/>
        <v>0</v>
      </c>
    </row>
    <row r="413" spans="1:4" x14ac:dyDescent="0.3">
      <c r="A413" s="3">
        <v>45544.541666666664</v>
      </c>
      <c r="B413" s="1">
        <v>26.4</v>
      </c>
      <c r="C413" s="7" t="str">
        <f t="shared" si="14"/>
        <v>0</v>
      </c>
      <c r="D413" s="7" t="str">
        <f t="shared" si="15"/>
        <v>0</v>
      </c>
    </row>
    <row r="414" spans="1:4" x14ac:dyDescent="0.3">
      <c r="A414" s="3">
        <v>45544.5625</v>
      </c>
      <c r="B414" s="1">
        <v>27</v>
      </c>
      <c r="C414" s="7" t="str">
        <f t="shared" si="14"/>
        <v>0</v>
      </c>
      <c r="D414" s="7" t="str">
        <f t="shared" si="15"/>
        <v>0</v>
      </c>
    </row>
    <row r="415" spans="1:4" x14ac:dyDescent="0.3">
      <c r="A415" s="3">
        <v>45544.583333333336</v>
      </c>
      <c r="B415" s="1">
        <v>27.6</v>
      </c>
      <c r="C415" s="7" t="str">
        <f t="shared" si="14"/>
        <v>0</v>
      </c>
      <c r="D415" s="7" t="str">
        <f t="shared" si="15"/>
        <v>0</v>
      </c>
    </row>
    <row r="416" spans="1:4" x14ac:dyDescent="0.3">
      <c r="A416" s="3">
        <v>45544.604166666664</v>
      </c>
      <c r="B416" s="1">
        <v>26.8</v>
      </c>
      <c r="C416" s="7" t="str">
        <f t="shared" si="14"/>
        <v>0</v>
      </c>
      <c r="D416" s="7" t="str">
        <f t="shared" si="15"/>
        <v>0</v>
      </c>
    </row>
    <row r="417" spans="1:4" x14ac:dyDescent="0.3">
      <c r="A417" s="3">
        <v>45544.625</v>
      </c>
      <c r="B417" s="1">
        <v>28.1</v>
      </c>
      <c r="C417" s="7" t="str">
        <f t="shared" si="14"/>
        <v>0</v>
      </c>
      <c r="D417" s="7" t="str">
        <f t="shared" si="15"/>
        <v>0</v>
      </c>
    </row>
    <row r="418" spans="1:4" x14ac:dyDescent="0.3">
      <c r="A418" s="3">
        <v>45544.645833333336</v>
      </c>
      <c r="B418" s="1">
        <v>28.9</v>
      </c>
      <c r="C418" s="7" t="str">
        <f t="shared" si="14"/>
        <v>0</v>
      </c>
      <c r="D418" s="7" t="str">
        <f t="shared" si="15"/>
        <v>0</v>
      </c>
    </row>
    <row r="419" spans="1:4" x14ac:dyDescent="0.3">
      <c r="A419" s="3">
        <v>45544.666666666664</v>
      </c>
      <c r="B419" s="1">
        <v>28.9</v>
      </c>
      <c r="C419" s="7" t="str">
        <f t="shared" si="14"/>
        <v>0</v>
      </c>
      <c r="D419" s="7" t="str">
        <f t="shared" si="15"/>
        <v>0</v>
      </c>
    </row>
    <row r="420" spans="1:4" x14ac:dyDescent="0.3">
      <c r="A420" s="3">
        <v>45544.6875</v>
      </c>
      <c r="B420" s="1">
        <v>28.3</v>
      </c>
      <c r="C420" s="7" t="str">
        <f t="shared" si="14"/>
        <v>0</v>
      </c>
      <c r="D420" s="7" t="str">
        <f t="shared" si="15"/>
        <v>0</v>
      </c>
    </row>
    <row r="421" spans="1:4" x14ac:dyDescent="0.3">
      <c r="A421" s="3">
        <v>45544.708333333336</v>
      </c>
      <c r="B421" s="1">
        <v>28.2</v>
      </c>
      <c r="C421" s="7" t="str">
        <f t="shared" si="14"/>
        <v>0</v>
      </c>
      <c r="D421" s="7" t="str">
        <f t="shared" si="15"/>
        <v>0</v>
      </c>
    </row>
    <row r="422" spans="1:4" x14ac:dyDescent="0.3">
      <c r="A422" s="3">
        <v>45544.729166666664</v>
      </c>
      <c r="B422" s="1">
        <v>26.4</v>
      </c>
      <c r="C422" s="7" t="str">
        <f t="shared" si="14"/>
        <v>0</v>
      </c>
      <c r="D422" s="7" t="str">
        <f t="shared" si="15"/>
        <v>0</v>
      </c>
    </row>
    <row r="423" spans="1:4" x14ac:dyDescent="0.3">
      <c r="A423" s="3">
        <v>45544.75</v>
      </c>
      <c r="B423" s="1">
        <v>25.4</v>
      </c>
      <c r="C423" s="7" t="str">
        <f t="shared" si="14"/>
        <v>0</v>
      </c>
      <c r="D423" s="7" t="str">
        <f t="shared" si="15"/>
        <v>0</v>
      </c>
    </row>
    <row r="424" spans="1:4" x14ac:dyDescent="0.3">
      <c r="A424" s="3">
        <v>45544.770833333336</v>
      </c>
      <c r="B424" s="1">
        <v>25.1</v>
      </c>
      <c r="C424" s="7" t="str">
        <f t="shared" si="14"/>
        <v>0</v>
      </c>
      <c r="D424" s="7" t="str">
        <f t="shared" si="15"/>
        <v>0</v>
      </c>
    </row>
    <row r="425" spans="1:4" x14ac:dyDescent="0.3">
      <c r="A425" s="3">
        <v>45544.791666666664</v>
      </c>
      <c r="B425" s="1">
        <v>25.2</v>
      </c>
      <c r="C425" s="7" t="str">
        <f t="shared" si="14"/>
        <v>0</v>
      </c>
      <c r="D425" s="7" t="str">
        <f t="shared" si="15"/>
        <v>0</v>
      </c>
    </row>
    <row r="426" spans="1:4" x14ac:dyDescent="0.3">
      <c r="A426" s="3">
        <v>45544.8125</v>
      </c>
      <c r="B426" s="1">
        <v>25</v>
      </c>
      <c r="C426" s="7" t="str">
        <f t="shared" si="14"/>
        <v>0</v>
      </c>
      <c r="D426" s="7" t="str">
        <f t="shared" si="15"/>
        <v>0</v>
      </c>
    </row>
    <row r="427" spans="1:4" x14ac:dyDescent="0.3">
      <c r="A427" s="3">
        <v>45544.833333333336</v>
      </c>
      <c r="B427" s="1">
        <v>24.9</v>
      </c>
      <c r="C427" s="7" t="str">
        <f t="shared" si="14"/>
        <v>0</v>
      </c>
      <c r="D427" s="7" t="str">
        <f t="shared" si="15"/>
        <v>0</v>
      </c>
    </row>
    <row r="428" spans="1:4" x14ac:dyDescent="0.3">
      <c r="A428" s="3">
        <v>45544.854166666664</v>
      </c>
      <c r="B428" s="1">
        <v>24.4</v>
      </c>
      <c r="C428" s="7" t="str">
        <f t="shared" si="14"/>
        <v>0</v>
      </c>
      <c r="D428" s="7" t="str">
        <f t="shared" si="15"/>
        <v>0</v>
      </c>
    </row>
    <row r="429" spans="1:4" x14ac:dyDescent="0.3">
      <c r="A429" s="3">
        <v>45544.875</v>
      </c>
      <c r="B429" s="1">
        <v>23.3</v>
      </c>
      <c r="C429" s="7" t="str">
        <f t="shared" si="14"/>
        <v>0</v>
      </c>
      <c r="D429" s="7" t="str">
        <f t="shared" si="15"/>
        <v>0</v>
      </c>
    </row>
    <row r="430" spans="1:4" x14ac:dyDescent="0.3">
      <c r="A430" s="3">
        <v>45544.895833333336</v>
      </c>
      <c r="B430" s="1">
        <v>23</v>
      </c>
      <c r="C430" s="7" t="str">
        <f t="shared" si="14"/>
        <v>0</v>
      </c>
      <c r="D430" s="7" t="str">
        <f t="shared" si="15"/>
        <v>0</v>
      </c>
    </row>
    <row r="431" spans="1:4" x14ac:dyDescent="0.3">
      <c r="A431" s="3">
        <v>45544.916666666664</v>
      </c>
      <c r="B431" s="1">
        <v>22.6</v>
      </c>
      <c r="C431" s="7" t="str">
        <f t="shared" si="14"/>
        <v>0</v>
      </c>
      <c r="D431" s="7" t="str">
        <f t="shared" si="15"/>
        <v>0</v>
      </c>
    </row>
    <row r="432" spans="1:4" x14ac:dyDescent="0.3">
      <c r="A432" s="3">
        <v>45544.922534722224</v>
      </c>
      <c r="B432" s="1">
        <v>22.7</v>
      </c>
      <c r="C432" s="7" t="str">
        <f t="shared" si="14"/>
        <v>0</v>
      </c>
      <c r="D432" s="7" t="str">
        <f t="shared" si="15"/>
        <v>0</v>
      </c>
    </row>
    <row r="433" spans="1:4" x14ac:dyDescent="0.3">
      <c r="A433" s="3">
        <v>45544.9375</v>
      </c>
      <c r="B433" s="1">
        <v>22.5</v>
      </c>
      <c r="C433" s="7" t="str">
        <f t="shared" si="14"/>
        <v>0</v>
      </c>
      <c r="D433" s="7" t="str">
        <f t="shared" si="15"/>
        <v>0</v>
      </c>
    </row>
    <row r="434" spans="1:4" x14ac:dyDescent="0.3">
      <c r="A434" s="3">
        <v>45544.958333333336</v>
      </c>
      <c r="B434" s="1">
        <v>22.5</v>
      </c>
      <c r="C434" s="7" t="str">
        <f t="shared" si="14"/>
        <v>0</v>
      </c>
      <c r="D434" s="7" t="str">
        <f t="shared" si="15"/>
        <v>0</v>
      </c>
    </row>
    <row r="435" spans="1:4" x14ac:dyDescent="0.3">
      <c r="A435" s="3">
        <v>45544.979166666664</v>
      </c>
      <c r="B435" s="1">
        <v>22.3</v>
      </c>
      <c r="C435" s="7" t="str">
        <f t="shared" si="14"/>
        <v>0</v>
      </c>
      <c r="D435" s="7" t="str">
        <f t="shared" si="15"/>
        <v>0</v>
      </c>
    </row>
    <row r="436" spans="1:4" x14ac:dyDescent="0.3">
      <c r="A436" s="3">
        <v>45545</v>
      </c>
      <c r="B436" s="1">
        <v>22.2</v>
      </c>
      <c r="C436" s="7" t="str">
        <f t="shared" si="14"/>
        <v>0</v>
      </c>
      <c r="D436" s="7" t="str">
        <f t="shared" si="15"/>
        <v>0</v>
      </c>
    </row>
    <row r="437" spans="1:4" x14ac:dyDescent="0.3">
      <c r="A437" s="3">
        <v>45545.020833333336</v>
      </c>
      <c r="B437" s="1">
        <v>22.2</v>
      </c>
      <c r="C437" s="7" t="str">
        <f t="shared" si="14"/>
        <v>0</v>
      </c>
      <c r="D437" s="7" t="str">
        <f t="shared" si="15"/>
        <v>0</v>
      </c>
    </row>
    <row r="438" spans="1:4" x14ac:dyDescent="0.3">
      <c r="A438" s="3">
        <v>45545.041666666664</v>
      </c>
      <c r="B438" s="1">
        <v>22</v>
      </c>
      <c r="C438" s="7" t="str">
        <f t="shared" si="14"/>
        <v>0</v>
      </c>
      <c r="D438" s="7" t="str">
        <f t="shared" si="15"/>
        <v>0</v>
      </c>
    </row>
    <row r="439" spans="1:4" x14ac:dyDescent="0.3">
      <c r="A439" s="3">
        <v>45545.0625</v>
      </c>
      <c r="B439" s="1">
        <v>21.6</v>
      </c>
      <c r="C439" s="7" t="str">
        <f t="shared" si="14"/>
        <v>0</v>
      </c>
      <c r="D439" s="7" t="str">
        <f t="shared" si="15"/>
        <v>0</v>
      </c>
    </row>
    <row r="440" spans="1:4" x14ac:dyDescent="0.3">
      <c r="A440" s="3">
        <v>45545.083333333336</v>
      </c>
      <c r="B440" s="1">
        <v>21.3</v>
      </c>
      <c r="C440" s="7" t="str">
        <f t="shared" si="14"/>
        <v>0</v>
      </c>
      <c r="D440" s="7" t="str">
        <f t="shared" si="15"/>
        <v>0</v>
      </c>
    </row>
    <row r="441" spans="1:4" x14ac:dyDescent="0.3">
      <c r="A441" s="3">
        <v>45545.104166666664</v>
      </c>
      <c r="B441" s="1">
        <v>21.3</v>
      </c>
      <c r="C441" s="7" t="str">
        <f t="shared" si="14"/>
        <v>0</v>
      </c>
      <c r="D441" s="7" t="str">
        <f t="shared" si="15"/>
        <v>0</v>
      </c>
    </row>
    <row r="442" spans="1:4" x14ac:dyDescent="0.3">
      <c r="A442" s="3">
        <v>45545.125</v>
      </c>
      <c r="B442" s="1">
        <v>21.2</v>
      </c>
      <c r="C442" s="7" t="str">
        <f t="shared" si="14"/>
        <v>0</v>
      </c>
      <c r="D442" s="7" t="str">
        <f t="shared" si="15"/>
        <v>0</v>
      </c>
    </row>
    <row r="443" spans="1:4" x14ac:dyDescent="0.3">
      <c r="A443" s="3">
        <v>45545.145833333336</v>
      </c>
      <c r="B443" s="1">
        <v>20.9</v>
      </c>
      <c r="C443" s="7" t="str">
        <f t="shared" si="14"/>
        <v>0</v>
      </c>
      <c r="D443" s="7" t="str">
        <f t="shared" si="15"/>
        <v>0</v>
      </c>
    </row>
    <row r="444" spans="1:4" x14ac:dyDescent="0.3">
      <c r="A444" s="3">
        <v>45545.166666666664</v>
      </c>
      <c r="B444" s="1">
        <v>20.6</v>
      </c>
      <c r="C444" s="7" t="str">
        <f t="shared" si="14"/>
        <v>0</v>
      </c>
      <c r="D444" s="7" t="str">
        <f t="shared" si="15"/>
        <v>0</v>
      </c>
    </row>
    <row r="445" spans="1:4" x14ac:dyDescent="0.3">
      <c r="A445" s="3">
        <v>45545.172361111108</v>
      </c>
      <c r="B445" s="1">
        <v>20.6</v>
      </c>
      <c r="C445" s="7" t="str">
        <f t="shared" si="14"/>
        <v>0</v>
      </c>
      <c r="D445" s="7" t="str">
        <f t="shared" si="15"/>
        <v>0</v>
      </c>
    </row>
    <row r="446" spans="1:4" x14ac:dyDescent="0.3">
      <c r="A446" s="3">
        <v>45545.1875</v>
      </c>
      <c r="B446" s="1">
        <v>20.6</v>
      </c>
      <c r="C446" s="7" t="str">
        <f t="shared" si="14"/>
        <v>0</v>
      </c>
      <c r="D446" s="7" t="str">
        <f t="shared" si="15"/>
        <v>0</v>
      </c>
    </row>
    <row r="447" spans="1:4" x14ac:dyDescent="0.3">
      <c r="A447" s="3">
        <v>45545.208333333336</v>
      </c>
      <c r="B447" s="1">
        <v>20.6</v>
      </c>
      <c r="C447" s="7" t="str">
        <f t="shared" si="14"/>
        <v>0</v>
      </c>
      <c r="D447" s="7" t="str">
        <f t="shared" si="15"/>
        <v>0</v>
      </c>
    </row>
    <row r="448" spans="1:4" x14ac:dyDescent="0.3">
      <c r="A448" s="3">
        <v>45545.229166666664</v>
      </c>
      <c r="B448" s="1">
        <v>21</v>
      </c>
      <c r="C448" s="7" t="str">
        <f t="shared" si="14"/>
        <v>0</v>
      </c>
      <c r="D448" s="7" t="str">
        <f t="shared" si="15"/>
        <v>0</v>
      </c>
    </row>
    <row r="449" spans="1:4" x14ac:dyDescent="0.3">
      <c r="A449" s="3">
        <v>45545.25</v>
      </c>
      <c r="B449" s="1">
        <v>21.4</v>
      </c>
      <c r="C449" s="7" t="str">
        <f t="shared" si="14"/>
        <v>0</v>
      </c>
      <c r="D449" s="7" t="str">
        <f t="shared" si="15"/>
        <v>0</v>
      </c>
    </row>
    <row r="450" spans="1:4" x14ac:dyDescent="0.3">
      <c r="A450" s="3">
        <v>45545.270833333336</v>
      </c>
      <c r="B450" s="1">
        <v>21.8</v>
      </c>
      <c r="C450" s="7" t="str">
        <f t="shared" si="14"/>
        <v>0</v>
      </c>
      <c r="D450" s="7" t="str">
        <f t="shared" si="15"/>
        <v>0</v>
      </c>
    </row>
    <row r="451" spans="1:4" x14ac:dyDescent="0.3">
      <c r="A451" s="3">
        <v>45545.291666666664</v>
      </c>
      <c r="B451" s="1">
        <v>22</v>
      </c>
      <c r="C451" s="7" t="str">
        <f t="shared" ref="C451:C514" si="16">IF(B451=$P$13,A451,"0")</f>
        <v>0</v>
      </c>
      <c r="D451" s="7" t="str">
        <f t="shared" ref="D451:D514" si="17">IF(B451=$M$13,A451,"0")</f>
        <v>0</v>
      </c>
    </row>
    <row r="452" spans="1:4" x14ac:dyDescent="0.3">
      <c r="A452" s="3">
        <v>45545.3125</v>
      </c>
      <c r="B452" s="1">
        <v>22.8</v>
      </c>
      <c r="C452" s="7" t="str">
        <f t="shared" si="16"/>
        <v>0</v>
      </c>
      <c r="D452" s="7" t="str">
        <f t="shared" si="17"/>
        <v>0</v>
      </c>
    </row>
    <row r="453" spans="1:4" x14ac:dyDescent="0.3">
      <c r="A453" s="3">
        <v>45545.333333333336</v>
      </c>
      <c r="B453" s="1">
        <v>23.5</v>
      </c>
      <c r="C453" s="7" t="str">
        <f t="shared" si="16"/>
        <v>0</v>
      </c>
      <c r="D453" s="7" t="str">
        <f t="shared" si="17"/>
        <v>0</v>
      </c>
    </row>
    <row r="454" spans="1:4" x14ac:dyDescent="0.3">
      <c r="A454" s="3">
        <v>45545.354166666664</v>
      </c>
      <c r="B454" s="1">
        <v>24.4</v>
      </c>
      <c r="C454" s="7" t="str">
        <f t="shared" si="16"/>
        <v>0</v>
      </c>
      <c r="D454" s="7" t="str">
        <f t="shared" si="17"/>
        <v>0</v>
      </c>
    </row>
    <row r="455" spans="1:4" x14ac:dyDescent="0.3">
      <c r="A455" s="3">
        <v>45545.375</v>
      </c>
      <c r="B455" s="1">
        <v>25.7</v>
      </c>
      <c r="C455" s="7" t="str">
        <f t="shared" si="16"/>
        <v>0</v>
      </c>
      <c r="D455" s="7" t="str">
        <f t="shared" si="17"/>
        <v>0</v>
      </c>
    </row>
    <row r="456" spans="1:4" x14ac:dyDescent="0.3">
      <c r="A456" s="3">
        <v>45545.395833333336</v>
      </c>
      <c r="B456" s="1">
        <v>26.5</v>
      </c>
      <c r="C456" s="7" t="str">
        <f t="shared" si="16"/>
        <v>0</v>
      </c>
      <c r="D456" s="7" t="str">
        <f t="shared" si="17"/>
        <v>0</v>
      </c>
    </row>
    <row r="457" spans="1:4" x14ac:dyDescent="0.3">
      <c r="A457" s="3">
        <v>45545.416666666664</v>
      </c>
      <c r="B457" s="1">
        <v>27.5</v>
      </c>
      <c r="C457" s="7" t="str">
        <f t="shared" si="16"/>
        <v>0</v>
      </c>
      <c r="D457" s="7" t="str">
        <f t="shared" si="17"/>
        <v>0</v>
      </c>
    </row>
    <row r="458" spans="1:4" x14ac:dyDescent="0.3">
      <c r="A458" s="3">
        <v>45545.4375</v>
      </c>
      <c r="B458" s="1">
        <v>28</v>
      </c>
      <c r="C458" s="7" t="str">
        <f t="shared" si="16"/>
        <v>0</v>
      </c>
      <c r="D458" s="7" t="str">
        <f t="shared" si="17"/>
        <v>0</v>
      </c>
    </row>
    <row r="459" spans="1:4" x14ac:dyDescent="0.3">
      <c r="A459" s="3">
        <v>45545.458333333336</v>
      </c>
      <c r="B459" s="1">
        <v>28.8</v>
      </c>
      <c r="C459" s="7" t="str">
        <f t="shared" si="16"/>
        <v>0</v>
      </c>
      <c r="D459" s="7" t="str">
        <f t="shared" si="17"/>
        <v>0</v>
      </c>
    </row>
    <row r="460" spans="1:4" x14ac:dyDescent="0.3">
      <c r="A460" s="3">
        <v>45545.479166666664</v>
      </c>
      <c r="B460" s="1">
        <v>29.2</v>
      </c>
      <c r="C460" s="7" t="str">
        <f t="shared" si="16"/>
        <v>0</v>
      </c>
      <c r="D460" s="7" t="str">
        <f t="shared" si="17"/>
        <v>0</v>
      </c>
    </row>
    <row r="461" spans="1:4" x14ac:dyDescent="0.3">
      <c r="A461" s="3">
        <v>45545.5</v>
      </c>
      <c r="B461" s="1">
        <v>29.6</v>
      </c>
      <c r="C461" s="7" t="str">
        <f t="shared" si="16"/>
        <v>0</v>
      </c>
      <c r="D461" s="7" t="str">
        <f t="shared" si="17"/>
        <v>0</v>
      </c>
    </row>
    <row r="462" spans="1:4" x14ac:dyDescent="0.3">
      <c r="A462" s="3">
        <v>45545.520833333336</v>
      </c>
      <c r="B462" s="1">
        <v>29.9</v>
      </c>
      <c r="C462" s="7" t="str">
        <f t="shared" si="16"/>
        <v>0</v>
      </c>
      <c r="D462" s="7" t="str">
        <f t="shared" si="17"/>
        <v>0</v>
      </c>
    </row>
    <row r="463" spans="1:4" x14ac:dyDescent="0.3">
      <c r="A463" s="3">
        <v>45545.541666666664</v>
      </c>
      <c r="B463" s="1">
        <v>30.1</v>
      </c>
      <c r="C463" s="7" t="str">
        <f t="shared" si="16"/>
        <v>0</v>
      </c>
      <c r="D463" s="7" t="str">
        <f t="shared" si="17"/>
        <v>0</v>
      </c>
    </row>
    <row r="464" spans="1:4" x14ac:dyDescent="0.3">
      <c r="A464" s="3">
        <v>45545.5625</v>
      </c>
      <c r="B464" s="1">
        <v>30.4</v>
      </c>
      <c r="C464" s="7" t="str">
        <f t="shared" si="16"/>
        <v>0</v>
      </c>
      <c r="D464" s="7" t="str">
        <f t="shared" si="17"/>
        <v>0</v>
      </c>
    </row>
    <row r="465" spans="1:4" x14ac:dyDescent="0.3">
      <c r="A465" s="3">
        <v>45545.583333333336</v>
      </c>
      <c r="B465" s="1">
        <v>30.9</v>
      </c>
      <c r="C465" s="7" t="str">
        <f t="shared" si="16"/>
        <v>0</v>
      </c>
      <c r="D465" s="7" t="str">
        <f t="shared" si="17"/>
        <v>0</v>
      </c>
    </row>
    <row r="466" spans="1:4" x14ac:dyDescent="0.3">
      <c r="A466" s="3">
        <v>45545.604166666664</v>
      </c>
      <c r="B466" s="1">
        <v>30.7</v>
      </c>
      <c r="C466" s="7" t="str">
        <f t="shared" si="16"/>
        <v>0</v>
      </c>
      <c r="D466" s="7" t="str">
        <f t="shared" si="17"/>
        <v>0</v>
      </c>
    </row>
    <row r="467" spans="1:4" x14ac:dyDescent="0.3">
      <c r="A467" s="3">
        <v>45545.625</v>
      </c>
      <c r="B467" s="1">
        <v>31.2</v>
      </c>
      <c r="C467" s="7" t="str">
        <f t="shared" si="16"/>
        <v>0</v>
      </c>
      <c r="D467" s="7" t="str">
        <f t="shared" si="17"/>
        <v>0</v>
      </c>
    </row>
    <row r="468" spans="1:4" x14ac:dyDescent="0.3">
      <c r="A468" s="3">
        <v>45545.645833333336</v>
      </c>
      <c r="B468" s="1">
        <v>31.3</v>
      </c>
      <c r="C468" s="7" t="str">
        <f t="shared" si="16"/>
        <v>0</v>
      </c>
      <c r="D468" s="7" t="str">
        <f t="shared" si="17"/>
        <v>0</v>
      </c>
    </row>
    <row r="469" spans="1:4" x14ac:dyDescent="0.3">
      <c r="A469" s="3">
        <v>45545.666666666664</v>
      </c>
      <c r="B469" s="1">
        <v>29.3</v>
      </c>
      <c r="C469" s="7" t="str">
        <f t="shared" si="16"/>
        <v>0</v>
      </c>
      <c r="D469" s="7" t="str">
        <f t="shared" si="17"/>
        <v>0</v>
      </c>
    </row>
    <row r="470" spans="1:4" x14ac:dyDescent="0.3">
      <c r="A470" s="3">
        <v>45545.6875</v>
      </c>
      <c r="B470" s="1">
        <v>28.6</v>
      </c>
      <c r="C470" s="7" t="str">
        <f t="shared" si="16"/>
        <v>0</v>
      </c>
      <c r="D470" s="7" t="str">
        <f t="shared" si="17"/>
        <v>0</v>
      </c>
    </row>
    <row r="471" spans="1:4" x14ac:dyDescent="0.3">
      <c r="A471" s="3">
        <v>45545.708333333336</v>
      </c>
      <c r="B471" s="1">
        <v>27.5</v>
      </c>
      <c r="C471" s="7" t="str">
        <f t="shared" si="16"/>
        <v>0</v>
      </c>
      <c r="D471" s="7" t="str">
        <f t="shared" si="17"/>
        <v>0</v>
      </c>
    </row>
    <row r="472" spans="1:4" x14ac:dyDescent="0.3">
      <c r="A472" s="3">
        <v>45545.729166666664</v>
      </c>
      <c r="B472" s="1">
        <v>26.6</v>
      </c>
      <c r="C472" s="7" t="str">
        <f t="shared" si="16"/>
        <v>0</v>
      </c>
      <c r="D472" s="7" t="str">
        <f t="shared" si="17"/>
        <v>0</v>
      </c>
    </row>
    <row r="473" spans="1:4" x14ac:dyDescent="0.3">
      <c r="A473" s="3">
        <v>45545.75</v>
      </c>
      <c r="B473" s="1">
        <v>26.3</v>
      </c>
      <c r="C473" s="7" t="str">
        <f t="shared" si="16"/>
        <v>0</v>
      </c>
      <c r="D473" s="7" t="str">
        <f t="shared" si="17"/>
        <v>0</v>
      </c>
    </row>
    <row r="474" spans="1:4" x14ac:dyDescent="0.3">
      <c r="A474" s="3">
        <v>45545.770833333336</v>
      </c>
      <c r="B474" s="1">
        <v>26</v>
      </c>
      <c r="C474" s="7" t="str">
        <f t="shared" si="16"/>
        <v>0</v>
      </c>
      <c r="D474" s="7" t="str">
        <f t="shared" si="17"/>
        <v>0</v>
      </c>
    </row>
    <row r="475" spans="1:4" x14ac:dyDescent="0.3">
      <c r="A475" s="3">
        <v>45545.791666666664</v>
      </c>
      <c r="B475" s="1">
        <v>25.7</v>
      </c>
      <c r="C475" s="7" t="str">
        <f t="shared" si="16"/>
        <v>0</v>
      </c>
      <c r="D475" s="7" t="str">
        <f t="shared" si="17"/>
        <v>0</v>
      </c>
    </row>
    <row r="476" spans="1:4" x14ac:dyDescent="0.3">
      <c r="A476" s="3">
        <v>45545.8125</v>
      </c>
      <c r="B476" s="1">
        <v>25.2</v>
      </c>
      <c r="C476" s="7" t="str">
        <f t="shared" si="16"/>
        <v>0</v>
      </c>
      <c r="D476" s="7" t="str">
        <f t="shared" si="17"/>
        <v>0</v>
      </c>
    </row>
    <row r="477" spans="1:4" x14ac:dyDescent="0.3">
      <c r="A477" s="3">
        <v>45545.833333333336</v>
      </c>
      <c r="B477" s="1">
        <v>25.1</v>
      </c>
      <c r="C477" s="7" t="str">
        <f t="shared" si="16"/>
        <v>0</v>
      </c>
      <c r="D477" s="7" t="str">
        <f t="shared" si="17"/>
        <v>0</v>
      </c>
    </row>
    <row r="478" spans="1:4" x14ac:dyDescent="0.3">
      <c r="A478" s="3">
        <v>45545.854166666664</v>
      </c>
      <c r="B478" s="1">
        <v>24.9</v>
      </c>
      <c r="C478" s="7" t="str">
        <f t="shared" si="16"/>
        <v>0</v>
      </c>
      <c r="D478" s="7" t="str">
        <f t="shared" si="17"/>
        <v>0</v>
      </c>
    </row>
    <row r="479" spans="1:4" x14ac:dyDescent="0.3">
      <c r="A479" s="3">
        <v>45545.875</v>
      </c>
      <c r="B479" s="1">
        <v>24.7</v>
      </c>
      <c r="C479" s="7" t="str">
        <f t="shared" si="16"/>
        <v>0</v>
      </c>
      <c r="D479" s="7" t="str">
        <f t="shared" si="17"/>
        <v>0</v>
      </c>
    </row>
    <row r="480" spans="1:4" x14ac:dyDescent="0.3">
      <c r="A480" s="3">
        <v>45545.895833333336</v>
      </c>
      <c r="B480" s="1">
        <v>24.5</v>
      </c>
      <c r="C480" s="7" t="str">
        <f t="shared" si="16"/>
        <v>0</v>
      </c>
      <c r="D480" s="7" t="str">
        <f t="shared" si="17"/>
        <v>0</v>
      </c>
    </row>
    <row r="481" spans="1:4" x14ac:dyDescent="0.3">
      <c r="A481" s="3">
        <v>45545.916666666664</v>
      </c>
      <c r="B481" s="1">
        <v>24.4</v>
      </c>
      <c r="C481" s="7" t="str">
        <f t="shared" si="16"/>
        <v>0</v>
      </c>
      <c r="D481" s="7" t="str">
        <f t="shared" si="17"/>
        <v>0</v>
      </c>
    </row>
    <row r="482" spans="1:4" x14ac:dyDescent="0.3">
      <c r="A482" s="3">
        <v>45545.9375</v>
      </c>
      <c r="B482" s="1">
        <v>24.1</v>
      </c>
      <c r="C482" s="7" t="str">
        <f t="shared" si="16"/>
        <v>0</v>
      </c>
      <c r="D482" s="7" t="str">
        <f t="shared" si="17"/>
        <v>0</v>
      </c>
    </row>
    <row r="483" spans="1:4" x14ac:dyDescent="0.3">
      <c r="A483" s="3">
        <v>45545.958333333336</v>
      </c>
      <c r="B483" s="1">
        <v>23.5</v>
      </c>
      <c r="C483" s="7" t="str">
        <f t="shared" si="16"/>
        <v>0</v>
      </c>
      <c r="D483" s="7" t="str">
        <f t="shared" si="17"/>
        <v>0</v>
      </c>
    </row>
    <row r="484" spans="1:4" x14ac:dyDescent="0.3">
      <c r="A484" s="3">
        <v>45545.979166666664</v>
      </c>
      <c r="B484" s="1">
        <v>22.8</v>
      </c>
      <c r="C484" s="7" t="str">
        <f t="shared" si="16"/>
        <v>0</v>
      </c>
      <c r="D484" s="7" t="str">
        <f t="shared" si="17"/>
        <v>0</v>
      </c>
    </row>
    <row r="485" spans="1:4" x14ac:dyDescent="0.3">
      <c r="A485" s="3">
        <v>45546</v>
      </c>
      <c r="B485" s="1">
        <v>22.3</v>
      </c>
      <c r="C485" s="7" t="str">
        <f t="shared" si="16"/>
        <v>0</v>
      </c>
      <c r="D485" s="7" t="str">
        <f t="shared" si="17"/>
        <v>0</v>
      </c>
    </row>
    <row r="486" spans="1:4" x14ac:dyDescent="0.3">
      <c r="A486" s="3">
        <v>45546.020833333336</v>
      </c>
      <c r="B486" s="1">
        <v>22</v>
      </c>
      <c r="C486" s="7" t="str">
        <f t="shared" si="16"/>
        <v>0</v>
      </c>
      <c r="D486" s="7" t="str">
        <f t="shared" si="17"/>
        <v>0</v>
      </c>
    </row>
    <row r="487" spans="1:4" x14ac:dyDescent="0.3">
      <c r="A487" s="3">
        <v>45546.041666666664</v>
      </c>
      <c r="B487" s="1">
        <v>21.7</v>
      </c>
      <c r="C487" s="7" t="str">
        <f t="shared" si="16"/>
        <v>0</v>
      </c>
      <c r="D487" s="7" t="str">
        <f t="shared" si="17"/>
        <v>0</v>
      </c>
    </row>
    <row r="488" spans="1:4" x14ac:dyDescent="0.3">
      <c r="A488" s="3">
        <v>45546.0625</v>
      </c>
      <c r="B488" s="1">
        <v>22</v>
      </c>
      <c r="C488" s="7" t="str">
        <f t="shared" si="16"/>
        <v>0</v>
      </c>
      <c r="D488" s="7" t="str">
        <f t="shared" si="17"/>
        <v>0</v>
      </c>
    </row>
    <row r="489" spans="1:4" x14ac:dyDescent="0.3">
      <c r="A489" s="3">
        <v>45546.083333333336</v>
      </c>
      <c r="B489" s="1">
        <v>21.9</v>
      </c>
      <c r="C489" s="7" t="str">
        <f t="shared" si="16"/>
        <v>0</v>
      </c>
      <c r="D489" s="7" t="str">
        <f t="shared" si="17"/>
        <v>0</v>
      </c>
    </row>
    <row r="490" spans="1:4" x14ac:dyDescent="0.3">
      <c r="A490" s="3">
        <v>45546.104166666664</v>
      </c>
      <c r="B490" s="1">
        <v>22.1</v>
      </c>
      <c r="C490" s="7" t="str">
        <f t="shared" si="16"/>
        <v>0</v>
      </c>
      <c r="D490" s="7" t="str">
        <f t="shared" si="17"/>
        <v>0</v>
      </c>
    </row>
    <row r="491" spans="1:4" x14ac:dyDescent="0.3">
      <c r="A491" s="3">
        <v>45546.125</v>
      </c>
      <c r="B491" s="1">
        <v>21.9</v>
      </c>
      <c r="C491" s="7" t="str">
        <f t="shared" si="16"/>
        <v>0</v>
      </c>
      <c r="D491" s="7" t="str">
        <f t="shared" si="17"/>
        <v>0</v>
      </c>
    </row>
    <row r="492" spans="1:4" x14ac:dyDescent="0.3">
      <c r="A492" s="3">
        <v>45546.145833333336</v>
      </c>
      <c r="B492" s="1">
        <v>21.2</v>
      </c>
      <c r="C492" s="7" t="str">
        <f t="shared" si="16"/>
        <v>0</v>
      </c>
      <c r="D492" s="7" t="str">
        <f t="shared" si="17"/>
        <v>0</v>
      </c>
    </row>
    <row r="493" spans="1:4" x14ac:dyDescent="0.3">
      <c r="A493" s="3">
        <v>45546.166666666664</v>
      </c>
      <c r="B493" s="1">
        <v>21</v>
      </c>
      <c r="C493" s="7" t="str">
        <f t="shared" si="16"/>
        <v>0</v>
      </c>
      <c r="D493" s="7" t="str">
        <f t="shared" si="17"/>
        <v>0</v>
      </c>
    </row>
    <row r="494" spans="1:4" x14ac:dyDescent="0.3">
      <c r="A494" s="3">
        <v>45546.1875</v>
      </c>
      <c r="B494" s="1">
        <v>20.399999999999999</v>
      </c>
      <c r="C494" s="7" t="str">
        <f t="shared" si="16"/>
        <v>0</v>
      </c>
      <c r="D494" s="7" t="str">
        <f t="shared" si="17"/>
        <v>0</v>
      </c>
    </row>
    <row r="495" spans="1:4" x14ac:dyDescent="0.3">
      <c r="A495" s="3">
        <v>45546.208333333336</v>
      </c>
      <c r="B495" s="1">
        <v>20.3</v>
      </c>
      <c r="C495" s="7" t="str">
        <f t="shared" si="16"/>
        <v>0</v>
      </c>
      <c r="D495" s="7" t="str">
        <f t="shared" si="17"/>
        <v>0</v>
      </c>
    </row>
    <row r="496" spans="1:4" x14ac:dyDescent="0.3">
      <c r="A496" s="3">
        <v>45546.229166666664</v>
      </c>
      <c r="B496" s="1">
        <v>20.100000000000001</v>
      </c>
      <c r="C496" s="7" t="str">
        <f t="shared" si="16"/>
        <v>0</v>
      </c>
      <c r="D496" s="7" t="str">
        <f t="shared" si="17"/>
        <v>0</v>
      </c>
    </row>
    <row r="497" spans="1:4" x14ac:dyDescent="0.3">
      <c r="A497" s="3">
        <v>45546.25</v>
      </c>
      <c r="B497" s="1">
        <v>21.1</v>
      </c>
      <c r="C497" s="7" t="str">
        <f t="shared" si="16"/>
        <v>0</v>
      </c>
      <c r="D497" s="7" t="str">
        <f t="shared" si="17"/>
        <v>0</v>
      </c>
    </row>
    <row r="498" spans="1:4" x14ac:dyDescent="0.3">
      <c r="A498" s="3">
        <v>45546.270833333336</v>
      </c>
      <c r="B498" s="1">
        <v>21.4</v>
      </c>
      <c r="C498" s="7" t="str">
        <f t="shared" si="16"/>
        <v>0</v>
      </c>
      <c r="D498" s="7" t="str">
        <f t="shared" si="17"/>
        <v>0</v>
      </c>
    </row>
    <row r="499" spans="1:4" x14ac:dyDescent="0.3">
      <c r="A499" s="3">
        <v>45546.291666666664</v>
      </c>
      <c r="B499" s="1">
        <v>22.3</v>
      </c>
      <c r="C499" s="7" t="str">
        <f t="shared" si="16"/>
        <v>0</v>
      </c>
      <c r="D499" s="7" t="str">
        <f t="shared" si="17"/>
        <v>0</v>
      </c>
    </row>
    <row r="500" spans="1:4" x14ac:dyDescent="0.3">
      <c r="A500" s="3">
        <v>45546.3125</v>
      </c>
      <c r="B500" s="1">
        <v>22.9</v>
      </c>
      <c r="C500" s="7" t="str">
        <f t="shared" si="16"/>
        <v>0</v>
      </c>
      <c r="D500" s="7" t="str">
        <f t="shared" si="17"/>
        <v>0</v>
      </c>
    </row>
    <row r="501" spans="1:4" x14ac:dyDescent="0.3">
      <c r="A501" s="3">
        <v>45546.333333333336</v>
      </c>
      <c r="B501" s="1">
        <v>23.5</v>
      </c>
      <c r="C501" s="7" t="str">
        <f t="shared" si="16"/>
        <v>0</v>
      </c>
      <c r="D501" s="7" t="str">
        <f t="shared" si="17"/>
        <v>0</v>
      </c>
    </row>
    <row r="502" spans="1:4" x14ac:dyDescent="0.3">
      <c r="A502" s="3">
        <v>45546.354166666664</v>
      </c>
      <c r="B502" s="1">
        <v>24.5</v>
      </c>
      <c r="C502" s="7" t="str">
        <f t="shared" si="16"/>
        <v>0</v>
      </c>
      <c r="D502" s="7" t="str">
        <f t="shared" si="17"/>
        <v>0</v>
      </c>
    </row>
    <row r="503" spans="1:4" x14ac:dyDescent="0.3">
      <c r="A503" s="3">
        <v>45546.375</v>
      </c>
      <c r="B503" s="1">
        <v>25.5</v>
      </c>
      <c r="C503" s="7" t="str">
        <f t="shared" si="16"/>
        <v>0</v>
      </c>
      <c r="D503" s="7" t="str">
        <f t="shared" si="17"/>
        <v>0</v>
      </c>
    </row>
    <row r="504" spans="1:4" x14ac:dyDescent="0.3">
      <c r="A504" s="3">
        <v>45546.395833333336</v>
      </c>
      <c r="B504" s="1">
        <v>26.3</v>
      </c>
      <c r="C504" s="7" t="str">
        <f t="shared" si="16"/>
        <v>0</v>
      </c>
      <c r="D504" s="7" t="str">
        <f t="shared" si="17"/>
        <v>0</v>
      </c>
    </row>
    <row r="505" spans="1:4" x14ac:dyDescent="0.3">
      <c r="A505" s="3">
        <v>45546.416666666664</v>
      </c>
      <c r="B505" s="1">
        <v>27.1</v>
      </c>
      <c r="C505" s="7" t="str">
        <f t="shared" si="16"/>
        <v>0</v>
      </c>
      <c r="D505" s="7" t="str">
        <f t="shared" si="17"/>
        <v>0</v>
      </c>
    </row>
    <row r="506" spans="1:4" x14ac:dyDescent="0.3">
      <c r="A506" s="3">
        <v>45546.4375</v>
      </c>
      <c r="B506" s="1">
        <v>27.7</v>
      </c>
      <c r="C506" s="7" t="str">
        <f t="shared" si="16"/>
        <v>0</v>
      </c>
      <c r="D506" s="7" t="str">
        <f t="shared" si="17"/>
        <v>0</v>
      </c>
    </row>
    <row r="507" spans="1:4" x14ac:dyDescent="0.3">
      <c r="A507" s="3">
        <v>45546.446805555555</v>
      </c>
      <c r="B507" s="1">
        <v>27.7</v>
      </c>
      <c r="C507" s="7" t="str">
        <f t="shared" si="16"/>
        <v>0</v>
      </c>
      <c r="D507" s="7" t="str">
        <f t="shared" si="17"/>
        <v>0</v>
      </c>
    </row>
    <row r="508" spans="1:4" x14ac:dyDescent="0.3">
      <c r="A508" s="3">
        <v>45546.446875000001</v>
      </c>
      <c r="B508" s="1">
        <v>27.7</v>
      </c>
      <c r="C508" s="7" t="str">
        <f t="shared" si="16"/>
        <v>0</v>
      </c>
      <c r="D508" s="7" t="str">
        <f t="shared" si="17"/>
        <v>0</v>
      </c>
    </row>
    <row r="509" spans="1:4" x14ac:dyDescent="0.3">
      <c r="A509" s="3">
        <v>45546.458333333336</v>
      </c>
      <c r="B509" s="1">
        <v>27.6</v>
      </c>
      <c r="C509" s="7" t="str">
        <f t="shared" si="16"/>
        <v>0</v>
      </c>
      <c r="D509" s="7" t="str">
        <f t="shared" si="17"/>
        <v>0</v>
      </c>
    </row>
    <row r="510" spans="1:4" x14ac:dyDescent="0.3">
      <c r="A510" s="3">
        <v>45546.479166666664</v>
      </c>
      <c r="B510" s="1">
        <v>26.6</v>
      </c>
      <c r="C510" s="7" t="str">
        <f t="shared" si="16"/>
        <v>0</v>
      </c>
      <c r="D510" s="7" t="str">
        <f t="shared" si="17"/>
        <v>0</v>
      </c>
    </row>
    <row r="511" spans="1:4" x14ac:dyDescent="0.3">
      <c r="A511" s="3">
        <v>45546.5</v>
      </c>
      <c r="B511" s="1">
        <v>26.5</v>
      </c>
      <c r="C511" s="7" t="str">
        <f t="shared" si="16"/>
        <v>0</v>
      </c>
      <c r="D511" s="7" t="str">
        <f t="shared" si="17"/>
        <v>0</v>
      </c>
    </row>
    <row r="512" spans="1:4" x14ac:dyDescent="0.3">
      <c r="A512" s="3">
        <v>45546.520833333336</v>
      </c>
      <c r="B512" s="1">
        <v>26.8</v>
      </c>
      <c r="C512" s="7" t="str">
        <f t="shared" si="16"/>
        <v>0</v>
      </c>
      <c r="D512" s="7" t="str">
        <f t="shared" si="17"/>
        <v>0</v>
      </c>
    </row>
    <row r="513" spans="1:4" x14ac:dyDescent="0.3">
      <c r="A513" s="3">
        <v>45546.541666666664</v>
      </c>
      <c r="B513" s="1">
        <v>25.3</v>
      </c>
      <c r="C513" s="7" t="str">
        <f t="shared" si="16"/>
        <v>0</v>
      </c>
      <c r="D513" s="7" t="str">
        <f t="shared" si="17"/>
        <v>0</v>
      </c>
    </row>
    <row r="514" spans="1:4" x14ac:dyDescent="0.3">
      <c r="A514" s="3">
        <v>45546.5625</v>
      </c>
      <c r="B514" s="1">
        <v>26.5</v>
      </c>
      <c r="C514" s="7" t="str">
        <f t="shared" si="16"/>
        <v>0</v>
      </c>
      <c r="D514" s="7" t="str">
        <f t="shared" si="17"/>
        <v>0</v>
      </c>
    </row>
    <row r="515" spans="1:4" x14ac:dyDescent="0.3">
      <c r="A515" s="3">
        <v>45546.583333333336</v>
      </c>
      <c r="B515" s="1">
        <v>27.7</v>
      </c>
      <c r="C515" s="7" t="str">
        <f t="shared" ref="C515:C578" si="18">IF(B515=$P$13,A515,"0")</f>
        <v>0</v>
      </c>
      <c r="D515" s="7" t="str">
        <f t="shared" ref="D515:D578" si="19">IF(B515=$M$13,A515,"0")</f>
        <v>0</v>
      </c>
    </row>
    <row r="516" spans="1:4" x14ac:dyDescent="0.3">
      <c r="A516" s="3">
        <v>45546.604166666664</v>
      </c>
      <c r="B516" s="1">
        <v>28.1</v>
      </c>
      <c r="C516" s="7" t="str">
        <f t="shared" si="18"/>
        <v>0</v>
      </c>
      <c r="D516" s="7" t="str">
        <f t="shared" si="19"/>
        <v>0</v>
      </c>
    </row>
    <row r="517" spans="1:4" x14ac:dyDescent="0.3">
      <c r="A517" s="3">
        <v>45546.625</v>
      </c>
      <c r="B517" s="1">
        <v>27.8</v>
      </c>
      <c r="C517" s="7" t="str">
        <f t="shared" si="18"/>
        <v>0</v>
      </c>
      <c r="D517" s="7" t="str">
        <f t="shared" si="19"/>
        <v>0</v>
      </c>
    </row>
    <row r="518" spans="1:4" x14ac:dyDescent="0.3">
      <c r="A518" s="3">
        <v>45546.645833333336</v>
      </c>
      <c r="B518" s="1">
        <v>27.4</v>
      </c>
      <c r="C518" s="7" t="str">
        <f t="shared" si="18"/>
        <v>0</v>
      </c>
      <c r="D518" s="7" t="str">
        <f t="shared" si="19"/>
        <v>0</v>
      </c>
    </row>
    <row r="519" spans="1:4" x14ac:dyDescent="0.3">
      <c r="A519" s="3">
        <v>45546.666666666664</v>
      </c>
      <c r="B519" s="1">
        <v>27.2</v>
      </c>
      <c r="C519" s="7" t="str">
        <f t="shared" si="18"/>
        <v>0</v>
      </c>
      <c r="D519" s="7" t="str">
        <f t="shared" si="19"/>
        <v>0</v>
      </c>
    </row>
    <row r="520" spans="1:4" x14ac:dyDescent="0.3">
      <c r="A520" s="3">
        <v>45546.6875</v>
      </c>
      <c r="B520" s="1">
        <v>26.6</v>
      </c>
      <c r="C520" s="7" t="str">
        <f t="shared" si="18"/>
        <v>0</v>
      </c>
      <c r="D520" s="7" t="str">
        <f t="shared" si="19"/>
        <v>0</v>
      </c>
    </row>
    <row r="521" spans="1:4" x14ac:dyDescent="0.3">
      <c r="A521" s="3">
        <v>45546.708333333336</v>
      </c>
      <c r="B521" s="1">
        <v>26.3</v>
      </c>
      <c r="C521" s="7" t="str">
        <f t="shared" si="18"/>
        <v>0</v>
      </c>
      <c r="D521" s="7" t="str">
        <f t="shared" si="19"/>
        <v>0</v>
      </c>
    </row>
    <row r="522" spans="1:4" x14ac:dyDescent="0.3">
      <c r="A522" s="3">
        <v>45546.729166666664</v>
      </c>
      <c r="B522" s="1">
        <v>24.9</v>
      </c>
      <c r="C522" s="7" t="str">
        <f t="shared" si="18"/>
        <v>0</v>
      </c>
      <c r="D522" s="7" t="str">
        <f t="shared" si="19"/>
        <v>0</v>
      </c>
    </row>
    <row r="523" spans="1:4" x14ac:dyDescent="0.3">
      <c r="A523" s="3">
        <v>45546.75</v>
      </c>
      <c r="B523" s="1">
        <v>24.8</v>
      </c>
      <c r="C523" s="7" t="str">
        <f t="shared" si="18"/>
        <v>0</v>
      </c>
      <c r="D523" s="7" t="str">
        <f t="shared" si="19"/>
        <v>0</v>
      </c>
    </row>
    <row r="524" spans="1:4" x14ac:dyDescent="0.3">
      <c r="A524" s="3">
        <v>45546.770833333336</v>
      </c>
      <c r="B524" s="1">
        <v>24.7</v>
      </c>
      <c r="C524" s="7" t="str">
        <f t="shared" si="18"/>
        <v>0</v>
      </c>
      <c r="D524" s="7" t="str">
        <f t="shared" si="19"/>
        <v>0</v>
      </c>
    </row>
    <row r="525" spans="1:4" x14ac:dyDescent="0.3">
      <c r="A525" s="3">
        <v>45546.791666666664</v>
      </c>
      <c r="B525" s="1">
        <v>24.6</v>
      </c>
      <c r="C525" s="7" t="str">
        <f t="shared" si="18"/>
        <v>0</v>
      </c>
      <c r="D525" s="7" t="str">
        <f t="shared" si="19"/>
        <v>0</v>
      </c>
    </row>
    <row r="526" spans="1:4" x14ac:dyDescent="0.3">
      <c r="A526" s="3">
        <v>45546.8125</v>
      </c>
      <c r="B526" s="1">
        <v>24.6</v>
      </c>
      <c r="C526" s="7" t="str">
        <f t="shared" si="18"/>
        <v>0</v>
      </c>
      <c r="D526" s="7" t="str">
        <f t="shared" si="19"/>
        <v>0</v>
      </c>
    </row>
    <row r="527" spans="1:4" x14ac:dyDescent="0.3">
      <c r="A527" s="3">
        <v>45546.833333333336</v>
      </c>
      <c r="B527" s="1">
        <v>24.4</v>
      </c>
      <c r="C527" s="7" t="str">
        <f t="shared" si="18"/>
        <v>0</v>
      </c>
      <c r="D527" s="7" t="str">
        <f t="shared" si="19"/>
        <v>0</v>
      </c>
    </row>
    <row r="528" spans="1:4" x14ac:dyDescent="0.3">
      <c r="A528" s="3">
        <v>45546.854166666664</v>
      </c>
      <c r="B528" s="1">
        <v>24</v>
      </c>
      <c r="C528" s="7" t="str">
        <f t="shared" si="18"/>
        <v>0</v>
      </c>
      <c r="D528" s="7" t="str">
        <f t="shared" si="19"/>
        <v>0</v>
      </c>
    </row>
    <row r="529" spans="1:4" x14ac:dyDescent="0.3">
      <c r="A529" s="3">
        <v>45546.875</v>
      </c>
      <c r="B529" s="1">
        <v>23.7</v>
      </c>
      <c r="C529" s="7" t="str">
        <f t="shared" si="18"/>
        <v>0</v>
      </c>
      <c r="D529" s="7" t="str">
        <f t="shared" si="19"/>
        <v>0</v>
      </c>
    </row>
    <row r="530" spans="1:4" x14ac:dyDescent="0.3">
      <c r="A530" s="3">
        <v>45546.895833333336</v>
      </c>
      <c r="B530" s="1">
        <v>23.1</v>
      </c>
      <c r="C530" s="7" t="str">
        <f t="shared" si="18"/>
        <v>0</v>
      </c>
      <c r="D530" s="7" t="str">
        <f t="shared" si="19"/>
        <v>0</v>
      </c>
    </row>
    <row r="531" spans="1:4" x14ac:dyDescent="0.3">
      <c r="A531" s="3">
        <v>45546.916666666664</v>
      </c>
      <c r="B531" s="1">
        <v>23.1</v>
      </c>
      <c r="C531" s="7" t="str">
        <f t="shared" si="18"/>
        <v>0</v>
      </c>
      <c r="D531" s="7" t="str">
        <f t="shared" si="19"/>
        <v>0</v>
      </c>
    </row>
    <row r="532" spans="1:4" x14ac:dyDescent="0.3">
      <c r="A532" s="3">
        <v>45546.9375</v>
      </c>
      <c r="B532" s="1">
        <v>22.9</v>
      </c>
      <c r="C532" s="7" t="str">
        <f t="shared" si="18"/>
        <v>0</v>
      </c>
      <c r="D532" s="7" t="str">
        <f t="shared" si="19"/>
        <v>0</v>
      </c>
    </row>
    <row r="533" spans="1:4" x14ac:dyDescent="0.3">
      <c r="A533" s="3">
        <v>45546.958333333336</v>
      </c>
      <c r="B533" s="1">
        <v>22.7</v>
      </c>
      <c r="C533" s="7" t="str">
        <f t="shared" si="18"/>
        <v>0</v>
      </c>
      <c r="D533" s="7" t="str">
        <f t="shared" si="19"/>
        <v>0</v>
      </c>
    </row>
    <row r="534" spans="1:4" x14ac:dyDescent="0.3">
      <c r="A534" s="3">
        <v>45546.979166666664</v>
      </c>
      <c r="B534" s="1">
        <v>22.8</v>
      </c>
      <c r="C534" s="7" t="str">
        <f t="shared" si="18"/>
        <v>0</v>
      </c>
      <c r="D534" s="7" t="str">
        <f t="shared" si="19"/>
        <v>0</v>
      </c>
    </row>
    <row r="535" spans="1:4" x14ac:dyDescent="0.3">
      <c r="A535" s="3">
        <v>45547</v>
      </c>
      <c r="B535" s="1">
        <v>22.9</v>
      </c>
      <c r="C535" s="7" t="str">
        <f t="shared" si="18"/>
        <v>0</v>
      </c>
      <c r="D535" s="7" t="str">
        <f t="shared" si="19"/>
        <v>0</v>
      </c>
    </row>
    <row r="536" spans="1:4" x14ac:dyDescent="0.3">
      <c r="A536" s="3">
        <v>45547.020833333336</v>
      </c>
      <c r="B536" s="1">
        <v>22.8</v>
      </c>
      <c r="C536" s="7" t="str">
        <f t="shared" si="18"/>
        <v>0</v>
      </c>
      <c r="D536" s="7" t="str">
        <f t="shared" si="19"/>
        <v>0</v>
      </c>
    </row>
    <row r="537" spans="1:4" x14ac:dyDescent="0.3">
      <c r="A537" s="3">
        <v>45547.041666666664</v>
      </c>
      <c r="B537" s="1">
        <v>22.6</v>
      </c>
      <c r="C537" s="7" t="str">
        <f t="shared" si="18"/>
        <v>0</v>
      </c>
      <c r="D537" s="7" t="str">
        <f t="shared" si="19"/>
        <v>0</v>
      </c>
    </row>
    <row r="538" spans="1:4" x14ac:dyDescent="0.3">
      <c r="A538" s="3">
        <v>45547.0625</v>
      </c>
      <c r="B538" s="1">
        <v>22.7</v>
      </c>
      <c r="C538" s="7" t="str">
        <f t="shared" si="18"/>
        <v>0</v>
      </c>
      <c r="D538" s="7" t="str">
        <f t="shared" si="19"/>
        <v>0</v>
      </c>
    </row>
    <row r="539" spans="1:4" x14ac:dyDescent="0.3">
      <c r="A539" s="3">
        <v>45547.083333333336</v>
      </c>
      <c r="B539" s="1">
        <v>22.7</v>
      </c>
      <c r="C539" s="7" t="str">
        <f t="shared" si="18"/>
        <v>0</v>
      </c>
      <c r="D539" s="7" t="str">
        <f t="shared" si="19"/>
        <v>0</v>
      </c>
    </row>
    <row r="540" spans="1:4" x14ac:dyDescent="0.3">
      <c r="A540" s="3">
        <v>45547.104166666664</v>
      </c>
      <c r="B540" s="1">
        <v>22.9</v>
      </c>
      <c r="C540" s="7" t="str">
        <f t="shared" si="18"/>
        <v>0</v>
      </c>
      <c r="D540" s="7" t="str">
        <f t="shared" si="19"/>
        <v>0</v>
      </c>
    </row>
    <row r="541" spans="1:4" x14ac:dyDescent="0.3">
      <c r="A541" s="3">
        <v>45547.125</v>
      </c>
      <c r="B541" s="1">
        <v>22.9</v>
      </c>
      <c r="C541" s="7" t="str">
        <f t="shared" si="18"/>
        <v>0</v>
      </c>
      <c r="D541" s="7" t="str">
        <f t="shared" si="19"/>
        <v>0</v>
      </c>
    </row>
    <row r="542" spans="1:4" x14ac:dyDescent="0.3">
      <c r="A542" s="3">
        <v>45547.145833333336</v>
      </c>
      <c r="B542" s="1">
        <v>22.9</v>
      </c>
      <c r="C542" s="7" t="str">
        <f t="shared" si="18"/>
        <v>0</v>
      </c>
      <c r="D542" s="7" t="str">
        <f t="shared" si="19"/>
        <v>0</v>
      </c>
    </row>
    <row r="543" spans="1:4" x14ac:dyDescent="0.3">
      <c r="A543" s="3">
        <v>45547.166666666664</v>
      </c>
      <c r="B543" s="1">
        <v>22.7</v>
      </c>
      <c r="C543" s="7" t="str">
        <f t="shared" si="18"/>
        <v>0</v>
      </c>
      <c r="D543" s="7" t="str">
        <f t="shared" si="19"/>
        <v>0</v>
      </c>
    </row>
    <row r="544" spans="1:4" x14ac:dyDescent="0.3">
      <c r="A544" s="3">
        <v>45547.1875</v>
      </c>
      <c r="B544" s="1">
        <v>22.5</v>
      </c>
      <c r="C544" s="7" t="str">
        <f t="shared" si="18"/>
        <v>0</v>
      </c>
      <c r="D544" s="7" t="str">
        <f t="shared" si="19"/>
        <v>0</v>
      </c>
    </row>
    <row r="545" spans="1:4" x14ac:dyDescent="0.3">
      <c r="A545" s="3">
        <v>45547.208333333336</v>
      </c>
      <c r="B545" s="1">
        <v>22.3</v>
      </c>
      <c r="C545" s="7" t="str">
        <f t="shared" si="18"/>
        <v>0</v>
      </c>
      <c r="D545" s="7" t="str">
        <f t="shared" si="19"/>
        <v>0</v>
      </c>
    </row>
    <row r="546" spans="1:4" x14ac:dyDescent="0.3">
      <c r="A546" s="3">
        <v>45547.229166666664</v>
      </c>
      <c r="B546" s="1">
        <v>22.5</v>
      </c>
      <c r="C546" s="7" t="str">
        <f t="shared" si="18"/>
        <v>0</v>
      </c>
      <c r="D546" s="7" t="str">
        <f t="shared" si="19"/>
        <v>0</v>
      </c>
    </row>
    <row r="547" spans="1:4" x14ac:dyDescent="0.3">
      <c r="A547" s="3">
        <v>45547.25</v>
      </c>
      <c r="B547" s="1">
        <v>22.7</v>
      </c>
      <c r="C547" s="7" t="str">
        <f t="shared" si="18"/>
        <v>0</v>
      </c>
      <c r="D547" s="7" t="str">
        <f t="shared" si="19"/>
        <v>0</v>
      </c>
    </row>
    <row r="548" spans="1:4" x14ac:dyDescent="0.3">
      <c r="A548" s="3">
        <v>45547.270833333336</v>
      </c>
      <c r="B548" s="1">
        <v>23.1</v>
      </c>
      <c r="C548" s="7" t="str">
        <f t="shared" si="18"/>
        <v>0</v>
      </c>
      <c r="D548" s="7" t="str">
        <f t="shared" si="19"/>
        <v>0</v>
      </c>
    </row>
    <row r="549" spans="1:4" x14ac:dyDescent="0.3">
      <c r="A549" s="3">
        <v>45547.291666666664</v>
      </c>
      <c r="B549" s="1">
        <v>23.5</v>
      </c>
      <c r="C549" s="7" t="str">
        <f t="shared" si="18"/>
        <v>0</v>
      </c>
      <c r="D549" s="7" t="str">
        <f t="shared" si="19"/>
        <v>0</v>
      </c>
    </row>
    <row r="550" spans="1:4" x14ac:dyDescent="0.3">
      <c r="A550" s="3">
        <v>45547.3125</v>
      </c>
      <c r="B550" s="1">
        <v>24.1</v>
      </c>
      <c r="C550" s="7" t="str">
        <f t="shared" si="18"/>
        <v>0</v>
      </c>
      <c r="D550" s="7" t="str">
        <f t="shared" si="19"/>
        <v>0</v>
      </c>
    </row>
    <row r="551" spans="1:4" x14ac:dyDescent="0.3">
      <c r="A551" s="3">
        <v>45547.333333333336</v>
      </c>
      <c r="B551" s="1">
        <v>24.3</v>
      </c>
      <c r="C551" s="7" t="str">
        <f t="shared" si="18"/>
        <v>0</v>
      </c>
      <c r="D551" s="7" t="str">
        <f t="shared" si="19"/>
        <v>0</v>
      </c>
    </row>
    <row r="552" spans="1:4" x14ac:dyDescent="0.3">
      <c r="A552" s="3">
        <v>45547.354166666664</v>
      </c>
      <c r="B552" s="1">
        <v>24.9</v>
      </c>
      <c r="C552" s="7" t="str">
        <f t="shared" si="18"/>
        <v>0</v>
      </c>
      <c r="D552" s="7" t="str">
        <f t="shared" si="19"/>
        <v>0</v>
      </c>
    </row>
    <row r="553" spans="1:4" x14ac:dyDescent="0.3">
      <c r="A553" s="3">
        <v>45547.375</v>
      </c>
      <c r="B553" s="1">
        <v>25.3</v>
      </c>
      <c r="C553" s="7" t="str">
        <f t="shared" si="18"/>
        <v>0</v>
      </c>
      <c r="D553" s="7" t="str">
        <f t="shared" si="19"/>
        <v>0</v>
      </c>
    </row>
    <row r="554" spans="1:4" x14ac:dyDescent="0.3">
      <c r="A554" s="3">
        <v>45547.395833333336</v>
      </c>
      <c r="B554" s="1">
        <v>26</v>
      </c>
      <c r="C554" s="7" t="str">
        <f t="shared" si="18"/>
        <v>0</v>
      </c>
      <c r="D554" s="7" t="str">
        <f t="shared" si="19"/>
        <v>0</v>
      </c>
    </row>
    <row r="555" spans="1:4" x14ac:dyDescent="0.3">
      <c r="A555" s="3">
        <v>45547.416666666664</v>
      </c>
      <c r="B555" s="1">
        <v>26</v>
      </c>
      <c r="C555" s="7" t="str">
        <f t="shared" si="18"/>
        <v>0</v>
      </c>
      <c r="D555" s="7" t="str">
        <f t="shared" si="19"/>
        <v>0</v>
      </c>
    </row>
    <row r="556" spans="1:4" x14ac:dyDescent="0.3">
      <c r="A556" s="3">
        <v>45547.4375</v>
      </c>
      <c r="B556" s="1">
        <v>26.1</v>
      </c>
      <c r="C556" s="7" t="str">
        <f t="shared" si="18"/>
        <v>0</v>
      </c>
      <c r="D556" s="7" t="str">
        <f t="shared" si="19"/>
        <v>0</v>
      </c>
    </row>
    <row r="557" spans="1:4" x14ac:dyDescent="0.3">
      <c r="A557" s="3">
        <v>45547.458333333336</v>
      </c>
      <c r="B557" s="1">
        <v>26.2</v>
      </c>
      <c r="C557" s="7" t="str">
        <f t="shared" si="18"/>
        <v>0</v>
      </c>
      <c r="D557" s="7" t="str">
        <f t="shared" si="19"/>
        <v>0</v>
      </c>
    </row>
    <row r="558" spans="1:4" x14ac:dyDescent="0.3">
      <c r="A558" s="3">
        <v>45547.479166666664</v>
      </c>
      <c r="B558" s="1">
        <v>26.4</v>
      </c>
      <c r="C558" s="7" t="str">
        <f t="shared" si="18"/>
        <v>0</v>
      </c>
      <c r="D558" s="7" t="str">
        <f t="shared" si="19"/>
        <v>0</v>
      </c>
    </row>
    <row r="559" spans="1:4" x14ac:dyDescent="0.3">
      <c r="A559" s="3">
        <v>45547.5</v>
      </c>
      <c r="B559" s="1">
        <v>26.5</v>
      </c>
      <c r="C559" s="7" t="str">
        <f t="shared" si="18"/>
        <v>0</v>
      </c>
      <c r="D559" s="7" t="str">
        <f t="shared" si="19"/>
        <v>0</v>
      </c>
    </row>
    <row r="560" spans="1:4" x14ac:dyDescent="0.3">
      <c r="A560" s="3">
        <v>45547.520833333336</v>
      </c>
      <c r="B560" s="1">
        <v>26.5</v>
      </c>
      <c r="C560" s="7" t="str">
        <f t="shared" si="18"/>
        <v>0</v>
      </c>
      <c r="D560" s="7" t="str">
        <f t="shared" si="19"/>
        <v>0</v>
      </c>
    </row>
    <row r="561" spans="1:4" x14ac:dyDescent="0.3">
      <c r="A561" s="3">
        <v>45547.541666666664</v>
      </c>
      <c r="B561" s="1">
        <v>26.7</v>
      </c>
      <c r="C561" s="7" t="str">
        <f t="shared" si="18"/>
        <v>0</v>
      </c>
      <c r="D561" s="7" t="str">
        <f t="shared" si="19"/>
        <v>0</v>
      </c>
    </row>
    <row r="562" spans="1:4" x14ac:dyDescent="0.3">
      <c r="A562" s="3">
        <v>45547.5625</v>
      </c>
      <c r="B562" s="1">
        <v>25.2</v>
      </c>
      <c r="C562" s="7" t="str">
        <f t="shared" si="18"/>
        <v>0</v>
      </c>
      <c r="D562" s="7" t="str">
        <f t="shared" si="19"/>
        <v>0</v>
      </c>
    </row>
    <row r="563" spans="1:4" x14ac:dyDescent="0.3">
      <c r="A563" s="3">
        <v>45547.583333333336</v>
      </c>
      <c r="B563" s="1">
        <v>25</v>
      </c>
      <c r="C563" s="7" t="str">
        <f t="shared" si="18"/>
        <v>0</v>
      </c>
      <c r="D563" s="7" t="str">
        <f t="shared" si="19"/>
        <v>0</v>
      </c>
    </row>
    <row r="564" spans="1:4" x14ac:dyDescent="0.3">
      <c r="A564" s="3">
        <v>45547.604166666664</v>
      </c>
      <c r="B564" s="1">
        <v>24.3</v>
      </c>
      <c r="C564" s="7" t="str">
        <f t="shared" si="18"/>
        <v>0</v>
      </c>
      <c r="D564" s="7" t="str">
        <f t="shared" si="19"/>
        <v>0</v>
      </c>
    </row>
    <row r="565" spans="1:4" x14ac:dyDescent="0.3">
      <c r="A565" s="3">
        <v>45547.625</v>
      </c>
      <c r="B565" s="1">
        <v>23.8</v>
      </c>
      <c r="C565" s="7" t="str">
        <f t="shared" si="18"/>
        <v>0</v>
      </c>
      <c r="D565" s="7" t="str">
        <f t="shared" si="19"/>
        <v>0</v>
      </c>
    </row>
    <row r="566" spans="1:4" x14ac:dyDescent="0.3">
      <c r="A566" s="3">
        <v>45547.645833333336</v>
      </c>
      <c r="B566" s="1">
        <v>23</v>
      </c>
      <c r="C566" s="7" t="str">
        <f t="shared" si="18"/>
        <v>0</v>
      </c>
      <c r="D566" s="7" t="str">
        <f t="shared" si="19"/>
        <v>0</v>
      </c>
    </row>
    <row r="567" spans="1:4" x14ac:dyDescent="0.3">
      <c r="A567" s="3">
        <v>45547.666666666664</v>
      </c>
      <c r="B567" s="1">
        <v>22.5</v>
      </c>
      <c r="C567" s="7" t="str">
        <f t="shared" si="18"/>
        <v>0</v>
      </c>
      <c r="D567" s="7" t="str">
        <f t="shared" si="19"/>
        <v>0</v>
      </c>
    </row>
    <row r="568" spans="1:4" x14ac:dyDescent="0.3">
      <c r="A568" s="3">
        <v>45547.6875</v>
      </c>
      <c r="B568" s="1">
        <v>22.9</v>
      </c>
      <c r="C568" s="7" t="str">
        <f t="shared" si="18"/>
        <v>0</v>
      </c>
      <c r="D568" s="7" t="str">
        <f t="shared" si="19"/>
        <v>0</v>
      </c>
    </row>
    <row r="569" spans="1:4" x14ac:dyDescent="0.3">
      <c r="A569" s="3">
        <v>45547.708333333336</v>
      </c>
      <c r="B569" s="1">
        <v>21.8</v>
      </c>
      <c r="C569" s="7" t="str">
        <f t="shared" si="18"/>
        <v>0</v>
      </c>
      <c r="D569" s="7" t="str">
        <f t="shared" si="19"/>
        <v>0</v>
      </c>
    </row>
    <row r="570" spans="1:4" x14ac:dyDescent="0.3">
      <c r="A570" s="3">
        <v>45547.729166666664</v>
      </c>
      <c r="B570" s="1">
        <v>21.7</v>
      </c>
      <c r="C570" s="7" t="str">
        <f t="shared" si="18"/>
        <v>0</v>
      </c>
      <c r="D570" s="7" t="str">
        <f t="shared" si="19"/>
        <v>0</v>
      </c>
    </row>
    <row r="571" spans="1:4" x14ac:dyDescent="0.3">
      <c r="A571" s="3">
        <v>45547.75</v>
      </c>
      <c r="B571" s="1">
        <v>21.9</v>
      </c>
      <c r="C571" s="7" t="str">
        <f t="shared" si="18"/>
        <v>0</v>
      </c>
      <c r="D571" s="7" t="str">
        <f t="shared" si="19"/>
        <v>0</v>
      </c>
    </row>
    <row r="572" spans="1:4" x14ac:dyDescent="0.3">
      <c r="A572" s="3">
        <v>45547.770833333336</v>
      </c>
      <c r="B572" s="1">
        <v>21.4</v>
      </c>
      <c r="C572" s="7" t="str">
        <f t="shared" si="18"/>
        <v>0</v>
      </c>
      <c r="D572" s="7" t="str">
        <f t="shared" si="19"/>
        <v>0</v>
      </c>
    </row>
    <row r="573" spans="1:4" x14ac:dyDescent="0.3">
      <c r="A573" s="3">
        <v>45547.791666666664</v>
      </c>
      <c r="B573" s="1">
        <v>20.9</v>
      </c>
      <c r="C573" s="7" t="str">
        <f t="shared" si="18"/>
        <v>0</v>
      </c>
      <c r="D573" s="7" t="str">
        <f t="shared" si="19"/>
        <v>0</v>
      </c>
    </row>
    <row r="574" spans="1:4" x14ac:dyDescent="0.3">
      <c r="A574" s="3">
        <v>45547.8125</v>
      </c>
      <c r="B574" s="1">
        <v>21.3</v>
      </c>
      <c r="C574" s="7" t="str">
        <f t="shared" si="18"/>
        <v>0</v>
      </c>
      <c r="D574" s="7" t="str">
        <f t="shared" si="19"/>
        <v>0</v>
      </c>
    </row>
    <row r="575" spans="1:4" x14ac:dyDescent="0.3">
      <c r="A575" s="3">
        <v>45547.833333333336</v>
      </c>
      <c r="B575" s="1">
        <v>20.100000000000001</v>
      </c>
      <c r="C575" s="7" t="str">
        <f t="shared" si="18"/>
        <v>0</v>
      </c>
      <c r="D575" s="7" t="str">
        <f t="shared" si="19"/>
        <v>0</v>
      </c>
    </row>
    <row r="576" spans="1:4" x14ac:dyDescent="0.3">
      <c r="A576" s="3">
        <v>45547.854166666664</v>
      </c>
      <c r="B576" s="1">
        <v>20.5</v>
      </c>
      <c r="C576" s="7" t="str">
        <f t="shared" si="18"/>
        <v>0</v>
      </c>
      <c r="D576" s="7" t="str">
        <f t="shared" si="19"/>
        <v>0</v>
      </c>
    </row>
    <row r="577" spans="1:4" x14ac:dyDescent="0.3">
      <c r="A577" s="3">
        <v>45547.875</v>
      </c>
      <c r="B577" s="1">
        <v>20.6</v>
      </c>
      <c r="C577" s="7" t="str">
        <f t="shared" si="18"/>
        <v>0</v>
      </c>
      <c r="D577" s="7" t="str">
        <f t="shared" si="19"/>
        <v>0</v>
      </c>
    </row>
    <row r="578" spans="1:4" x14ac:dyDescent="0.3">
      <c r="A578" s="3">
        <v>45547.895833333336</v>
      </c>
      <c r="B578" s="1">
        <v>20.6</v>
      </c>
      <c r="C578" s="7" t="str">
        <f t="shared" si="18"/>
        <v>0</v>
      </c>
      <c r="D578" s="7" t="str">
        <f t="shared" si="19"/>
        <v>0</v>
      </c>
    </row>
    <row r="579" spans="1:4" x14ac:dyDescent="0.3">
      <c r="A579" s="3">
        <v>45547.916666666664</v>
      </c>
      <c r="B579" s="1">
        <v>20.5</v>
      </c>
      <c r="C579" s="7" t="str">
        <f t="shared" ref="C579:C642" si="20">IF(B579=$P$13,A579,"0")</f>
        <v>0</v>
      </c>
      <c r="D579" s="7" t="str">
        <f t="shared" ref="D579:D642" si="21">IF(B579=$M$13,A579,"0")</f>
        <v>0</v>
      </c>
    </row>
    <row r="580" spans="1:4" x14ac:dyDescent="0.3">
      <c r="A580" s="3">
        <v>45547.9375</v>
      </c>
      <c r="B580" s="1">
        <v>20.5</v>
      </c>
      <c r="C580" s="7" t="str">
        <f t="shared" si="20"/>
        <v>0</v>
      </c>
      <c r="D580" s="7" t="str">
        <f t="shared" si="21"/>
        <v>0</v>
      </c>
    </row>
    <row r="581" spans="1:4" x14ac:dyDescent="0.3">
      <c r="A581" s="3">
        <v>45547.958333333336</v>
      </c>
      <c r="B581" s="1">
        <v>20.6</v>
      </c>
      <c r="C581" s="7" t="str">
        <f t="shared" si="20"/>
        <v>0</v>
      </c>
      <c r="D581" s="7" t="str">
        <f t="shared" si="21"/>
        <v>0</v>
      </c>
    </row>
    <row r="582" spans="1:4" x14ac:dyDescent="0.3">
      <c r="A582" s="3">
        <v>45547.979166666664</v>
      </c>
      <c r="B582" s="1">
        <v>20.6</v>
      </c>
      <c r="C582" s="7" t="str">
        <f t="shared" si="20"/>
        <v>0</v>
      </c>
      <c r="D582" s="7" t="str">
        <f t="shared" si="21"/>
        <v>0</v>
      </c>
    </row>
    <row r="583" spans="1:4" x14ac:dyDescent="0.3">
      <c r="A583" s="3">
        <v>45548</v>
      </c>
      <c r="B583" s="1">
        <v>20.6</v>
      </c>
      <c r="C583" s="7" t="str">
        <f t="shared" si="20"/>
        <v>0</v>
      </c>
      <c r="D583" s="7" t="str">
        <f t="shared" si="21"/>
        <v>0</v>
      </c>
    </row>
    <row r="584" spans="1:4" x14ac:dyDescent="0.3">
      <c r="A584" s="3">
        <v>45548.020833333336</v>
      </c>
      <c r="B584" s="1">
        <v>20.8</v>
      </c>
      <c r="C584" s="7" t="str">
        <f t="shared" si="20"/>
        <v>0</v>
      </c>
      <c r="D584" s="7" t="str">
        <f t="shared" si="21"/>
        <v>0</v>
      </c>
    </row>
    <row r="585" spans="1:4" x14ac:dyDescent="0.3">
      <c r="A585" s="3">
        <v>45548.041666666664</v>
      </c>
      <c r="B585" s="1">
        <v>20.7</v>
      </c>
      <c r="C585" s="7" t="str">
        <f t="shared" si="20"/>
        <v>0</v>
      </c>
      <c r="D585" s="7" t="str">
        <f t="shared" si="21"/>
        <v>0</v>
      </c>
    </row>
    <row r="586" spans="1:4" x14ac:dyDescent="0.3">
      <c r="A586" s="3">
        <v>45548.0625</v>
      </c>
      <c r="B586" s="1">
        <v>20.7</v>
      </c>
      <c r="C586" s="7" t="str">
        <f t="shared" si="20"/>
        <v>0</v>
      </c>
      <c r="D586" s="7" t="str">
        <f t="shared" si="21"/>
        <v>0</v>
      </c>
    </row>
    <row r="587" spans="1:4" x14ac:dyDescent="0.3">
      <c r="A587" s="3">
        <v>45548.083333333336</v>
      </c>
      <c r="B587" s="1">
        <v>20.7</v>
      </c>
      <c r="C587" s="7" t="str">
        <f t="shared" si="20"/>
        <v>0</v>
      </c>
      <c r="D587" s="7" t="str">
        <f t="shared" si="21"/>
        <v>0</v>
      </c>
    </row>
    <row r="588" spans="1:4" x14ac:dyDescent="0.3">
      <c r="A588" s="3">
        <v>45548.104166666664</v>
      </c>
      <c r="B588" s="1">
        <v>20.2</v>
      </c>
      <c r="C588" s="7" t="str">
        <f t="shared" si="20"/>
        <v>0</v>
      </c>
      <c r="D588" s="7" t="str">
        <f t="shared" si="21"/>
        <v>0</v>
      </c>
    </row>
    <row r="589" spans="1:4" x14ac:dyDescent="0.3">
      <c r="A589" s="3">
        <v>45548.125</v>
      </c>
      <c r="B589" s="1">
        <v>19.899999999999999</v>
      </c>
      <c r="C589" s="7" t="str">
        <f t="shared" si="20"/>
        <v>0</v>
      </c>
      <c r="D589" s="7" t="str">
        <f t="shared" si="21"/>
        <v>0</v>
      </c>
    </row>
    <row r="590" spans="1:4" x14ac:dyDescent="0.3">
      <c r="A590" s="3">
        <v>45548.145833333336</v>
      </c>
      <c r="B590" s="1">
        <v>19.399999999999999</v>
      </c>
      <c r="C590" s="7" t="str">
        <f t="shared" si="20"/>
        <v>0</v>
      </c>
      <c r="D590" s="7" t="str">
        <f t="shared" si="21"/>
        <v>0</v>
      </c>
    </row>
    <row r="591" spans="1:4" x14ac:dyDescent="0.3">
      <c r="A591" s="3">
        <v>45548.166666666664</v>
      </c>
      <c r="B591" s="1">
        <v>19.2</v>
      </c>
      <c r="C591" s="7" t="str">
        <f t="shared" si="20"/>
        <v>0</v>
      </c>
      <c r="D591" s="7" t="str">
        <f t="shared" si="21"/>
        <v>0</v>
      </c>
    </row>
    <row r="592" spans="1:4" x14ac:dyDescent="0.3">
      <c r="A592" s="3">
        <v>45548.1875</v>
      </c>
      <c r="B592" s="1">
        <v>19</v>
      </c>
      <c r="C592" s="7" t="str">
        <f t="shared" si="20"/>
        <v>0</v>
      </c>
      <c r="D592" s="7" t="str">
        <f t="shared" si="21"/>
        <v>0</v>
      </c>
    </row>
    <row r="593" spans="1:4" x14ac:dyDescent="0.3">
      <c r="A593" s="3">
        <v>45548.208333333336</v>
      </c>
      <c r="B593" s="1">
        <v>19.2</v>
      </c>
      <c r="C593" s="7" t="str">
        <f t="shared" si="20"/>
        <v>0</v>
      </c>
      <c r="D593" s="7" t="str">
        <f t="shared" si="21"/>
        <v>0</v>
      </c>
    </row>
    <row r="594" spans="1:4" x14ac:dyDescent="0.3">
      <c r="A594" s="3">
        <v>45548.229166666664</v>
      </c>
      <c r="B594" s="1">
        <v>19.7</v>
      </c>
      <c r="C594" s="7" t="str">
        <f t="shared" si="20"/>
        <v>0</v>
      </c>
      <c r="D594" s="7" t="str">
        <f t="shared" si="21"/>
        <v>0</v>
      </c>
    </row>
    <row r="595" spans="1:4" x14ac:dyDescent="0.3">
      <c r="A595" s="3">
        <v>45548.25</v>
      </c>
      <c r="B595" s="1">
        <v>16.899999999999999</v>
      </c>
      <c r="C595" s="7" t="str">
        <f t="shared" si="20"/>
        <v>0</v>
      </c>
      <c r="D595" s="7" t="str">
        <f t="shared" si="21"/>
        <v>0</v>
      </c>
    </row>
    <row r="596" spans="1:4" x14ac:dyDescent="0.3">
      <c r="A596" s="3">
        <v>45548.270833333336</v>
      </c>
      <c r="B596" s="1">
        <v>17.100000000000001</v>
      </c>
      <c r="C596" s="7" t="str">
        <f t="shared" si="20"/>
        <v>0</v>
      </c>
      <c r="D596" s="7" t="str">
        <f t="shared" si="21"/>
        <v>0</v>
      </c>
    </row>
    <row r="597" spans="1:4" x14ac:dyDescent="0.3">
      <c r="A597" s="3">
        <v>45548.291666666664</v>
      </c>
      <c r="B597" s="1">
        <v>18</v>
      </c>
      <c r="C597" s="7" t="str">
        <f t="shared" si="20"/>
        <v>0</v>
      </c>
      <c r="D597" s="7" t="str">
        <f t="shared" si="21"/>
        <v>0</v>
      </c>
    </row>
    <row r="598" spans="1:4" x14ac:dyDescent="0.3">
      <c r="A598" s="3">
        <v>45548.3125</v>
      </c>
      <c r="B598" s="1">
        <v>19</v>
      </c>
      <c r="C598" s="7" t="str">
        <f t="shared" si="20"/>
        <v>0</v>
      </c>
      <c r="D598" s="7" t="str">
        <f t="shared" si="21"/>
        <v>0</v>
      </c>
    </row>
    <row r="599" spans="1:4" x14ac:dyDescent="0.3">
      <c r="A599" s="3">
        <v>45548.333333333336</v>
      </c>
      <c r="B599" s="1">
        <v>19.5</v>
      </c>
      <c r="C599" s="7" t="str">
        <f t="shared" si="20"/>
        <v>0</v>
      </c>
      <c r="D599" s="7" t="str">
        <f t="shared" si="21"/>
        <v>0</v>
      </c>
    </row>
    <row r="600" spans="1:4" x14ac:dyDescent="0.3">
      <c r="A600" s="3">
        <v>45548.354166666664</v>
      </c>
      <c r="B600" s="1">
        <v>20</v>
      </c>
      <c r="C600" s="7" t="str">
        <f t="shared" si="20"/>
        <v>0</v>
      </c>
      <c r="D600" s="7" t="str">
        <f t="shared" si="21"/>
        <v>0</v>
      </c>
    </row>
    <row r="601" spans="1:4" x14ac:dyDescent="0.3">
      <c r="A601" s="3">
        <v>45548.375</v>
      </c>
      <c r="B601" s="1">
        <v>19.399999999999999</v>
      </c>
      <c r="C601" s="7" t="str">
        <f t="shared" si="20"/>
        <v>0</v>
      </c>
      <c r="D601" s="7" t="str">
        <f t="shared" si="21"/>
        <v>0</v>
      </c>
    </row>
    <row r="602" spans="1:4" x14ac:dyDescent="0.3">
      <c r="A602" s="3">
        <v>45548.395833333336</v>
      </c>
      <c r="B602" s="1">
        <v>20.5</v>
      </c>
      <c r="C602" s="7" t="str">
        <f t="shared" si="20"/>
        <v>0</v>
      </c>
      <c r="D602" s="7" t="str">
        <f t="shared" si="21"/>
        <v>0</v>
      </c>
    </row>
    <row r="603" spans="1:4" x14ac:dyDescent="0.3">
      <c r="A603" s="3">
        <v>45548.416666666664</v>
      </c>
      <c r="B603" s="1">
        <v>21.2</v>
      </c>
      <c r="C603" s="7" t="str">
        <f t="shared" si="20"/>
        <v>0</v>
      </c>
      <c r="D603" s="7" t="str">
        <f t="shared" si="21"/>
        <v>0</v>
      </c>
    </row>
    <row r="604" spans="1:4" x14ac:dyDescent="0.3">
      <c r="A604" s="3">
        <v>45548.4375</v>
      </c>
      <c r="B604" s="1">
        <v>19.3</v>
      </c>
      <c r="C604" s="7" t="str">
        <f t="shared" si="20"/>
        <v>0</v>
      </c>
      <c r="D604" s="7" t="str">
        <f t="shared" si="21"/>
        <v>0</v>
      </c>
    </row>
    <row r="605" spans="1:4" x14ac:dyDescent="0.3">
      <c r="A605" s="3">
        <v>45548.458333333336</v>
      </c>
      <c r="B605" s="1">
        <v>16.5</v>
      </c>
      <c r="C605" s="7" t="str">
        <f t="shared" si="20"/>
        <v>0</v>
      </c>
      <c r="D605" s="7" t="str">
        <f t="shared" si="21"/>
        <v>0</v>
      </c>
    </row>
    <row r="606" spans="1:4" x14ac:dyDescent="0.3">
      <c r="A606" s="3">
        <v>45548.479166666664</v>
      </c>
      <c r="B606" s="1">
        <v>17.7</v>
      </c>
      <c r="C606" s="7" t="str">
        <f t="shared" si="20"/>
        <v>0</v>
      </c>
      <c r="D606" s="7" t="str">
        <f t="shared" si="21"/>
        <v>0</v>
      </c>
    </row>
    <row r="607" spans="1:4" x14ac:dyDescent="0.3">
      <c r="A607" s="3">
        <v>45548.5</v>
      </c>
      <c r="B607" s="1">
        <v>18.600000000000001</v>
      </c>
      <c r="C607" s="7" t="str">
        <f t="shared" si="20"/>
        <v>0</v>
      </c>
      <c r="D607" s="7" t="str">
        <f t="shared" si="21"/>
        <v>0</v>
      </c>
    </row>
    <row r="608" spans="1:4" x14ac:dyDescent="0.3">
      <c r="A608" s="3">
        <v>45548.520833333336</v>
      </c>
      <c r="B608" s="1">
        <v>19.600000000000001</v>
      </c>
      <c r="C608" s="7" t="str">
        <f t="shared" si="20"/>
        <v>0</v>
      </c>
      <c r="D608" s="7" t="str">
        <f t="shared" si="21"/>
        <v>0</v>
      </c>
    </row>
    <row r="609" spans="1:4" x14ac:dyDescent="0.3">
      <c r="A609" s="3">
        <v>45548.541666666664</v>
      </c>
      <c r="B609" s="1">
        <v>17.600000000000001</v>
      </c>
      <c r="C609" s="7" t="str">
        <f t="shared" si="20"/>
        <v>0</v>
      </c>
      <c r="D609" s="7" t="str">
        <f t="shared" si="21"/>
        <v>0</v>
      </c>
    </row>
    <row r="610" spans="1:4" x14ac:dyDescent="0.3">
      <c r="A610" s="3">
        <v>45548.5625</v>
      </c>
      <c r="B610" s="1">
        <v>17.8</v>
      </c>
      <c r="C610" s="7" t="str">
        <f t="shared" si="20"/>
        <v>0</v>
      </c>
      <c r="D610" s="7" t="str">
        <f t="shared" si="21"/>
        <v>0</v>
      </c>
    </row>
    <row r="611" spans="1:4" x14ac:dyDescent="0.3">
      <c r="A611" s="3">
        <v>45548.583333333336</v>
      </c>
      <c r="B611" s="1">
        <v>17.100000000000001</v>
      </c>
      <c r="C611" s="7" t="str">
        <f t="shared" si="20"/>
        <v>0</v>
      </c>
      <c r="D611" s="7" t="str">
        <f t="shared" si="21"/>
        <v>0</v>
      </c>
    </row>
    <row r="612" spans="1:4" x14ac:dyDescent="0.3">
      <c r="A612" s="3">
        <v>45548.604166666664</v>
      </c>
      <c r="B612" s="1">
        <v>17.5</v>
      </c>
      <c r="C612" s="7" t="str">
        <f t="shared" si="20"/>
        <v>0</v>
      </c>
      <c r="D612" s="7" t="str">
        <f t="shared" si="21"/>
        <v>0</v>
      </c>
    </row>
    <row r="613" spans="1:4" x14ac:dyDescent="0.3">
      <c r="A613" s="3">
        <v>45548.625</v>
      </c>
      <c r="B613" s="1">
        <v>17.899999999999999</v>
      </c>
      <c r="C613" s="7" t="str">
        <f t="shared" si="20"/>
        <v>0</v>
      </c>
      <c r="D613" s="7" t="str">
        <f t="shared" si="21"/>
        <v>0</v>
      </c>
    </row>
    <row r="614" spans="1:4" x14ac:dyDescent="0.3">
      <c r="A614" s="3">
        <v>45548.645833333336</v>
      </c>
      <c r="B614" s="1">
        <v>17.3</v>
      </c>
      <c r="C614" s="7" t="str">
        <f t="shared" si="20"/>
        <v>0</v>
      </c>
      <c r="D614" s="7" t="str">
        <f t="shared" si="21"/>
        <v>0</v>
      </c>
    </row>
    <row r="615" spans="1:4" x14ac:dyDescent="0.3">
      <c r="A615" s="3">
        <v>45548.666666666664</v>
      </c>
      <c r="B615" s="1">
        <v>16.399999999999999</v>
      </c>
      <c r="C615" s="7" t="str">
        <f t="shared" si="20"/>
        <v>0</v>
      </c>
      <c r="D615" s="7" t="str">
        <f t="shared" si="21"/>
        <v>0</v>
      </c>
    </row>
    <row r="616" spans="1:4" x14ac:dyDescent="0.3">
      <c r="A616" s="3">
        <v>45548.6875</v>
      </c>
      <c r="B616" s="1">
        <v>16.2</v>
      </c>
      <c r="C616" s="7" t="str">
        <f t="shared" si="20"/>
        <v>0</v>
      </c>
      <c r="D616" s="7" t="str">
        <f t="shared" si="21"/>
        <v>0</v>
      </c>
    </row>
    <row r="617" spans="1:4" x14ac:dyDescent="0.3">
      <c r="A617" s="3">
        <v>45548.708333333336</v>
      </c>
      <c r="B617" s="1">
        <v>15.9</v>
      </c>
      <c r="C617" s="7" t="str">
        <f t="shared" si="20"/>
        <v>0</v>
      </c>
      <c r="D617" s="7" t="str">
        <f t="shared" si="21"/>
        <v>0</v>
      </c>
    </row>
    <row r="618" spans="1:4" x14ac:dyDescent="0.3">
      <c r="A618" s="3">
        <v>45548.729166666664</v>
      </c>
      <c r="B618" s="1">
        <v>15.4</v>
      </c>
      <c r="C618" s="7" t="str">
        <f t="shared" si="20"/>
        <v>0</v>
      </c>
      <c r="D618" s="7" t="str">
        <f t="shared" si="21"/>
        <v>0</v>
      </c>
    </row>
    <row r="619" spans="1:4" x14ac:dyDescent="0.3">
      <c r="A619" s="3">
        <v>45548.75</v>
      </c>
      <c r="B619" s="1">
        <v>14.9</v>
      </c>
      <c r="C619" s="7" t="str">
        <f t="shared" si="20"/>
        <v>0</v>
      </c>
      <c r="D619" s="7" t="str">
        <f t="shared" si="21"/>
        <v>0</v>
      </c>
    </row>
    <row r="620" spans="1:4" x14ac:dyDescent="0.3">
      <c r="A620" s="3">
        <v>45548.770833333336</v>
      </c>
      <c r="B620" s="1">
        <v>14.7</v>
      </c>
      <c r="C620" s="7" t="str">
        <f t="shared" si="20"/>
        <v>0</v>
      </c>
      <c r="D620" s="7" t="str">
        <f t="shared" si="21"/>
        <v>0</v>
      </c>
    </row>
    <row r="621" spans="1:4" x14ac:dyDescent="0.3">
      <c r="A621" s="3">
        <v>45548.791666666664</v>
      </c>
      <c r="B621" s="1">
        <v>14.7</v>
      </c>
      <c r="C621" s="7" t="str">
        <f t="shared" si="20"/>
        <v>0</v>
      </c>
      <c r="D621" s="7" t="str">
        <f t="shared" si="21"/>
        <v>0</v>
      </c>
    </row>
    <row r="622" spans="1:4" x14ac:dyDescent="0.3">
      <c r="A622" s="3">
        <v>45548.8125</v>
      </c>
      <c r="B622" s="1">
        <v>14.9</v>
      </c>
      <c r="C622" s="7" t="str">
        <f t="shared" si="20"/>
        <v>0</v>
      </c>
      <c r="D622" s="7" t="str">
        <f t="shared" si="21"/>
        <v>0</v>
      </c>
    </row>
    <row r="623" spans="1:4" x14ac:dyDescent="0.3">
      <c r="A623" s="3">
        <v>45548.833333333336</v>
      </c>
      <c r="B623" s="1">
        <v>14.7</v>
      </c>
      <c r="C623" s="7" t="str">
        <f t="shared" si="20"/>
        <v>0</v>
      </c>
      <c r="D623" s="7" t="str">
        <f t="shared" si="21"/>
        <v>0</v>
      </c>
    </row>
    <row r="624" spans="1:4" x14ac:dyDescent="0.3">
      <c r="A624" s="3">
        <v>45548.854166666664</v>
      </c>
      <c r="B624" s="1">
        <v>14.5</v>
      </c>
      <c r="C624" s="7" t="str">
        <f t="shared" si="20"/>
        <v>0</v>
      </c>
      <c r="D624" s="7" t="str">
        <f t="shared" si="21"/>
        <v>0</v>
      </c>
    </row>
    <row r="625" spans="1:4" x14ac:dyDescent="0.3">
      <c r="A625" s="3">
        <v>45548.875</v>
      </c>
      <c r="B625" s="1">
        <v>14.5</v>
      </c>
      <c r="C625" s="7" t="str">
        <f t="shared" si="20"/>
        <v>0</v>
      </c>
      <c r="D625" s="7" t="str">
        <f t="shared" si="21"/>
        <v>0</v>
      </c>
    </row>
    <row r="626" spans="1:4" x14ac:dyDescent="0.3">
      <c r="A626" s="3">
        <v>45548.895833333336</v>
      </c>
      <c r="B626" s="1">
        <v>14</v>
      </c>
      <c r="C626" s="7" t="str">
        <f t="shared" si="20"/>
        <v>0</v>
      </c>
      <c r="D626" s="7" t="str">
        <f t="shared" si="21"/>
        <v>0</v>
      </c>
    </row>
    <row r="627" spans="1:4" x14ac:dyDescent="0.3">
      <c r="A627" s="3">
        <v>45548.916666666664</v>
      </c>
      <c r="B627" s="1">
        <v>13.9</v>
      </c>
      <c r="C627" s="7" t="str">
        <f t="shared" si="20"/>
        <v>0</v>
      </c>
      <c r="D627" s="7" t="str">
        <f t="shared" si="21"/>
        <v>0</v>
      </c>
    </row>
    <row r="628" spans="1:4" x14ac:dyDescent="0.3">
      <c r="A628" s="3">
        <v>45548.9375</v>
      </c>
      <c r="B628" s="1">
        <v>13.6</v>
      </c>
      <c r="C628" s="7" t="str">
        <f t="shared" si="20"/>
        <v>0</v>
      </c>
      <c r="D628" s="7" t="str">
        <f t="shared" si="21"/>
        <v>0</v>
      </c>
    </row>
    <row r="629" spans="1:4" x14ac:dyDescent="0.3">
      <c r="A629" s="3">
        <v>45548.958333333336</v>
      </c>
      <c r="B629" s="1">
        <v>13.4</v>
      </c>
      <c r="C629" s="7" t="str">
        <f t="shared" si="20"/>
        <v>0</v>
      </c>
      <c r="D629" s="7" t="str">
        <f t="shared" si="21"/>
        <v>0</v>
      </c>
    </row>
    <row r="630" spans="1:4" x14ac:dyDescent="0.3">
      <c r="A630" s="3">
        <v>45548.979166666664</v>
      </c>
      <c r="B630" s="1">
        <v>13.4</v>
      </c>
      <c r="C630" s="7" t="str">
        <f t="shared" si="20"/>
        <v>0</v>
      </c>
      <c r="D630" s="7" t="str">
        <f t="shared" si="21"/>
        <v>0</v>
      </c>
    </row>
    <row r="631" spans="1:4" x14ac:dyDescent="0.3">
      <c r="A631" s="3">
        <v>45549</v>
      </c>
      <c r="B631" s="1">
        <v>13.4</v>
      </c>
      <c r="C631" s="7" t="str">
        <f t="shared" si="20"/>
        <v>0</v>
      </c>
      <c r="D631" s="7" t="str">
        <f t="shared" si="21"/>
        <v>0</v>
      </c>
    </row>
    <row r="632" spans="1:4" x14ac:dyDescent="0.3">
      <c r="A632" s="3">
        <v>45549.020833333336</v>
      </c>
      <c r="B632" s="1">
        <v>13.4</v>
      </c>
      <c r="C632" s="7" t="str">
        <f t="shared" si="20"/>
        <v>0</v>
      </c>
      <c r="D632" s="7" t="str">
        <f t="shared" si="21"/>
        <v>0</v>
      </c>
    </row>
    <row r="633" spans="1:4" x14ac:dyDescent="0.3">
      <c r="A633" s="3">
        <v>45549.041666666664</v>
      </c>
      <c r="B633" s="1">
        <v>13.3</v>
      </c>
      <c r="C633" s="7" t="str">
        <f t="shared" si="20"/>
        <v>0</v>
      </c>
      <c r="D633" s="7" t="str">
        <f t="shared" si="21"/>
        <v>0</v>
      </c>
    </row>
    <row r="634" spans="1:4" x14ac:dyDescent="0.3">
      <c r="A634" s="3">
        <v>45549.0625</v>
      </c>
      <c r="B634" s="1">
        <v>13.9</v>
      </c>
      <c r="C634" s="7" t="str">
        <f t="shared" si="20"/>
        <v>0</v>
      </c>
      <c r="D634" s="7" t="str">
        <f t="shared" si="21"/>
        <v>0</v>
      </c>
    </row>
    <row r="635" spans="1:4" x14ac:dyDescent="0.3">
      <c r="A635" s="3">
        <v>45549.083333333336</v>
      </c>
      <c r="B635" s="1">
        <v>13.7</v>
      </c>
      <c r="C635" s="7" t="str">
        <f t="shared" si="20"/>
        <v>0</v>
      </c>
      <c r="D635" s="7" t="str">
        <f t="shared" si="21"/>
        <v>0</v>
      </c>
    </row>
    <row r="636" spans="1:4" x14ac:dyDescent="0.3">
      <c r="A636" s="3">
        <v>45549.104166666664</v>
      </c>
      <c r="B636" s="1">
        <v>13</v>
      </c>
      <c r="C636" s="7" t="str">
        <f t="shared" si="20"/>
        <v>0</v>
      </c>
      <c r="D636" s="7" t="str">
        <f t="shared" si="21"/>
        <v>0</v>
      </c>
    </row>
    <row r="637" spans="1:4" x14ac:dyDescent="0.3">
      <c r="A637" s="3">
        <v>45549.125</v>
      </c>
      <c r="B637" s="1">
        <v>13.4</v>
      </c>
      <c r="C637" s="7" t="str">
        <f t="shared" si="20"/>
        <v>0</v>
      </c>
      <c r="D637" s="7" t="str">
        <f t="shared" si="21"/>
        <v>0</v>
      </c>
    </row>
    <row r="638" spans="1:4" x14ac:dyDescent="0.3">
      <c r="A638" s="3">
        <v>45549.145833333336</v>
      </c>
      <c r="B638" s="1">
        <v>13.8</v>
      </c>
      <c r="C638" s="7" t="str">
        <f t="shared" si="20"/>
        <v>0</v>
      </c>
      <c r="D638" s="7" t="str">
        <f t="shared" si="21"/>
        <v>0</v>
      </c>
    </row>
    <row r="639" spans="1:4" x14ac:dyDescent="0.3">
      <c r="A639" s="3">
        <v>45549.166666666664</v>
      </c>
      <c r="B639" s="1">
        <v>13.6</v>
      </c>
      <c r="C639" s="7" t="str">
        <f t="shared" si="20"/>
        <v>0</v>
      </c>
      <c r="D639" s="7" t="str">
        <f t="shared" si="21"/>
        <v>0</v>
      </c>
    </row>
    <row r="640" spans="1:4" x14ac:dyDescent="0.3">
      <c r="A640" s="3">
        <v>45549.1875</v>
      </c>
      <c r="B640" s="1">
        <v>13.1</v>
      </c>
      <c r="C640" s="7" t="str">
        <f t="shared" si="20"/>
        <v>0</v>
      </c>
      <c r="D640" s="7" t="str">
        <f t="shared" si="21"/>
        <v>0</v>
      </c>
    </row>
    <row r="641" spans="1:4" x14ac:dyDescent="0.3">
      <c r="A641" s="3">
        <v>45549.208333333336</v>
      </c>
      <c r="B641" s="1">
        <v>12.2</v>
      </c>
      <c r="C641" s="7">
        <f t="shared" si="20"/>
        <v>45549.208333333336</v>
      </c>
      <c r="D641" s="7" t="str">
        <f t="shared" si="21"/>
        <v>0</v>
      </c>
    </row>
    <row r="642" spans="1:4" x14ac:dyDescent="0.3">
      <c r="A642" s="3">
        <v>45549.229166666664</v>
      </c>
      <c r="B642" s="1">
        <v>12.5</v>
      </c>
      <c r="C642" s="7" t="str">
        <f t="shared" si="20"/>
        <v>0</v>
      </c>
      <c r="D642" s="7" t="str">
        <f t="shared" si="21"/>
        <v>0</v>
      </c>
    </row>
    <row r="643" spans="1:4" x14ac:dyDescent="0.3">
      <c r="A643" s="3">
        <v>45549.25</v>
      </c>
      <c r="B643" s="1">
        <v>12.8</v>
      </c>
      <c r="C643" s="7" t="str">
        <f t="shared" ref="C643:C706" si="22">IF(B643=$P$13,A643,"0")</f>
        <v>0</v>
      </c>
      <c r="D643" s="7" t="str">
        <f t="shared" ref="D643:D706" si="23">IF(B643=$M$13,A643,"0")</f>
        <v>0</v>
      </c>
    </row>
    <row r="644" spans="1:4" x14ac:dyDescent="0.3">
      <c r="A644" s="3">
        <v>45549.270833333336</v>
      </c>
      <c r="B644" s="1">
        <v>13.1</v>
      </c>
      <c r="C644" s="7" t="str">
        <f t="shared" si="22"/>
        <v>0</v>
      </c>
      <c r="D644" s="7" t="str">
        <f t="shared" si="23"/>
        <v>0</v>
      </c>
    </row>
    <row r="645" spans="1:4" x14ac:dyDescent="0.3">
      <c r="A645" s="3">
        <v>45549.291666666664</v>
      </c>
      <c r="B645" s="1">
        <v>13.8</v>
      </c>
      <c r="C645" s="7" t="str">
        <f t="shared" si="22"/>
        <v>0</v>
      </c>
      <c r="D645" s="7" t="str">
        <f t="shared" si="23"/>
        <v>0</v>
      </c>
    </row>
    <row r="646" spans="1:4" x14ac:dyDescent="0.3">
      <c r="A646" s="3">
        <v>45549.3125</v>
      </c>
      <c r="B646" s="1">
        <v>14.7</v>
      </c>
      <c r="C646" s="7" t="str">
        <f t="shared" si="22"/>
        <v>0</v>
      </c>
      <c r="D646" s="7" t="str">
        <f t="shared" si="23"/>
        <v>0</v>
      </c>
    </row>
    <row r="647" spans="1:4" x14ac:dyDescent="0.3">
      <c r="A647" s="3">
        <v>45549.333333333336</v>
      </c>
      <c r="B647" s="1">
        <v>15.5</v>
      </c>
      <c r="C647" s="7" t="str">
        <f t="shared" si="22"/>
        <v>0</v>
      </c>
      <c r="D647" s="7" t="str">
        <f t="shared" si="23"/>
        <v>0</v>
      </c>
    </row>
    <row r="648" spans="1:4" x14ac:dyDescent="0.3">
      <c r="A648" s="3">
        <v>45549.354166666664</v>
      </c>
      <c r="B648" s="1">
        <v>16.399999999999999</v>
      </c>
      <c r="C648" s="7" t="str">
        <f t="shared" si="22"/>
        <v>0</v>
      </c>
      <c r="D648" s="7" t="str">
        <f t="shared" si="23"/>
        <v>0</v>
      </c>
    </row>
    <row r="649" spans="1:4" x14ac:dyDescent="0.3">
      <c r="A649" s="3">
        <v>45549.375</v>
      </c>
      <c r="B649" s="1">
        <v>17</v>
      </c>
      <c r="C649" s="7" t="str">
        <f t="shared" si="22"/>
        <v>0</v>
      </c>
      <c r="D649" s="7" t="str">
        <f t="shared" si="23"/>
        <v>0</v>
      </c>
    </row>
    <row r="650" spans="1:4" x14ac:dyDescent="0.3">
      <c r="A650" s="3">
        <v>45549.395833333336</v>
      </c>
      <c r="B650" s="1">
        <v>17.899999999999999</v>
      </c>
      <c r="C650" s="7" t="str">
        <f t="shared" si="22"/>
        <v>0</v>
      </c>
      <c r="D650" s="7" t="str">
        <f t="shared" si="23"/>
        <v>0</v>
      </c>
    </row>
    <row r="651" spans="1:4" x14ac:dyDescent="0.3">
      <c r="A651" s="3">
        <v>45549.416666666664</v>
      </c>
      <c r="B651" s="1">
        <v>18.600000000000001</v>
      </c>
      <c r="C651" s="7" t="str">
        <f t="shared" si="22"/>
        <v>0</v>
      </c>
      <c r="D651" s="7" t="str">
        <f t="shared" si="23"/>
        <v>0</v>
      </c>
    </row>
    <row r="652" spans="1:4" x14ac:dyDescent="0.3">
      <c r="A652" s="3">
        <v>45549.4375</v>
      </c>
      <c r="B652" s="1">
        <v>19.3</v>
      </c>
      <c r="C652" s="7" t="str">
        <f t="shared" si="22"/>
        <v>0</v>
      </c>
      <c r="D652" s="7" t="str">
        <f t="shared" si="23"/>
        <v>0</v>
      </c>
    </row>
    <row r="653" spans="1:4" x14ac:dyDescent="0.3">
      <c r="A653" s="3">
        <v>45549.458333333336</v>
      </c>
      <c r="B653" s="1">
        <v>19.899999999999999</v>
      </c>
      <c r="C653" s="7" t="str">
        <f t="shared" si="22"/>
        <v>0</v>
      </c>
      <c r="D653" s="7" t="str">
        <f t="shared" si="23"/>
        <v>0</v>
      </c>
    </row>
    <row r="654" spans="1:4" x14ac:dyDescent="0.3">
      <c r="A654" s="3">
        <v>45549.479166666664</v>
      </c>
      <c r="B654" s="1">
        <v>20.5</v>
      </c>
      <c r="C654" s="7" t="str">
        <f t="shared" si="22"/>
        <v>0</v>
      </c>
      <c r="D654" s="7" t="str">
        <f t="shared" si="23"/>
        <v>0</v>
      </c>
    </row>
    <row r="655" spans="1:4" x14ac:dyDescent="0.3">
      <c r="A655" s="3">
        <v>45549.5</v>
      </c>
      <c r="B655" s="1">
        <v>21.1</v>
      </c>
      <c r="C655" s="7" t="str">
        <f t="shared" si="22"/>
        <v>0</v>
      </c>
      <c r="D655" s="7" t="str">
        <f t="shared" si="23"/>
        <v>0</v>
      </c>
    </row>
    <row r="656" spans="1:4" x14ac:dyDescent="0.3">
      <c r="A656" s="3">
        <v>45549.520833333336</v>
      </c>
      <c r="B656" s="1">
        <v>21.5</v>
      </c>
      <c r="C656" s="7" t="str">
        <f t="shared" si="22"/>
        <v>0</v>
      </c>
      <c r="D656" s="7" t="str">
        <f t="shared" si="23"/>
        <v>0</v>
      </c>
    </row>
    <row r="657" spans="1:4" x14ac:dyDescent="0.3">
      <c r="A657" s="3">
        <v>45549.541666666664</v>
      </c>
      <c r="B657" s="1">
        <v>21.6</v>
      </c>
      <c r="C657" s="7" t="str">
        <f t="shared" si="22"/>
        <v>0</v>
      </c>
      <c r="D657" s="7" t="str">
        <f t="shared" si="23"/>
        <v>0</v>
      </c>
    </row>
    <row r="658" spans="1:4" x14ac:dyDescent="0.3">
      <c r="A658" s="3">
        <v>45549.5625</v>
      </c>
      <c r="B658" s="1">
        <v>21.6</v>
      </c>
      <c r="C658" s="7" t="str">
        <f t="shared" si="22"/>
        <v>0</v>
      </c>
      <c r="D658" s="7" t="str">
        <f t="shared" si="23"/>
        <v>0</v>
      </c>
    </row>
    <row r="659" spans="1:4" x14ac:dyDescent="0.3">
      <c r="A659" s="3">
        <v>45549.583333333336</v>
      </c>
      <c r="B659" s="1">
        <v>22</v>
      </c>
      <c r="C659" s="7" t="str">
        <f t="shared" si="22"/>
        <v>0</v>
      </c>
      <c r="D659" s="7" t="str">
        <f t="shared" si="23"/>
        <v>0</v>
      </c>
    </row>
    <row r="660" spans="1:4" x14ac:dyDescent="0.3">
      <c r="A660" s="3">
        <v>45549.604166666664</v>
      </c>
      <c r="B660" s="1">
        <v>22</v>
      </c>
      <c r="C660" s="7" t="str">
        <f t="shared" si="22"/>
        <v>0</v>
      </c>
      <c r="D660" s="7" t="str">
        <f t="shared" si="23"/>
        <v>0</v>
      </c>
    </row>
    <row r="661" spans="1:4" x14ac:dyDescent="0.3">
      <c r="A661" s="3">
        <v>45549.625</v>
      </c>
      <c r="B661" s="1">
        <v>21.8</v>
      </c>
      <c r="C661" s="7" t="str">
        <f t="shared" si="22"/>
        <v>0</v>
      </c>
      <c r="D661" s="7" t="str">
        <f t="shared" si="23"/>
        <v>0</v>
      </c>
    </row>
    <row r="662" spans="1:4" x14ac:dyDescent="0.3">
      <c r="A662" s="3">
        <v>45549.645833333336</v>
      </c>
      <c r="B662" s="1">
        <v>22.1</v>
      </c>
      <c r="C662" s="7" t="str">
        <f t="shared" si="22"/>
        <v>0</v>
      </c>
      <c r="D662" s="7" t="str">
        <f t="shared" si="23"/>
        <v>0</v>
      </c>
    </row>
    <row r="663" spans="1:4" x14ac:dyDescent="0.3">
      <c r="A663" s="3">
        <v>45549.666666666664</v>
      </c>
      <c r="B663" s="1">
        <v>21.8</v>
      </c>
      <c r="C663" s="7" t="str">
        <f t="shared" si="22"/>
        <v>0</v>
      </c>
      <c r="D663" s="7" t="str">
        <f t="shared" si="23"/>
        <v>0</v>
      </c>
    </row>
    <row r="664" spans="1:4" x14ac:dyDescent="0.3">
      <c r="A664" s="3">
        <v>45549.6875</v>
      </c>
      <c r="B664" s="1">
        <v>22</v>
      </c>
      <c r="C664" s="7" t="str">
        <f t="shared" si="22"/>
        <v>0</v>
      </c>
      <c r="D664" s="7" t="str">
        <f t="shared" si="23"/>
        <v>0</v>
      </c>
    </row>
    <row r="665" spans="1:4" x14ac:dyDescent="0.3">
      <c r="A665" s="3">
        <v>45549.708333333336</v>
      </c>
      <c r="B665" s="1">
        <v>22.1</v>
      </c>
      <c r="C665" s="7" t="str">
        <f t="shared" si="22"/>
        <v>0</v>
      </c>
      <c r="D665" s="7" t="str">
        <f t="shared" si="23"/>
        <v>0</v>
      </c>
    </row>
    <row r="666" spans="1:4" x14ac:dyDescent="0.3">
      <c r="A666" s="3">
        <v>45549.729166666664</v>
      </c>
      <c r="B666" s="1">
        <v>21.6</v>
      </c>
      <c r="C666" s="7" t="str">
        <f t="shared" si="22"/>
        <v>0</v>
      </c>
      <c r="D666" s="7" t="str">
        <f t="shared" si="23"/>
        <v>0</v>
      </c>
    </row>
    <row r="667" spans="1:4" x14ac:dyDescent="0.3">
      <c r="A667" s="3">
        <v>45549.75</v>
      </c>
      <c r="B667" s="1">
        <v>21.3</v>
      </c>
      <c r="C667" s="7" t="str">
        <f t="shared" si="22"/>
        <v>0</v>
      </c>
      <c r="D667" s="7" t="str">
        <f t="shared" si="23"/>
        <v>0</v>
      </c>
    </row>
    <row r="668" spans="1:4" x14ac:dyDescent="0.3">
      <c r="A668" s="3">
        <v>45549.770833333336</v>
      </c>
      <c r="B668" s="1">
        <v>20.9</v>
      </c>
      <c r="C668" s="7" t="str">
        <f t="shared" si="22"/>
        <v>0</v>
      </c>
      <c r="D668" s="7" t="str">
        <f t="shared" si="23"/>
        <v>0</v>
      </c>
    </row>
    <row r="669" spans="1:4" x14ac:dyDescent="0.3">
      <c r="A669" s="3">
        <v>45549.791666666664</v>
      </c>
      <c r="B669" s="1">
        <v>20.6</v>
      </c>
      <c r="C669" s="7" t="str">
        <f t="shared" si="22"/>
        <v>0</v>
      </c>
      <c r="D669" s="7" t="str">
        <f t="shared" si="23"/>
        <v>0</v>
      </c>
    </row>
    <row r="670" spans="1:4" x14ac:dyDescent="0.3">
      <c r="A670" s="3">
        <v>45549.8125</v>
      </c>
      <c r="B670" s="1">
        <v>20.3</v>
      </c>
      <c r="C670" s="7" t="str">
        <f t="shared" si="22"/>
        <v>0</v>
      </c>
      <c r="D670" s="7" t="str">
        <f t="shared" si="23"/>
        <v>0</v>
      </c>
    </row>
    <row r="671" spans="1:4" x14ac:dyDescent="0.3">
      <c r="A671" s="3">
        <v>45549.833333333336</v>
      </c>
      <c r="B671" s="1">
        <v>19.8</v>
      </c>
      <c r="C671" s="7" t="str">
        <f t="shared" si="22"/>
        <v>0</v>
      </c>
      <c r="D671" s="7" t="str">
        <f t="shared" si="23"/>
        <v>0</v>
      </c>
    </row>
    <row r="672" spans="1:4" x14ac:dyDescent="0.3">
      <c r="A672" s="3">
        <v>45549.854166666664</v>
      </c>
      <c r="B672" s="1">
        <v>19.600000000000001</v>
      </c>
      <c r="C672" s="7" t="str">
        <f t="shared" si="22"/>
        <v>0</v>
      </c>
      <c r="D672" s="7" t="str">
        <f t="shared" si="23"/>
        <v>0</v>
      </c>
    </row>
    <row r="673" spans="1:4" x14ac:dyDescent="0.3">
      <c r="A673" s="3">
        <v>45549.875</v>
      </c>
      <c r="B673" s="1">
        <v>19.600000000000001</v>
      </c>
      <c r="C673" s="7" t="str">
        <f t="shared" si="22"/>
        <v>0</v>
      </c>
      <c r="D673" s="7" t="str">
        <f t="shared" si="23"/>
        <v>0</v>
      </c>
    </row>
    <row r="674" spans="1:4" x14ac:dyDescent="0.3">
      <c r="A674" s="3">
        <v>45549.895833333336</v>
      </c>
      <c r="B674" s="1">
        <v>18.600000000000001</v>
      </c>
      <c r="C674" s="7" t="str">
        <f t="shared" si="22"/>
        <v>0</v>
      </c>
      <c r="D674" s="7" t="str">
        <f t="shared" si="23"/>
        <v>0</v>
      </c>
    </row>
    <row r="675" spans="1:4" x14ac:dyDescent="0.3">
      <c r="A675" s="3">
        <v>45549.916666666664</v>
      </c>
      <c r="B675" s="1">
        <v>17.8</v>
      </c>
      <c r="C675" s="7" t="str">
        <f t="shared" si="22"/>
        <v>0</v>
      </c>
      <c r="D675" s="7" t="str">
        <f t="shared" si="23"/>
        <v>0</v>
      </c>
    </row>
    <row r="676" spans="1:4" x14ac:dyDescent="0.3">
      <c r="A676" s="3">
        <v>45549.9375</v>
      </c>
      <c r="B676" s="1">
        <v>17.7</v>
      </c>
      <c r="C676" s="7" t="str">
        <f t="shared" si="22"/>
        <v>0</v>
      </c>
      <c r="D676" s="7" t="str">
        <f t="shared" si="23"/>
        <v>0</v>
      </c>
    </row>
    <row r="677" spans="1:4" x14ac:dyDescent="0.3">
      <c r="A677" s="3">
        <v>45549.958333333336</v>
      </c>
      <c r="B677" s="1">
        <v>17.7</v>
      </c>
      <c r="C677" s="7" t="str">
        <f t="shared" si="22"/>
        <v>0</v>
      </c>
      <c r="D677" s="7" t="str">
        <f t="shared" si="23"/>
        <v>0</v>
      </c>
    </row>
    <row r="678" spans="1:4" x14ac:dyDescent="0.3">
      <c r="A678" s="3">
        <v>45549.979166666664</v>
      </c>
      <c r="B678" s="1">
        <v>17.5</v>
      </c>
      <c r="C678" s="7" t="str">
        <f t="shared" si="22"/>
        <v>0</v>
      </c>
      <c r="D678" s="7" t="str">
        <f t="shared" si="23"/>
        <v>0</v>
      </c>
    </row>
    <row r="679" spans="1:4" x14ac:dyDescent="0.3">
      <c r="A679" s="3">
        <v>45550</v>
      </c>
      <c r="B679" s="1">
        <v>17.3</v>
      </c>
      <c r="C679" s="7" t="str">
        <f t="shared" si="22"/>
        <v>0</v>
      </c>
      <c r="D679" s="7" t="str">
        <f t="shared" si="23"/>
        <v>0</v>
      </c>
    </row>
    <row r="680" spans="1:4" x14ac:dyDescent="0.3">
      <c r="A680" s="3">
        <v>45550.020833333336</v>
      </c>
      <c r="B680" s="1">
        <v>16.899999999999999</v>
      </c>
      <c r="C680" s="7" t="str">
        <f t="shared" si="22"/>
        <v>0</v>
      </c>
      <c r="D680" s="7" t="str">
        <f t="shared" si="23"/>
        <v>0</v>
      </c>
    </row>
    <row r="681" spans="1:4" x14ac:dyDescent="0.3">
      <c r="A681" s="3">
        <v>45550.041666666664</v>
      </c>
      <c r="B681" s="1">
        <v>16.899999999999999</v>
      </c>
      <c r="C681" s="7" t="str">
        <f t="shared" si="22"/>
        <v>0</v>
      </c>
      <c r="D681" s="7" t="str">
        <f t="shared" si="23"/>
        <v>0</v>
      </c>
    </row>
    <row r="682" spans="1:4" x14ac:dyDescent="0.3">
      <c r="A682" s="3">
        <v>45550.0625</v>
      </c>
      <c r="B682" s="1">
        <v>16.600000000000001</v>
      </c>
      <c r="C682" s="7" t="str">
        <f t="shared" si="22"/>
        <v>0</v>
      </c>
      <c r="D682" s="7" t="str">
        <f t="shared" si="23"/>
        <v>0</v>
      </c>
    </row>
    <row r="683" spans="1:4" x14ac:dyDescent="0.3">
      <c r="A683" s="3">
        <v>45550.083333333336</v>
      </c>
      <c r="B683" s="1">
        <v>15.8</v>
      </c>
      <c r="C683" s="7" t="str">
        <f t="shared" si="22"/>
        <v>0</v>
      </c>
      <c r="D683" s="7" t="str">
        <f t="shared" si="23"/>
        <v>0</v>
      </c>
    </row>
    <row r="684" spans="1:4" x14ac:dyDescent="0.3">
      <c r="A684" s="3">
        <v>45550.104166666664</v>
      </c>
      <c r="B684" s="1">
        <v>16.100000000000001</v>
      </c>
      <c r="C684" s="7" t="str">
        <f t="shared" si="22"/>
        <v>0</v>
      </c>
      <c r="D684" s="7" t="str">
        <f t="shared" si="23"/>
        <v>0</v>
      </c>
    </row>
    <row r="685" spans="1:4" x14ac:dyDescent="0.3">
      <c r="A685" s="3">
        <v>45550.125</v>
      </c>
      <c r="B685" s="1">
        <v>16.2</v>
      </c>
      <c r="C685" s="7" t="str">
        <f t="shared" si="22"/>
        <v>0</v>
      </c>
      <c r="D685" s="7" t="str">
        <f t="shared" si="23"/>
        <v>0</v>
      </c>
    </row>
    <row r="686" spans="1:4" x14ac:dyDescent="0.3">
      <c r="A686" s="3">
        <v>45550.145833333336</v>
      </c>
      <c r="B686" s="1">
        <v>16</v>
      </c>
      <c r="C686" s="7" t="str">
        <f t="shared" si="22"/>
        <v>0</v>
      </c>
      <c r="D686" s="7" t="str">
        <f t="shared" si="23"/>
        <v>0</v>
      </c>
    </row>
    <row r="687" spans="1:4" x14ac:dyDescent="0.3">
      <c r="A687" s="3">
        <v>45550.166666666664</v>
      </c>
      <c r="B687" s="1">
        <v>15.4</v>
      </c>
      <c r="C687" s="7" t="str">
        <f t="shared" si="22"/>
        <v>0</v>
      </c>
      <c r="D687" s="7" t="str">
        <f t="shared" si="23"/>
        <v>0</v>
      </c>
    </row>
    <row r="688" spans="1:4" x14ac:dyDescent="0.3">
      <c r="A688" s="3">
        <v>45550.1875</v>
      </c>
      <c r="B688" s="1">
        <v>15.4</v>
      </c>
      <c r="C688" s="7" t="str">
        <f t="shared" si="22"/>
        <v>0</v>
      </c>
      <c r="D688" s="7" t="str">
        <f t="shared" si="23"/>
        <v>0</v>
      </c>
    </row>
    <row r="689" spans="1:4" x14ac:dyDescent="0.3">
      <c r="A689" s="3">
        <v>45550.208333333336</v>
      </c>
      <c r="B689" s="1">
        <v>15</v>
      </c>
      <c r="C689" s="7" t="str">
        <f t="shared" si="22"/>
        <v>0</v>
      </c>
      <c r="D689" s="7" t="str">
        <f t="shared" si="23"/>
        <v>0</v>
      </c>
    </row>
    <row r="690" spans="1:4" x14ac:dyDescent="0.3">
      <c r="A690" s="3">
        <v>45550.229166666664</v>
      </c>
      <c r="B690" s="1">
        <v>15.2</v>
      </c>
      <c r="C690" s="7" t="str">
        <f t="shared" si="22"/>
        <v>0</v>
      </c>
      <c r="D690" s="7" t="str">
        <f t="shared" si="23"/>
        <v>0</v>
      </c>
    </row>
    <row r="691" spans="1:4" x14ac:dyDescent="0.3">
      <c r="A691" s="3">
        <v>45550.25</v>
      </c>
      <c r="B691" s="1">
        <v>15.5</v>
      </c>
      <c r="C691" s="7" t="str">
        <f t="shared" si="22"/>
        <v>0</v>
      </c>
      <c r="D691" s="7" t="str">
        <f t="shared" si="23"/>
        <v>0</v>
      </c>
    </row>
    <row r="692" spans="1:4" x14ac:dyDescent="0.3">
      <c r="A692" s="3">
        <v>45550.270833333336</v>
      </c>
      <c r="B692" s="1">
        <v>15.9</v>
      </c>
      <c r="C692" s="7" t="str">
        <f t="shared" si="22"/>
        <v>0</v>
      </c>
      <c r="D692" s="7" t="str">
        <f t="shared" si="23"/>
        <v>0</v>
      </c>
    </row>
    <row r="693" spans="1:4" x14ac:dyDescent="0.3">
      <c r="A693" s="3">
        <v>45550.291666666664</v>
      </c>
      <c r="B693" s="1">
        <v>16.5</v>
      </c>
      <c r="C693" s="7" t="str">
        <f t="shared" si="22"/>
        <v>0</v>
      </c>
      <c r="D693" s="7" t="str">
        <f t="shared" si="23"/>
        <v>0</v>
      </c>
    </row>
    <row r="694" spans="1:4" x14ac:dyDescent="0.3">
      <c r="A694" s="3">
        <v>45550.3125</v>
      </c>
      <c r="B694" s="1">
        <v>17.399999999999999</v>
      </c>
      <c r="C694" s="7" t="str">
        <f t="shared" si="22"/>
        <v>0</v>
      </c>
      <c r="D694" s="7" t="str">
        <f t="shared" si="23"/>
        <v>0</v>
      </c>
    </row>
    <row r="695" spans="1:4" x14ac:dyDescent="0.3">
      <c r="A695" s="3">
        <v>45550.333333333336</v>
      </c>
      <c r="B695" s="1">
        <v>18</v>
      </c>
      <c r="C695" s="7" t="str">
        <f t="shared" si="22"/>
        <v>0</v>
      </c>
      <c r="D695" s="7" t="str">
        <f t="shared" si="23"/>
        <v>0</v>
      </c>
    </row>
    <row r="696" spans="1:4" x14ac:dyDescent="0.3">
      <c r="A696" s="3">
        <v>45550.354166666664</v>
      </c>
      <c r="B696" s="1">
        <v>18.7</v>
      </c>
      <c r="C696" s="7" t="str">
        <f t="shared" si="22"/>
        <v>0</v>
      </c>
      <c r="D696" s="7" t="str">
        <f t="shared" si="23"/>
        <v>0</v>
      </c>
    </row>
    <row r="697" spans="1:4" x14ac:dyDescent="0.3">
      <c r="A697" s="3">
        <v>45550.375</v>
      </c>
      <c r="B697" s="1">
        <v>19.600000000000001</v>
      </c>
      <c r="C697" s="7" t="str">
        <f t="shared" si="22"/>
        <v>0</v>
      </c>
      <c r="D697" s="7" t="str">
        <f t="shared" si="23"/>
        <v>0</v>
      </c>
    </row>
    <row r="698" spans="1:4" x14ac:dyDescent="0.3">
      <c r="A698" s="3">
        <v>45550.395833333336</v>
      </c>
      <c r="B698" s="1">
        <v>20.3</v>
      </c>
      <c r="C698" s="7" t="str">
        <f t="shared" si="22"/>
        <v>0</v>
      </c>
      <c r="D698" s="7" t="str">
        <f t="shared" si="23"/>
        <v>0</v>
      </c>
    </row>
    <row r="699" spans="1:4" x14ac:dyDescent="0.3">
      <c r="A699" s="3">
        <v>45550.416666666664</v>
      </c>
      <c r="B699" s="1">
        <v>21.1</v>
      </c>
      <c r="C699" s="7" t="str">
        <f t="shared" si="22"/>
        <v>0</v>
      </c>
      <c r="D699" s="7" t="str">
        <f t="shared" si="23"/>
        <v>0</v>
      </c>
    </row>
    <row r="700" spans="1:4" x14ac:dyDescent="0.3">
      <c r="A700" s="3">
        <v>45550.4375</v>
      </c>
      <c r="B700" s="1">
        <v>22</v>
      </c>
      <c r="C700" s="7" t="str">
        <f t="shared" si="22"/>
        <v>0</v>
      </c>
      <c r="D700" s="7" t="str">
        <f t="shared" si="23"/>
        <v>0</v>
      </c>
    </row>
    <row r="701" spans="1:4" x14ac:dyDescent="0.3">
      <c r="A701" s="3">
        <v>45550.458333333336</v>
      </c>
      <c r="B701" s="1">
        <v>22.5</v>
      </c>
      <c r="C701" s="7" t="str">
        <f t="shared" si="22"/>
        <v>0</v>
      </c>
      <c r="D701" s="7" t="str">
        <f t="shared" si="23"/>
        <v>0</v>
      </c>
    </row>
    <row r="702" spans="1:4" x14ac:dyDescent="0.3">
      <c r="A702" s="3">
        <v>45550.479166666664</v>
      </c>
      <c r="B702" s="1">
        <v>23.1</v>
      </c>
      <c r="C702" s="7" t="str">
        <f t="shared" si="22"/>
        <v>0</v>
      </c>
      <c r="D702" s="7" t="str">
        <f t="shared" si="23"/>
        <v>0</v>
      </c>
    </row>
    <row r="703" spans="1:4" x14ac:dyDescent="0.3">
      <c r="A703" s="3">
        <v>45550.5</v>
      </c>
      <c r="B703" s="1">
        <v>23.6</v>
      </c>
      <c r="C703" s="7" t="str">
        <f t="shared" si="22"/>
        <v>0</v>
      </c>
      <c r="D703" s="7" t="str">
        <f t="shared" si="23"/>
        <v>0</v>
      </c>
    </row>
    <row r="704" spans="1:4" x14ac:dyDescent="0.3">
      <c r="A704" s="3">
        <v>45550.520833333336</v>
      </c>
      <c r="B704" s="1">
        <v>24</v>
      </c>
      <c r="C704" s="7" t="str">
        <f t="shared" si="22"/>
        <v>0</v>
      </c>
      <c r="D704" s="7" t="str">
        <f t="shared" si="23"/>
        <v>0</v>
      </c>
    </row>
    <row r="705" spans="1:4" x14ac:dyDescent="0.3">
      <c r="A705" s="3">
        <v>45550.541666666664</v>
      </c>
      <c r="B705" s="1">
        <v>23.6</v>
      </c>
      <c r="C705" s="7" t="str">
        <f t="shared" si="22"/>
        <v>0</v>
      </c>
      <c r="D705" s="7" t="str">
        <f t="shared" si="23"/>
        <v>0</v>
      </c>
    </row>
    <row r="706" spans="1:4" x14ac:dyDescent="0.3">
      <c r="A706" s="3">
        <v>45550.5625</v>
      </c>
      <c r="B706" s="1">
        <v>24.5</v>
      </c>
      <c r="C706" s="7" t="str">
        <f t="shared" si="22"/>
        <v>0</v>
      </c>
      <c r="D706" s="7" t="str">
        <f t="shared" si="23"/>
        <v>0</v>
      </c>
    </row>
    <row r="707" spans="1:4" x14ac:dyDescent="0.3">
      <c r="A707" s="3">
        <v>45550.583333333336</v>
      </c>
      <c r="B707" s="1">
        <v>24.1</v>
      </c>
      <c r="C707" s="7" t="str">
        <f t="shared" ref="C707:C770" si="24">IF(B707=$P$13,A707,"0")</f>
        <v>0</v>
      </c>
      <c r="D707" s="7" t="str">
        <f t="shared" ref="D707:D770" si="25">IF(B707=$M$13,A707,"0")</f>
        <v>0</v>
      </c>
    </row>
    <row r="708" spans="1:4" x14ac:dyDescent="0.3">
      <c r="A708" s="3">
        <v>45550.604166666664</v>
      </c>
      <c r="B708" s="1">
        <v>23.5</v>
      </c>
      <c r="C708" s="7" t="str">
        <f t="shared" si="24"/>
        <v>0</v>
      </c>
      <c r="D708" s="7" t="str">
        <f t="shared" si="25"/>
        <v>0</v>
      </c>
    </row>
    <row r="709" spans="1:4" x14ac:dyDescent="0.3">
      <c r="A709" s="3">
        <v>45550.625</v>
      </c>
      <c r="B709" s="1">
        <v>23.6</v>
      </c>
      <c r="C709" s="7" t="str">
        <f t="shared" si="24"/>
        <v>0</v>
      </c>
      <c r="D709" s="7" t="str">
        <f t="shared" si="25"/>
        <v>0</v>
      </c>
    </row>
    <row r="710" spans="1:4" x14ac:dyDescent="0.3">
      <c r="A710" s="3">
        <v>45550.645833333336</v>
      </c>
      <c r="B710" s="1">
        <v>23.3</v>
      </c>
      <c r="C710" s="7" t="str">
        <f t="shared" si="24"/>
        <v>0</v>
      </c>
      <c r="D710" s="7" t="str">
        <f t="shared" si="25"/>
        <v>0</v>
      </c>
    </row>
    <row r="711" spans="1:4" x14ac:dyDescent="0.3">
      <c r="A711" s="3">
        <v>45550.666666666664</v>
      </c>
      <c r="B711" s="1">
        <v>23.3</v>
      </c>
      <c r="C711" s="7" t="str">
        <f t="shared" si="24"/>
        <v>0</v>
      </c>
      <c r="D711" s="7" t="str">
        <f t="shared" si="25"/>
        <v>0</v>
      </c>
    </row>
    <row r="712" spans="1:4" x14ac:dyDescent="0.3">
      <c r="A712" s="3">
        <v>45550.6875</v>
      </c>
      <c r="B712" s="1">
        <v>23.3</v>
      </c>
      <c r="C712" s="7" t="str">
        <f t="shared" si="24"/>
        <v>0</v>
      </c>
      <c r="D712" s="7" t="str">
        <f t="shared" si="25"/>
        <v>0</v>
      </c>
    </row>
    <row r="713" spans="1:4" x14ac:dyDescent="0.3">
      <c r="A713" s="3">
        <v>45550.708333333336</v>
      </c>
      <c r="B713" s="1">
        <v>22.8</v>
      </c>
      <c r="C713" s="7" t="str">
        <f t="shared" si="24"/>
        <v>0</v>
      </c>
      <c r="D713" s="7" t="str">
        <f t="shared" si="25"/>
        <v>0</v>
      </c>
    </row>
    <row r="714" spans="1:4" x14ac:dyDescent="0.3">
      <c r="A714" s="3">
        <v>45550.729166666664</v>
      </c>
      <c r="B714" s="1">
        <v>22.3</v>
      </c>
      <c r="C714" s="7" t="str">
        <f t="shared" si="24"/>
        <v>0</v>
      </c>
      <c r="D714" s="7" t="str">
        <f t="shared" si="25"/>
        <v>0</v>
      </c>
    </row>
    <row r="715" spans="1:4" x14ac:dyDescent="0.3">
      <c r="A715" s="3">
        <v>45550.75</v>
      </c>
      <c r="B715" s="1">
        <v>22.1</v>
      </c>
      <c r="C715" s="7" t="str">
        <f t="shared" si="24"/>
        <v>0</v>
      </c>
      <c r="D715" s="7" t="str">
        <f t="shared" si="25"/>
        <v>0</v>
      </c>
    </row>
    <row r="716" spans="1:4" x14ac:dyDescent="0.3">
      <c r="A716" s="3">
        <v>45550.770833333336</v>
      </c>
      <c r="B716" s="1">
        <v>21.8</v>
      </c>
      <c r="C716" s="7" t="str">
        <f t="shared" si="24"/>
        <v>0</v>
      </c>
      <c r="D716" s="7" t="str">
        <f t="shared" si="25"/>
        <v>0</v>
      </c>
    </row>
    <row r="717" spans="1:4" x14ac:dyDescent="0.3">
      <c r="A717" s="3">
        <v>45550.791666666664</v>
      </c>
      <c r="B717" s="1">
        <v>21.6</v>
      </c>
      <c r="C717" s="7" t="str">
        <f t="shared" si="24"/>
        <v>0</v>
      </c>
      <c r="D717" s="7" t="str">
        <f t="shared" si="25"/>
        <v>0</v>
      </c>
    </row>
    <row r="718" spans="1:4" x14ac:dyDescent="0.3">
      <c r="A718" s="3">
        <v>45550.8125</v>
      </c>
      <c r="B718" s="1">
        <v>21.4</v>
      </c>
      <c r="C718" s="7" t="str">
        <f t="shared" si="24"/>
        <v>0</v>
      </c>
      <c r="D718" s="7" t="str">
        <f t="shared" si="25"/>
        <v>0</v>
      </c>
    </row>
    <row r="719" spans="1:4" x14ac:dyDescent="0.3">
      <c r="A719" s="3">
        <v>45550.833333333336</v>
      </c>
      <c r="B719" s="1">
        <v>21.3</v>
      </c>
      <c r="C719" s="7" t="str">
        <f t="shared" si="24"/>
        <v>0</v>
      </c>
      <c r="D719" s="7" t="str">
        <f t="shared" si="25"/>
        <v>0</v>
      </c>
    </row>
    <row r="720" spans="1:4" x14ac:dyDescent="0.3">
      <c r="A720" s="3">
        <v>45550.854166666664</v>
      </c>
      <c r="B720" s="1">
        <v>21.2</v>
      </c>
      <c r="C720" s="7" t="str">
        <f t="shared" si="24"/>
        <v>0</v>
      </c>
      <c r="D720" s="7" t="str">
        <f t="shared" si="25"/>
        <v>0</v>
      </c>
    </row>
    <row r="721" spans="1:4" x14ac:dyDescent="0.3">
      <c r="A721" s="3">
        <v>45550.875</v>
      </c>
      <c r="B721" s="1">
        <v>21</v>
      </c>
      <c r="C721" s="7" t="str">
        <f t="shared" si="24"/>
        <v>0</v>
      </c>
      <c r="D721" s="7" t="str">
        <f t="shared" si="25"/>
        <v>0</v>
      </c>
    </row>
    <row r="722" spans="1:4" x14ac:dyDescent="0.3">
      <c r="A722" s="3">
        <v>45550.895833333336</v>
      </c>
      <c r="B722" s="1">
        <v>20.8</v>
      </c>
      <c r="C722" s="7" t="str">
        <f t="shared" si="24"/>
        <v>0</v>
      </c>
      <c r="D722" s="7" t="str">
        <f t="shared" si="25"/>
        <v>0</v>
      </c>
    </row>
    <row r="723" spans="1:4" x14ac:dyDescent="0.3">
      <c r="A723" s="3">
        <v>45550.916666666664</v>
      </c>
      <c r="B723" s="1">
        <v>20.5</v>
      </c>
      <c r="C723" s="7" t="str">
        <f t="shared" si="24"/>
        <v>0</v>
      </c>
      <c r="D723" s="7" t="str">
        <f t="shared" si="25"/>
        <v>0</v>
      </c>
    </row>
    <row r="724" spans="1:4" x14ac:dyDescent="0.3">
      <c r="A724" s="3">
        <v>45550.9375</v>
      </c>
      <c r="B724" s="1">
        <v>20</v>
      </c>
      <c r="C724" s="7" t="str">
        <f t="shared" si="24"/>
        <v>0</v>
      </c>
      <c r="D724" s="7" t="str">
        <f t="shared" si="25"/>
        <v>0</v>
      </c>
    </row>
    <row r="725" spans="1:4" x14ac:dyDescent="0.3">
      <c r="A725" s="3">
        <v>45550.958333333336</v>
      </c>
      <c r="B725" s="1">
        <v>19.600000000000001</v>
      </c>
      <c r="C725" s="7" t="str">
        <f t="shared" si="24"/>
        <v>0</v>
      </c>
      <c r="D725" s="7" t="str">
        <f t="shared" si="25"/>
        <v>0</v>
      </c>
    </row>
    <row r="726" spans="1:4" x14ac:dyDescent="0.3">
      <c r="A726" s="3">
        <v>45550.979166666664</v>
      </c>
      <c r="B726" s="1">
        <v>19.100000000000001</v>
      </c>
      <c r="C726" s="7" t="str">
        <f t="shared" si="24"/>
        <v>0</v>
      </c>
      <c r="D726" s="7" t="str">
        <f t="shared" si="25"/>
        <v>0</v>
      </c>
    </row>
    <row r="727" spans="1:4" x14ac:dyDescent="0.3">
      <c r="A727" s="3">
        <v>45551</v>
      </c>
      <c r="B727" s="1">
        <v>18.7</v>
      </c>
      <c r="C727" s="7" t="str">
        <f t="shared" si="24"/>
        <v>0</v>
      </c>
      <c r="D727" s="7" t="str">
        <f t="shared" si="25"/>
        <v>0</v>
      </c>
    </row>
    <row r="728" spans="1:4" x14ac:dyDescent="0.3">
      <c r="A728" s="3">
        <v>45551.020833333336</v>
      </c>
      <c r="B728" s="1">
        <v>19.2</v>
      </c>
      <c r="C728" s="7" t="str">
        <f t="shared" si="24"/>
        <v>0</v>
      </c>
      <c r="D728" s="7" t="str">
        <f t="shared" si="25"/>
        <v>0</v>
      </c>
    </row>
    <row r="729" spans="1:4" x14ac:dyDescent="0.3">
      <c r="A729" s="3">
        <v>45551.041666666664</v>
      </c>
      <c r="B729" s="1">
        <v>18.399999999999999</v>
      </c>
      <c r="C729" s="7" t="str">
        <f t="shared" si="24"/>
        <v>0</v>
      </c>
      <c r="D729" s="7" t="str">
        <f t="shared" si="25"/>
        <v>0</v>
      </c>
    </row>
    <row r="730" spans="1:4" x14ac:dyDescent="0.3">
      <c r="A730" s="3">
        <v>45551.0625</v>
      </c>
      <c r="B730" s="1">
        <v>16.899999999999999</v>
      </c>
      <c r="C730" s="7" t="str">
        <f t="shared" si="24"/>
        <v>0</v>
      </c>
      <c r="D730" s="7" t="str">
        <f t="shared" si="25"/>
        <v>0</v>
      </c>
    </row>
    <row r="731" spans="1:4" x14ac:dyDescent="0.3">
      <c r="A731" s="3">
        <v>45551.083333333336</v>
      </c>
      <c r="B731" s="1">
        <v>17</v>
      </c>
      <c r="C731" s="7" t="str">
        <f t="shared" si="24"/>
        <v>0</v>
      </c>
      <c r="D731" s="7" t="str">
        <f t="shared" si="25"/>
        <v>0</v>
      </c>
    </row>
    <row r="732" spans="1:4" x14ac:dyDescent="0.3">
      <c r="A732" s="3">
        <v>45551.104166666664</v>
      </c>
      <c r="B732" s="1">
        <v>16.7</v>
      </c>
      <c r="C732" s="7" t="str">
        <f t="shared" si="24"/>
        <v>0</v>
      </c>
      <c r="D732" s="7" t="str">
        <f t="shared" si="25"/>
        <v>0</v>
      </c>
    </row>
    <row r="733" spans="1:4" x14ac:dyDescent="0.3">
      <c r="A733" s="3">
        <v>45551.125</v>
      </c>
      <c r="B733" s="1">
        <v>16.7</v>
      </c>
      <c r="C733" s="7" t="str">
        <f t="shared" si="24"/>
        <v>0</v>
      </c>
      <c r="D733" s="7" t="str">
        <f t="shared" si="25"/>
        <v>0</v>
      </c>
    </row>
    <row r="734" spans="1:4" x14ac:dyDescent="0.3">
      <c r="A734" s="3">
        <v>45551.145833333336</v>
      </c>
      <c r="B734" s="1">
        <v>16.5</v>
      </c>
      <c r="C734" s="7" t="str">
        <f t="shared" si="24"/>
        <v>0</v>
      </c>
      <c r="D734" s="7" t="str">
        <f t="shared" si="25"/>
        <v>0</v>
      </c>
    </row>
    <row r="735" spans="1:4" x14ac:dyDescent="0.3">
      <c r="A735" s="3">
        <v>45551.166666666664</v>
      </c>
      <c r="B735" s="1">
        <v>16.5</v>
      </c>
      <c r="C735" s="7" t="str">
        <f t="shared" si="24"/>
        <v>0</v>
      </c>
      <c r="D735" s="7" t="str">
        <f t="shared" si="25"/>
        <v>0</v>
      </c>
    </row>
    <row r="736" spans="1:4" x14ac:dyDescent="0.3">
      <c r="A736" s="3">
        <v>45551.1875</v>
      </c>
      <c r="B736" s="1">
        <v>16.5</v>
      </c>
      <c r="C736" s="7" t="str">
        <f t="shared" si="24"/>
        <v>0</v>
      </c>
      <c r="D736" s="7" t="str">
        <f t="shared" si="25"/>
        <v>0</v>
      </c>
    </row>
    <row r="737" spans="1:4" x14ac:dyDescent="0.3">
      <c r="A737" s="3">
        <v>45551.208333333336</v>
      </c>
      <c r="B737" s="1">
        <v>16.7</v>
      </c>
      <c r="C737" s="7" t="str">
        <f t="shared" si="24"/>
        <v>0</v>
      </c>
      <c r="D737" s="7" t="str">
        <f t="shared" si="25"/>
        <v>0</v>
      </c>
    </row>
    <row r="738" spans="1:4" x14ac:dyDescent="0.3">
      <c r="A738" s="3">
        <v>45551.229166666664</v>
      </c>
      <c r="B738" s="1">
        <v>17.3</v>
      </c>
      <c r="C738" s="7" t="str">
        <f t="shared" si="24"/>
        <v>0</v>
      </c>
      <c r="D738" s="7" t="str">
        <f t="shared" si="25"/>
        <v>0</v>
      </c>
    </row>
    <row r="739" spans="1:4" x14ac:dyDescent="0.3">
      <c r="A739" s="3">
        <v>45551.25</v>
      </c>
      <c r="B739" s="1">
        <v>17.5</v>
      </c>
      <c r="C739" s="7" t="str">
        <f t="shared" si="24"/>
        <v>0</v>
      </c>
      <c r="D739" s="7" t="str">
        <f t="shared" si="25"/>
        <v>0</v>
      </c>
    </row>
    <row r="740" spans="1:4" x14ac:dyDescent="0.3">
      <c r="A740" s="3">
        <v>45551.270833333336</v>
      </c>
      <c r="B740" s="1">
        <v>17.5</v>
      </c>
      <c r="C740" s="7" t="str">
        <f t="shared" si="24"/>
        <v>0</v>
      </c>
      <c r="D740" s="7" t="str">
        <f t="shared" si="25"/>
        <v>0</v>
      </c>
    </row>
    <row r="741" spans="1:4" x14ac:dyDescent="0.3">
      <c r="A741" s="3">
        <v>45551.291666666664</v>
      </c>
      <c r="B741" s="1">
        <v>17.899999999999999</v>
      </c>
      <c r="C741" s="7" t="str">
        <f t="shared" si="24"/>
        <v>0</v>
      </c>
      <c r="D741" s="7" t="str">
        <f t="shared" si="25"/>
        <v>0</v>
      </c>
    </row>
    <row r="742" spans="1:4" x14ac:dyDescent="0.3">
      <c r="A742" s="3">
        <v>45551.3125</v>
      </c>
      <c r="B742" s="1">
        <v>18.5</v>
      </c>
      <c r="C742" s="7" t="str">
        <f t="shared" si="24"/>
        <v>0</v>
      </c>
      <c r="D742" s="7" t="str">
        <f t="shared" si="25"/>
        <v>0</v>
      </c>
    </row>
    <row r="743" spans="1:4" x14ac:dyDescent="0.3">
      <c r="A743" s="3">
        <v>45551.333333333336</v>
      </c>
      <c r="B743" s="1">
        <v>19.2</v>
      </c>
      <c r="C743" s="7" t="str">
        <f t="shared" si="24"/>
        <v>0</v>
      </c>
      <c r="D743" s="7" t="str">
        <f t="shared" si="25"/>
        <v>0</v>
      </c>
    </row>
    <row r="744" spans="1:4" x14ac:dyDescent="0.3">
      <c r="A744" s="3">
        <v>45551.354166666664</v>
      </c>
      <c r="B744" s="1">
        <v>19.8</v>
      </c>
      <c r="C744" s="7" t="str">
        <f t="shared" si="24"/>
        <v>0</v>
      </c>
      <c r="D744" s="7" t="str">
        <f t="shared" si="25"/>
        <v>0</v>
      </c>
    </row>
    <row r="745" spans="1:4" x14ac:dyDescent="0.3">
      <c r="A745" s="3">
        <v>45551.375</v>
      </c>
      <c r="B745" s="1">
        <v>20.5</v>
      </c>
      <c r="C745" s="7" t="str">
        <f t="shared" si="24"/>
        <v>0</v>
      </c>
      <c r="D745" s="7" t="str">
        <f t="shared" si="25"/>
        <v>0</v>
      </c>
    </row>
    <row r="746" spans="1:4" x14ac:dyDescent="0.3">
      <c r="A746" s="3">
        <v>45551.395833333336</v>
      </c>
      <c r="B746" s="1">
        <v>21.3</v>
      </c>
      <c r="C746" s="7" t="str">
        <f t="shared" si="24"/>
        <v>0</v>
      </c>
      <c r="D746" s="7" t="str">
        <f t="shared" si="25"/>
        <v>0</v>
      </c>
    </row>
    <row r="747" spans="1:4" x14ac:dyDescent="0.3">
      <c r="A747" s="3">
        <v>45551.416666666664</v>
      </c>
      <c r="B747" s="1">
        <v>21.9</v>
      </c>
      <c r="C747" s="7" t="str">
        <f t="shared" si="24"/>
        <v>0</v>
      </c>
      <c r="D747" s="7" t="str">
        <f t="shared" si="25"/>
        <v>0</v>
      </c>
    </row>
    <row r="748" spans="1:4" x14ac:dyDescent="0.3">
      <c r="A748" s="3">
        <v>45551.4375</v>
      </c>
      <c r="B748" s="1">
        <v>22.3</v>
      </c>
      <c r="C748" s="7" t="str">
        <f t="shared" si="24"/>
        <v>0</v>
      </c>
      <c r="D748" s="7" t="str">
        <f t="shared" si="25"/>
        <v>0</v>
      </c>
    </row>
    <row r="749" spans="1:4" x14ac:dyDescent="0.3">
      <c r="A749" s="3">
        <v>45551.458333333336</v>
      </c>
      <c r="B749" s="1">
        <v>23</v>
      </c>
      <c r="C749" s="7" t="str">
        <f t="shared" si="24"/>
        <v>0</v>
      </c>
      <c r="D749" s="7" t="str">
        <f t="shared" si="25"/>
        <v>0</v>
      </c>
    </row>
    <row r="750" spans="1:4" x14ac:dyDescent="0.3">
      <c r="A750" s="3">
        <v>45551.479166666664</v>
      </c>
      <c r="B750" s="1">
        <v>23.5</v>
      </c>
      <c r="C750" s="7" t="str">
        <f t="shared" si="24"/>
        <v>0</v>
      </c>
      <c r="D750" s="7" t="str">
        <f t="shared" si="25"/>
        <v>0</v>
      </c>
    </row>
    <row r="751" spans="1:4" x14ac:dyDescent="0.3">
      <c r="A751" s="3">
        <v>45551.5</v>
      </c>
      <c r="B751" s="1">
        <v>24.2</v>
      </c>
      <c r="C751" s="7" t="str">
        <f t="shared" si="24"/>
        <v>0</v>
      </c>
      <c r="D751" s="7" t="str">
        <f t="shared" si="25"/>
        <v>0</v>
      </c>
    </row>
    <row r="752" spans="1:4" x14ac:dyDescent="0.3">
      <c r="A752" s="3">
        <v>45551.520833333336</v>
      </c>
      <c r="B752" s="1">
        <v>24</v>
      </c>
      <c r="C752" s="7" t="str">
        <f t="shared" si="24"/>
        <v>0</v>
      </c>
      <c r="D752" s="7" t="str">
        <f t="shared" si="25"/>
        <v>0</v>
      </c>
    </row>
    <row r="753" spans="1:4" x14ac:dyDescent="0.3">
      <c r="A753" s="3">
        <v>45551.541666666664</v>
      </c>
      <c r="B753" s="1">
        <v>24.1</v>
      </c>
      <c r="C753" s="7" t="str">
        <f t="shared" si="24"/>
        <v>0</v>
      </c>
      <c r="D753" s="7" t="str">
        <f t="shared" si="25"/>
        <v>0</v>
      </c>
    </row>
    <row r="754" spans="1:4" x14ac:dyDescent="0.3">
      <c r="A754" s="3">
        <v>45551.5625</v>
      </c>
      <c r="B754" s="1">
        <v>24.1</v>
      </c>
      <c r="C754" s="7" t="str">
        <f t="shared" si="24"/>
        <v>0</v>
      </c>
      <c r="D754" s="7" t="str">
        <f t="shared" si="25"/>
        <v>0</v>
      </c>
    </row>
    <row r="755" spans="1:4" x14ac:dyDescent="0.3">
      <c r="A755" s="3">
        <v>45551.583333333336</v>
      </c>
      <c r="B755" s="1">
        <v>24.3</v>
      </c>
      <c r="C755" s="7" t="str">
        <f t="shared" si="24"/>
        <v>0</v>
      </c>
      <c r="D755" s="7" t="str">
        <f t="shared" si="25"/>
        <v>0</v>
      </c>
    </row>
    <row r="756" spans="1:4" x14ac:dyDescent="0.3">
      <c r="A756" s="3">
        <v>45551.604166666664</v>
      </c>
      <c r="B756" s="1">
        <v>24.5</v>
      </c>
      <c r="C756" s="7" t="str">
        <f t="shared" si="24"/>
        <v>0</v>
      </c>
      <c r="D756" s="7" t="str">
        <f t="shared" si="25"/>
        <v>0</v>
      </c>
    </row>
    <row r="757" spans="1:4" x14ac:dyDescent="0.3">
      <c r="A757" s="3">
        <v>45551.625</v>
      </c>
      <c r="B757" s="1">
        <v>24.4</v>
      </c>
      <c r="C757" s="7" t="str">
        <f t="shared" si="24"/>
        <v>0</v>
      </c>
      <c r="D757" s="7" t="str">
        <f t="shared" si="25"/>
        <v>0</v>
      </c>
    </row>
    <row r="758" spans="1:4" x14ac:dyDescent="0.3">
      <c r="A758" s="3">
        <v>45551.645833333336</v>
      </c>
      <c r="B758" s="1">
        <v>24.7</v>
      </c>
      <c r="C758" s="7" t="str">
        <f t="shared" si="24"/>
        <v>0</v>
      </c>
      <c r="D758" s="7" t="str">
        <f t="shared" si="25"/>
        <v>0</v>
      </c>
    </row>
    <row r="759" spans="1:4" x14ac:dyDescent="0.3">
      <c r="A759" s="3">
        <v>45551.666666666664</v>
      </c>
      <c r="B759" s="1">
        <v>23.5</v>
      </c>
      <c r="C759" s="7" t="str">
        <f t="shared" si="24"/>
        <v>0</v>
      </c>
      <c r="D759" s="7" t="str">
        <f t="shared" si="25"/>
        <v>0</v>
      </c>
    </row>
    <row r="760" spans="1:4" x14ac:dyDescent="0.3">
      <c r="A760" s="3">
        <v>45551.6875</v>
      </c>
      <c r="B760" s="1">
        <v>23</v>
      </c>
      <c r="C760" s="7" t="str">
        <f t="shared" si="24"/>
        <v>0</v>
      </c>
      <c r="D760" s="7" t="str">
        <f t="shared" si="25"/>
        <v>0</v>
      </c>
    </row>
    <row r="761" spans="1:4" x14ac:dyDescent="0.3">
      <c r="A761" s="3">
        <v>45551.708333333336</v>
      </c>
      <c r="B761" s="1">
        <v>22.8</v>
      </c>
      <c r="C761" s="7" t="str">
        <f t="shared" si="24"/>
        <v>0</v>
      </c>
      <c r="D761" s="7" t="str">
        <f t="shared" si="25"/>
        <v>0</v>
      </c>
    </row>
    <row r="762" spans="1:4" x14ac:dyDescent="0.3">
      <c r="A762" s="3">
        <v>45551.729166666664</v>
      </c>
      <c r="B762" s="1">
        <v>22.5</v>
      </c>
      <c r="C762" s="7" t="str">
        <f t="shared" si="24"/>
        <v>0</v>
      </c>
      <c r="D762" s="7" t="str">
        <f t="shared" si="25"/>
        <v>0</v>
      </c>
    </row>
    <row r="763" spans="1:4" x14ac:dyDescent="0.3">
      <c r="A763" s="3">
        <v>45551.75</v>
      </c>
      <c r="B763" s="1">
        <v>21.7</v>
      </c>
      <c r="C763" s="7" t="str">
        <f t="shared" si="24"/>
        <v>0</v>
      </c>
      <c r="D763" s="7" t="str">
        <f t="shared" si="25"/>
        <v>0</v>
      </c>
    </row>
    <row r="764" spans="1:4" x14ac:dyDescent="0.3">
      <c r="A764" s="3">
        <v>45551.770833333336</v>
      </c>
      <c r="B764" s="1">
        <v>21</v>
      </c>
      <c r="C764" s="7" t="str">
        <f t="shared" si="24"/>
        <v>0</v>
      </c>
      <c r="D764" s="7" t="str">
        <f t="shared" si="25"/>
        <v>0</v>
      </c>
    </row>
    <row r="765" spans="1:4" x14ac:dyDescent="0.3">
      <c r="A765" s="3">
        <v>45551.791666666664</v>
      </c>
      <c r="B765" s="1">
        <v>20.9</v>
      </c>
      <c r="C765" s="7" t="str">
        <f t="shared" si="24"/>
        <v>0</v>
      </c>
      <c r="D765" s="7" t="str">
        <f t="shared" si="25"/>
        <v>0</v>
      </c>
    </row>
    <row r="766" spans="1:4" x14ac:dyDescent="0.3">
      <c r="A766" s="3">
        <v>45551.8125</v>
      </c>
      <c r="B766" s="1">
        <v>20.3</v>
      </c>
      <c r="C766" s="7" t="str">
        <f t="shared" si="24"/>
        <v>0</v>
      </c>
      <c r="D766" s="7" t="str">
        <f t="shared" si="25"/>
        <v>0</v>
      </c>
    </row>
    <row r="767" spans="1:4" x14ac:dyDescent="0.3">
      <c r="A767" s="3">
        <v>45551.833333333336</v>
      </c>
      <c r="B767" s="1">
        <v>20.3</v>
      </c>
      <c r="C767" s="7" t="str">
        <f t="shared" si="24"/>
        <v>0</v>
      </c>
      <c r="D767" s="7" t="str">
        <f t="shared" si="25"/>
        <v>0</v>
      </c>
    </row>
    <row r="768" spans="1:4" x14ac:dyDescent="0.3">
      <c r="A768" s="3">
        <v>45551.854166666664</v>
      </c>
      <c r="B768" s="1">
        <v>20.100000000000001</v>
      </c>
      <c r="C768" s="7" t="str">
        <f t="shared" si="24"/>
        <v>0</v>
      </c>
      <c r="D768" s="7" t="str">
        <f t="shared" si="25"/>
        <v>0</v>
      </c>
    </row>
    <row r="769" spans="1:4" x14ac:dyDescent="0.3">
      <c r="A769" s="3">
        <v>45551.875</v>
      </c>
      <c r="B769" s="1">
        <v>19.3</v>
      </c>
      <c r="C769" s="7" t="str">
        <f t="shared" si="24"/>
        <v>0</v>
      </c>
      <c r="D769" s="7" t="str">
        <f t="shared" si="25"/>
        <v>0</v>
      </c>
    </row>
    <row r="770" spans="1:4" x14ac:dyDescent="0.3">
      <c r="A770" s="3">
        <v>45551.895833333336</v>
      </c>
      <c r="B770" s="1">
        <v>18.399999999999999</v>
      </c>
      <c r="C770" s="7" t="str">
        <f t="shared" si="24"/>
        <v>0</v>
      </c>
      <c r="D770" s="7" t="str">
        <f t="shared" si="25"/>
        <v>0</v>
      </c>
    </row>
    <row r="771" spans="1:4" x14ac:dyDescent="0.3">
      <c r="A771" s="3">
        <v>45551.916666666664</v>
      </c>
      <c r="B771" s="1">
        <v>18.3</v>
      </c>
      <c r="C771" s="7" t="str">
        <f t="shared" ref="C771:C834" si="26">IF(B771=$P$13,A771,"0")</f>
        <v>0</v>
      </c>
      <c r="D771" s="7" t="str">
        <f t="shared" ref="D771:D834" si="27">IF(B771=$M$13,A771,"0")</f>
        <v>0</v>
      </c>
    </row>
    <row r="772" spans="1:4" x14ac:dyDescent="0.3">
      <c r="A772" s="3">
        <v>45551.9375</v>
      </c>
      <c r="B772" s="1">
        <v>18.8</v>
      </c>
      <c r="C772" s="7" t="str">
        <f t="shared" si="26"/>
        <v>0</v>
      </c>
      <c r="D772" s="7" t="str">
        <f t="shared" si="27"/>
        <v>0</v>
      </c>
    </row>
    <row r="773" spans="1:4" x14ac:dyDescent="0.3">
      <c r="A773" s="3">
        <v>45551.958333333336</v>
      </c>
      <c r="B773" s="1">
        <v>18.600000000000001</v>
      </c>
      <c r="C773" s="7" t="str">
        <f t="shared" si="26"/>
        <v>0</v>
      </c>
      <c r="D773" s="7" t="str">
        <f t="shared" si="27"/>
        <v>0</v>
      </c>
    </row>
    <row r="774" spans="1:4" x14ac:dyDescent="0.3">
      <c r="A774" s="3">
        <v>45551.979166666664</v>
      </c>
      <c r="B774" s="1">
        <v>18.600000000000001</v>
      </c>
      <c r="C774" s="7" t="str">
        <f t="shared" si="26"/>
        <v>0</v>
      </c>
      <c r="D774" s="7" t="str">
        <f t="shared" si="27"/>
        <v>0</v>
      </c>
    </row>
    <row r="775" spans="1:4" x14ac:dyDescent="0.3">
      <c r="A775" s="3">
        <v>45552</v>
      </c>
      <c r="B775" s="1">
        <v>18.7</v>
      </c>
      <c r="C775" s="7" t="str">
        <f t="shared" si="26"/>
        <v>0</v>
      </c>
      <c r="D775" s="7" t="str">
        <f t="shared" si="27"/>
        <v>0</v>
      </c>
    </row>
    <row r="776" spans="1:4" x14ac:dyDescent="0.3">
      <c r="A776" s="3">
        <v>45552.020833333336</v>
      </c>
      <c r="B776" s="1">
        <v>18.899999999999999</v>
      </c>
      <c r="C776" s="7" t="str">
        <f t="shared" si="26"/>
        <v>0</v>
      </c>
      <c r="D776" s="7" t="str">
        <f t="shared" si="27"/>
        <v>0</v>
      </c>
    </row>
    <row r="777" spans="1:4" x14ac:dyDescent="0.3">
      <c r="A777" s="3">
        <v>45552.041666666664</v>
      </c>
      <c r="B777" s="1">
        <v>18.8</v>
      </c>
      <c r="C777" s="7" t="str">
        <f t="shared" si="26"/>
        <v>0</v>
      </c>
      <c r="D777" s="7" t="str">
        <f t="shared" si="27"/>
        <v>0</v>
      </c>
    </row>
    <row r="778" spans="1:4" x14ac:dyDescent="0.3">
      <c r="A778" s="3">
        <v>45552.0625</v>
      </c>
      <c r="B778" s="1">
        <v>18.3</v>
      </c>
      <c r="C778" s="7" t="str">
        <f t="shared" si="26"/>
        <v>0</v>
      </c>
      <c r="D778" s="7" t="str">
        <f t="shared" si="27"/>
        <v>0</v>
      </c>
    </row>
    <row r="779" spans="1:4" x14ac:dyDescent="0.3">
      <c r="A779" s="3">
        <v>45552.083333333336</v>
      </c>
      <c r="B779" s="1">
        <v>17.8</v>
      </c>
      <c r="C779" s="7" t="str">
        <f t="shared" si="26"/>
        <v>0</v>
      </c>
      <c r="D779" s="7" t="str">
        <f t="shared" si="27"/>
        <v>0</v>
      </c>
    </row>
    <row r="780" spans="1:4" x14ac:dyDescent="0.3">
      <c r="A780" s="3">
        <v>45552.104166666664</v>
      </c>
      <c r="B780" s="1">
        <v>17.2</v>
      </c>
      <c r="C780" s="7" t="str">
        <f t="shared" si="26"/>
        <v>0</v>
      </c>
      <c r="D780" s="7" t="str">
        <f t="shared" si="27"/>
        <v>0</v>
      </c>
    </row>
    <row r="781" spans="1:4" x14ac:dyDescent="0.3">
      <c r="A781" s="3">
        <v>45552.125</v>
      </c>
      <c r="B781" s="1">
        <v>16.8</v>
      </c>
      <c r="C781" s="7" t="str">
        <f t="shared" si="26"/>
        <v>0</v>
      </c>
      <c r="D781" s="7" t="str">
        <f t="shared" si="27"/>
        <v>0</v>
      </c>
    </row>
    <row r="782" spans="1:4" x14ac:dyDescent="0.3">
      <c r="A782" s="3">
        <v>45552.145833333336</v>
      </c>
      <c r="B782" s="1">
        <v>16.5</v>
      </c>
      <c r="C782" s="7" t="str">
        <f t="shared" si="26"/>
        <v>0</v>
      </c>
      <c r="D782" s="7" t="str">
        <f t="shared" si="27"/>
        <v>0</v>
      </c>
    </row>
    <row r="783" spans="1:4" x14ac:dyDescent="0.3">
      <c r="A783" s="3">
        <v>45552.166666666664</v>
      </c>
      <c r="B783" s="1">
        <v>16.2</v>
      </c>
      <c r="C783" s="7" t="str">
        <f t="shared" si="26"/>
        <v>0</v>
      </c>
      <c r="D783" s="7" t="str">
        <f t="shared" si="27"/>
        <v>0</v>
      </c>
    </row>
    <row r="784" spans="1:4" x14ac:dyDescent="0.3">
      <c r="A784" s="3">
        <v>45552.1875</v>
      </c>
      <c r="B784" s="1">
        <v>16.399999999999999</v>
      </c>
      <c r="C784" s="7" t="str">
        <f t="shared" si="26"/>
        <v>0</v>
      </c>
      <c r="D784" s="7" t="str">
        <f t="shared" si="27"/>
        <v>0</v>
      </c>
    </row>
    <row r="785" spans="1:4" x14ac:dyDescent="0.3">
      <c r="A785" s="3">
        <v>45552.208333333336</v>
      </c>
      <c r="B785" s="1">
        <v>16.8</v>
      </c>
      <c r="C785" s="7" t="str">
        <f t="shared" si="26"/>
        <v>0</v>
      </c>
      <c r="D785" s="7" t="str">
        <f t="shared" si="27"/>
        <v>0</v>
      </c>
    </row>
    <row r="786" spans="1:4" x14ac:dyDescent="0.3">
      <c r="A786" s="3">
        <v>45552.229166666664</v>
      </c>
      <c r="B786" s="1">
        <v>16.2</v>
      </c>
      <c r="C786" s="7" t="str">
        <f t="shared" si="26"/>
        <v>0</v>
      </c>
      <c r="D786" s="7" t="str">
        <f t="shared" si="27"/>
        <v>0</v>
      </c>
    </row>
    <row r="787" spans="1:4" x14ac:dyDescent="0.3">
      <c r="A787" s="3">
        <v>45552.25</v>
      </c>
      <c r="B787" s="1">
        <v>15.8</v>
      </c>
      <c r="C787" s="7" t="str">
        <f t="shared" si="26"/>
        <v>0</v>
      </c>
      <c r="D787" s="7" t="str">
        <f t="shared" si="27"/>
        <v>0</v>
      </c>
    </row>
    <row r="788" spans="1:4" x14ac:dyDescent="0.3">
      <c r="A788" s="3">
        <v>45552.270833333336</v>
      </c>
      <c r="B788" s="1">
        <v>15.8</v>
      </c>
      <c r="C788" s="7" t="str">
        <f t="shared" si="26"/>
        <v>0</v>
      </c>
      <c r="D788" s="7" t="str">
        <f t="shared" si="27"/>
        <v>0</v>
      </c>
    </row>
    <row r="789" spans="1:4" x14ac:dyDescent="0.3">
      <c r="A789" s="3">
        <v>45552.291666666664</v>
      </c>
      <c r="B789" s="1">
        <v>15.8</v>
      </c>
      <c r="C789" s="7" t="str">
        <f t="shared" si="26"/>
        <v>0</v>
      </c>
      <c r="D789" s="7" t="str">
        <f t="shared" si="27"/>
        <v>0</v>
      </c>
    </row>
    <row r="790" spans="1:4" x14ac:dyDescent="0.3">
      <c r="A790" s="3">
        <v>45552.3125</v>
      </c>
      <c r="B790" s="1">
        <v>15.6</v>
      </c>
      <c r="C790" s="7" t="str">
        <f t="shared" si="26"/>
        <v>0</v>
      </c>
      <c r="D790" s="7" t="str">
        <f t="shared" si="27"/>
        <v>0</v>
      </c>
    </row>
    <row r="791" spans="1:4" x14ac:dyDescent="0.3">
      <c r="A791" s="3">
        <v>45552.333333333336</v>
      </c>
      <c r="B791" s="1">
        <v>15.7</v>
      </c>
      <c r="C791" s="7" t="str">
        <f t="shared" si="26"/>
        <v>0</v>
      </c>
      <c r="D791" s="7" t="str">
        <f t="shared" si="27"/>
        <v>0</v>
      </c>
    </row>
    <row r="792" spans="1:4" x14ac:dyDescent="0.3">
      <c r="A792" s="3">
        <v>45552.354166666664</v>
      </c>
      <c r="B792" s="1">
        <v>15.5</v>
      </c>
      <c r="C792" s="7" t="str">
        <f t="shared" si="26"/>
        <v>0</v>
      </c>
      <c r="D792" s="7" t="str">
        <f t="shared" si="27"/>
        <v>0</v>
      </c>
    </row>
    <row r="793" spans="1:4" x14ac:dyDescent="0.3">
      <c r="A793" s="3">
        <v>45552.375</v>
      </c>
      <c r="B793" s="1">
        <v>15.6</v>
      </c>
      <c r="C793" s="7" t="str">
        <f t="shared" si="26"/>
        <v>0</v>
      </c>
      <c r="D793" s="7" t="str">
        <f t="shared" si="27"/>
        <v>0</v>
      </c>
    </row>
    <row r="794" spans="1:4" x14ac:dyDescent="0.3">
      <c r="A794" s="3">
        <v>45552.395833333336</v>
      </c>
      <c r="B794" s="1">
        <v>15.9</v>
      </c>
      <c r="C794" s="7" t="str">
        <f t="shared" si="26"/>
        <v>0</v>
      </c>
      <c r="D794" s="7" t="str">
        <f t="shared" si="27"/>
        <v>0</v>
      </c>
    </row>
    <row r="795" spans="1:4" x14ac:dyDescent="0.3">
      <c r="A795" s="3">
        <v>45552.416666666664</v>
      </c>
      <c r="B795" s="1">
        <v>16.100000000000001</v>
      </c>
      <c r="C795" s="7" t="str">
        <f t="shared" si="26"/>
        <v>0</v>
      </c>
      <c r="D795" s="7" t="str">
        <f t="shared" si="27"/>
        <v>0</v>
      </c>
    </row>
    <row r="796" spans="1:4" x14ac:dyDescent="0.3">
      <c r="A796" s="3">
        <v>45552.4375</v>
      </c>
      <c r="B796" s="1">
        <v>16.600000000000001</v>
      </c>
      <c r="C796" s="7" t="str">
        <f t="shared" si="26"/>
        <v>0</v>
      </c>
      <c r="D796" s="7" t="str">
        <f t="shared" si="27"/>
        <v>0</v>
      </c>
    </row>
    <row r="797" spans="1:4" x14ac:dyDescent="0.3">
      <c r="A797" s="3">
        <v>45552.458333333336</v>
      </c>
      <c r="B797" s="1">
        <v>17.100000000000001</v>
      </c>
      <c r="C797" s="7" t="str">
        <f t="shared" si="26"/>
        <v>0</v>
      </c>
      <c r="D797" s="7" t="str">
        <f t="shared" si="27"/>
        <v>0</v>
      </c>
    </row>
    <row r="798" spans="1:4" x14ac:dyDescent="0.3">
      <c r="A798" s="3">
        <v>45552.479166666664</v>
      </c>
      <c r="B798" s="1">
        <v>17.2</v>
      </c>
      <c r="C798" s="7" t="str">
        <f t="shared" si="26"/>
        <v>0</v>
      </c>
      <c r="D798" s="7" t="str">
        <f t="shared" si="27"/>
        <v>0</v>
      </c>
    </row>
    <row r="799" spans="1:4" x14ac:dyDescent="0.3">
      <c r="A799" s="3">
        <v>45552.5</v>
      </c>
      <c r="B799" s="1">
        <v>17.100000000000001</v>
      </c>
      <c r="C799" s="7" t="str">
        <f t="shared" si="26"/>
        <v>0</v>
      </c>
      <c r="D799" s="7" t="str">
        <f t="shared" si="27"/>
        <v>0</v>
      </c>
    </row>
    <row r="800" spans="1:4" x14ac:dyDescent="0.3">
      <c r="A800" s="3">
        <v>45552.520833333336</v>
      </c>
      <c r="B800" s="1">
        <v>17.5</v>
      </c>
      <c r="C800" s="7" t="str">
        <f t="shared" si="26"/>
        <v>0</v>
      </c>
      <c r="D800" s="7" t="str">
        <f t="shared" si="27"/>
        <v>0</v>
      </c>
    </row>
    <row r="801" spans="1:4" x14ac:dyDescent="0.3">
      <c r="A801" s="3">
        <v>45552.541666666664</v>
      </c>
      <c r="B801" s="1">
        <v>17.8</v>
      </c>
      <c r="C801" s="7" t="str">
        <f t="shared" si="26"/>
        <v>0</v>
      </c>
      <c r="D801" s="7" t="str">
        <f t="shared" si="27"/>
        <v>0</v>
      </c>
    </row>
    <row r="802" spans="1:4" x14ac:dyDescent="0.3">
      <c r="A802" s="3">
        <v>45552.5625</v>
      </c>
      <c r="B802" s="1">
        <v>17.7</v>
      </c>
      <c r="C802" s="7" t="str">
        <f t="shared" si="26"/>
        <v>0</v>
      </c>
      <c r="D802" s="7" t="str">
        <f t="shared" si="27"/>
        <v>0</v>
      </c>
    </row>
    <row r="803" spans="1:4" x14ac:dyDescent="0.3">
      <c r="A803" s="3">
        <v>45552.583333333336</v>
      </c>
      <c r="B803" s="1">
        <v>17.399999999999999</v>
      </c>
      <c r="C803" s="7" t="str">
        <f t="shared" si="26"/>
        <v>0</v>
      </c>
      <c r="D803" s="7" t="str">
        <f t="shared" si="27"/>
        <v>0</v>
      </c>
    </row>
    <row r="804" spans="1:4" x14ac:dyDescent="0.3">
      <c r="A804" s="3">
        <v>45552.604166666664</v>
      </c>
      <c r="B804" s="1">
        <v>17.5</v>
      </c>
      <c r="C804" s="7" t="str">
        <f t="shared" si="26"/>
        <v>0</v>
      </c>
      <c r="D804" s="7" t="str">
        <f t="shared" si="27"/>
        <v>0</v>
      </c>
    </row>
    <row r="805" spans="1:4" x14ac:dyDescent="0.3">
      <c r="A805" s="3">
        <v>45552.625</v>
      </c>
      <c r="B805" s="1">
        <v>17.5</v>
      </c>
      <c r="C805" s="7" t="str">
        <f t="shared" si="26"/>
        <v>0</v>
      </c>
      <c r="D805" s="7" t="str">
        <f t="shared" si="27"/>
        <v>0</v>
      </c>
    </row>
    <row r="806" spans="1:4" x14ac:dyDescent="0.3">
      <c r="A806" s="3">
        <v>45552.645833333336</v>
      </c>
      <c r="B806" s="1">
        <v>17.399999999999999</v>
      </c>
      <c r="C806" s="7" t="str">
        <f t="shared" si="26"/>
        <v>0</v>
      </c>
      <c r="D806" s="7" t="str">
        <f t="shared" si="27"/>
        <v>0</v>
      </c>
    </row>
    <row r="807" spans="1:4" x14ac:dyDescent="0.3">
      <c r="A807" s="3">
        <v>45552.666666666664</v>
      </c>
      <c r="B807" s="1">
        <v>17.3</v>
      </c>
      <c r="C807" s="7" t="str">
        <f t="shared" si="26"/>
        <v>0</v>
      </c>
      <c r="D807" s="7" t="str">
        <f t="shared" si="27"/>
        <v>0</v>
      </c>
    </row>
    <row r="808" spans="1:4" x14ac:dyDescent="0.3">
      <c r="A808" s="3">
        <v>45552.6875</v>
      </c>
      <c r="B808" s="1">
        <v>17.2</v>
      </c>
      <c r="C808" s="7" t="str">
        <f t="shared" si="26"/>
        <v>0</v>
      </c>
      <c r="D808" s="7" t="str">
        <f t="shared" si="27"/>
        <v>0</v>
      </c>
    </row>
    <row r="809" spans="1:4" x14ac:dyDescent="0.3">
      <c r="A809" s="3">
        <v>45552.708333333336</v>
      </c>
      <c r="B809" s="1">
        <v>17.100000000000001</v>
      </c>
      <c r="C809" s="7" t="str">
        <f t="shared" si="26"/>
        <v>0</v>
      </c>
      <c r="D809" s="7" t="str">
        <f t="shared" si="27"/>
        <v>0</v>
      </c>
    </row>
    <row r="810" spans="1:4" x14ac:dyDescent="0.3">
      <c r="A810" s="3">
        <v>45552.729166666664</v>
      </c>
      <c r="B810" s="1">
        <v>16.7</v>
      </c>
      <c r="C810" s="7" t="str">
        <f t="shared" si="26"/>
        <v>0</v>
      </c>
      <c r="D810" s="7" t="str">
        <f t="shared" si="27"/>
        <v>0</v>
      </c>
    </row>
    <row r="811" spans="1:4" x14ac:dyDescent="0.3">
      <c r="A811" s="3">
        <v>45552.75</v>
      </c>
      <c r="B811" s="1">
        <v>16.3</v>
      </c>
      <c r="C811" s="7" t="str">
        <f t="shared" si="26"/>
        <v>0</v>
      </c>
      <c r="D811" s="7" t="str">
        <f t="shared" si="27"/>
        <v>0</v>
      </c>
    </row>
    <row r="812" spans="1:4" x14ac:dyDescent="0.3">
      <c r="A812" s="3">
        <v>45552.770833333336</v>
      </c>
      <c r="B812" s="1">
        <v>16.3</v>
      </c>
      <c r="C812" s="7" t="str">
        <f t="shared" si="26"/>
        <v>0</v>
      </c>
      <c r="D812" s="7" t="str">
        <f t="shared" si="27"/>
        <v>0</v>
      </c>
    </row>
    <row r="813" spans="1:4" x14ac:dyDescent="0.3">
      <c r="A813" s="3">
        <v>45552.791666666664</v>
      </c>
      <c r="B813" s="1">
        <v>16.600000000000001</v>
      </c>
      <c r="C813" s="7" t="str">
        <f t="shared" si="26"/>
        <v>0</v>
      </c>
      <c r="D813" s="7" t="str">
        <f t="shared" si="27"/>
        <v>0</v>
      </c>
    </row>
    <row r="814" spans="1:4" x14ac:dyDescent="0.3">
      <c r="A814" s="3">
        <v>45552.8125</v>
      </c>
      <c r="B814" s="1">
        <v>16.600000000000001</v>
      </c>
      <c r="C814" s="7" t="str">
        <f t="shared" si="26"/>
        <v>0</v>
      </c>
      <c r="D814" s="7" t="str">
        <f t="shared" si="27"/>
        <v>0</v>
      </c>
    </row>
    <row r="815" spans="1:4" x14ac:dyDescent="0.3">
      <c r="A815" s="3">
        <v>45552.833333333336</v>
      </c>
      <c r="B815" s="1">
        <v>16.600000000000001</v>
      </c>
      <c r="C815" s="7" t="str">
        <f t="shared" si="26"/>
        <v>0</v>
      </c>
      <c r="D815" s="7" t="str">
        <f t="shared" si="27"/>
        <v>0</v>
      </c>
    </row>
    <row r="816" spans="1:4" x14ac:dyDescent="0.3">
      <c r="A816" s="3">
        <v>45552.854166666664</v>
      </c>
      <c r="B816" s="1">
        <v>16.7</v>
      </c>
      <c r="C816" s="7" t="str">
        <f t="shared" si="26"/>
        <v>0</v>
      </c>
      <c r="D816" s="7" t="str">
        <f t="shared" si="27"/>
        <v>0</v>
      </c>
    </row>
    <row r="817" spans="1:4" x14ac:dyDescent="0.3">
      <c r="A817" s="3">
        <v>45552.875</v>
      </c>
      <c r="B817" s="1">
        <v>16.7</v>
      </c>
      <c r="C817" s="7" t="str">
        <f t="shared" si="26"/>
        <v>0</v>
      </c>
      <c r="D817" s="7" t="str">
        <f t="shared" si="27"/>
        <v>0</v>
      </c>
    </row>
    <row r="818" spans="1:4" x14ac:dyDescent="0.3">
      <c r="A818" s="3">
        <v>45552.895833333336</v>
      </c>
      <c r="B818" s="1">
        <v>16.8</v>
      </c>
      <c r="C818" s="7" t="str">
        <f t="shared" si="26"/>
        <v>0</v>
      </c>
      <c r="D818" s="7" t="str">
        <f t="shared" si="27"/>
        <v>0</v>
      </c>
    </row>
    <row r="819" spans="1:4" x14ac:dyDescent="0.3">
      <c r="A819" s="3">
        <v>45552.916666666664</v>
      </c>
      <c r="B819" s="1">
        <v>16.8</v>
      </c>
      <c r="C819" s="7" t="str">
        <f t="shared" si="26"/>
        <v>0</v>
      </c>
      <c r="D819" s="7" t="str">
        <f t="shared" si="27"/>
        <v>0</v>
      </c>
    </row>
    <row r="820" spans="1:4" x14ac:dyDescent="0.3">
      <c r="A820" s="3">
        <v>45552.9375</v>
      </c>
      <c r="B820" s="1">
        <v>16.7</v>
      </c>
      <c r="C820" s="7" t="str">
        <f t="shared" si="26"/>
        <v>0</v>
      </c>
      <c r="D820" s="7" t="str">
        <f t="shared" si="27"/>
        <v>0</v>
      </c>
    </row>
    <row r="821" spans="1:4" x14ac:dyDescent="0.3">
      <c r="A821" s="3">
        <v>45552.958333333336</v>
      </c>
      <c r="B821" s="1">
        <v>16.399999999999999</v>
      </c>
      <c r="C821" s="7" t="str">
        <f t="shared" si="26"/>
        <v>0</v>
      </c>
      <c r="D821" s="7" t="str">
        <f t="shared" si="27"/>
        <v>0</v>
      </c>
    </row>
    <row r="822" spans="1:4" x14ac:dyDescent="0.3">
      <c r="A822" s="3">
        <v>45552.979166666664</v>
      </c>
      <c r="B822" s="1">
        <v>16.7</v>
      </c>
      <c r="C822" s="7" t="str">
        <f t="shared" si="26"/>
        <v>0</v>
      </c>
      <c r="D822" s="7" t="str">
        <f t="shared" si="27"/>
        <v>0</v>
      </c>
    </row>
    <row r="823" spans="1:4" x14ac:dyDescent="0.3">
      <c r="A823" s="3">
        <v>45553</v>
      </c>
      <c r="B823" s="1">
        <v>16.399999999999999</v>
      </c>
      <c r="C823" s="7" t="str">
        <f t="shared" si="26"/>
        <v>0</v>
      </c>
      <c r="D823" s="7" t="str">
        <f t="shared" si="27"/>
        <v>0</v>
      </c>
    </row>
    <row r="824" spans="1:4" x14ac:dyDescent="0.3">
      <c r="A824" s="3">
        <v>45553.020833333336</v>
      </c>
      <c r="B824" s="1">
        <v>16.2</v>
      </c>
      <c r="C824" s="7" t="str">
        <f t="shared" si="26"/>
        <v>0</v>
      </c>
      <c r="D824" s="7" t="str">
        <f t="shared" si="27"/>
        <v>0</v>
      </c>
    </row>
    <row r="825" spans="1:4" x14ac:dyDescent="0.3">
      <c r="A825" s="3">
        <v>45553.041666666664</v>
      </c>
      <c r="B825" s="1">
        <v>16</v>
      </c>
      <c r="C825" s="7" t="str">
        <f t="shared" si="26"/>
        <v>0</v>
      </c>
      <c r="D825" s="7" t="str">
        <f t="shared" si="27"/>
        <v>0</v>
      </c>
    </row>
    <row r="826" spans="1:4" x14ac:dyDescent="0.3">
      <c r="A826" s="3">
        <v>45553.0625</v>
      </c>
      <c r="B826" s="1">
        <v>15.8</v>
      </c>
      <c r="C826" s="7" t="str">
        <f t="shared" si="26"/>
        <v>0</v>
      </c>
      <c r="D826" s="7" t="str">
        <f t="shared" si="27"/>
        <v>0</v>
      </c>
    </row>
    <row r="827" spans="1:4" x14ac:dyDescent="0.3">
      <c r="A827" s="3">
        <v>45553.083333333336</v>
      </c>
      <c r="B827" s="1">
        <v>15.8</v>
      </c>
      <c r="C827" s="7" t="str">
        <f t="shared" si="26"/>
        <v>0</v>
      </c>
      <c r="D827" s="7" t="str">
        <f t="shared" si="27"/>
        <v>0</v>
      </c>
    </row>
    <row r="828" spans="1:4" x14ac:dyDescent="0.3">
      <c r="A828" s="3">
        <v>45553.104166666664</v>
      </c>
      <c r="B828" s="1">
        <v>15.8</v>
      </c>
      <c r="C828" s="7" t="str">
        <f t="shared" si="26"/>
        <v>0</v>
      </c>
      <c r="D828" s="7" t="str">
        <f t="shared" si="27"/>
        <v>0</v>
      </c>
    </row>
    <row r="829" spans="1:4" x14ac:dyDescent="0.3">
      <c r="A829" s="3">
        <v>45553.125</v>
      </c>
      <c r="B829" s="1">
        <v>15.8</v>
      </c>
      <c r="C829" s="7" t="str">
        <f t="shared" si="26"/>
        <v>0</v>
      </c>
      <c r="D829" s="7" t="str">
        <f t="shared" si="27"/>
        <v>0</v>
      </c>
    </row>
    <row r="830" spans="1:4" x14ac:dyDescent="0.3">
      <c r="A830" s="3">
        <v>45553.145833333336</v>
      </c>
      <c r="B830" s="1">
        <v>15.9</v>
      </c>
      <c r="C830" s="7" t="str">
        <f t="shared" si="26"/>
        <v>0</v>
      </c>
      <c r="D830" s="7" t="str">
        <f t="shared" si="27"/>
        <v>0</v>
      </c>
    </row>
    <row r="831" spans="1:4" x14ac:dyDescent="0.3">
      <c r="A831" s="3">
        <v>45553.166666666664</v>
      </c>
      <c r="B831" s="1">
        <v>16</v>
      </c>
      <c r="C831" s="7" t="str">
        <f t="shared" si="26"/>
        <v>0</v>
      </c>
      <c r="D831" s="7" t="str">
        <f t="shared" si="27"/>
        <v>0</v>
      </c>
    </row>
    <row r="832" spans="1:4" x14ac:dyDescent="0.3">
      <c r="A832" s="3">
        <v>45553.1875</v>
      </c>
      <c r="B832" s="1">
        <v>15.8</v>
      </c>
      <c r="C832" s="7" t="str">
        <f t="shared" si="26"/>
        <v>0</v>
      </c>
      <c r="D832" s="7" t="str">
        <f t="shared" si="27"/>
        <v>0</v>
      </c>
    </row>
    <row r="833" spans="1:4" x14ac:dyDescent="0.3">
      <c r="A833" s="3">
        <v>45553.208333333336</v>
      </c>
      <c r="B833" s="1">
        <v>15.4</v>
      </c>
      <c r="C833" s="7" t="str">
        <f t="shared" si="26"/>
        <v>0</v>
      </c>
      <c r="D833" s="7" t="str">
        <f t="shared" si="27"/>
        <v>0</v>
      </c>
    </row>
    <row r="834" spans="1:4" x14ac:dyDescent="0.3">
      <c r="A834" s="3">
        <v>45553.229166666664</v>
      </c>
      <c r="B834" s="1">
        <v>15.6</v>
      </c>
      <c r="C834" s="7" t="str">
        <f t="shared" si="26"/>
        <v>0</v>
      </c>
      <c r="D834" s="7" t="str">
        <f t="shared" si="27"/>
        <v>0</v>
      </c>
    </row>
    <row r="835" spans="1:4" x14ac:dyDescent="0.3">
      <c r="A835" s="3">
        <v>45553.25</v>
      </c>
      <c r="B835" s="1">
        <v>15.8</v>
      </c>
      <c r="C835" s="7" t="str">
        <f t="shared" ref="C835:C898" si="28">IF(B835=$P$13,A835,"0")</f>
        <v>0</v>
      </c>
      <c r="D835" s="7" t="str">
        <f t="shared" ref="D835:D898" si="29">IF(B835=$M$13,A835,"0")</f>
        <v>0</v>
      </c>
    </row>
    <row r="836" spans="1:4" x14ac:dyDescent="0.3">
      <c r="A836" s="3">
        <v>45553.270833333336</v>
      </c>
      <c r="B836" s="1">
        <v>16.100000000000001</v>
      </c>
      <c r="C836" s="7" t="str">
        <f t="shared" si="28"/>
        <v>0</v>
      </c>
      <c r="D836" s="7" t="str">
        <f t="shared" si="29"/>
        <v>0</v>
      </c>
    </row>
    <row r="837" spans="1:4" x14ac:dyDescent="0.3">
      <c r="A837" s="3">
        <v>45553.291666666664</v>
      </c>
      <c r="B837" s="1">
        <v>16.899999999999999</v>
      </c>
      <c r="C837" s="7" t="str">
        <f t="shared" si="28"/>
        <v>0</v>
      </c>
      <c r="D837" s="7" t="str">
        <f t="shared" si="29"/>
        <v>0</v>
      </c>
    </row>
    <row r="838" spans="1:4" x14ac:dyDescent="0.3">
      <c r="A838" s="3">
        <v>45553.3125</v>
      </c>
      <c r="B838" s="1">
        <v>17.7</v>
      </c>
      <c r="C838" s="7" t="str">
        <f t="shared" si="28"/>
        <v>0</v>
      </c>
      <c r="D838" s="7" t="str">
        <f t="shared" si="29"/>
        <v>0</v>
      </c>
    </row>
    <row r="839" spans="1:4" x14ac:dyDescent="0.3">
      <c r="A839" s="3">
        <v>45553.333333333336</v>
      </c>
      <c r="B839" s="1">
        <v>18.399999999999999</v>
      </c>
      <c r="C839" s="7" t="str">
        <f t="shared" si="28"/>
        <v>0</v>
      </c>
      <c r="D839" s="7" t="str">
        <f t="shared" si="29"/>
        <v>0</v>
      </c>
    </row>
    <row r="840" spans="1:4" x14ac:dyDescent="0.3">
      <c r="A840" s="3">
        <v>45553.354166666664</v>
      </c>
      <c r="B840" s="1">
        <v>19.3</v>
      </c>
      <c r="C840" s="7" t="str">
        <f t="shared" si="28"/>
        <v>0</v>
      </c>
      <c r="D840" s="7" t="str">
        <f t="shared" si="29"/>
        <v>0</v>
      </c>
    </row>
    <row r="841" spans="1:4" x14ac:dyDescent="0.3">
      <c r="A841" s="3">
        <v>45553.375</v>
      </c>
      <c r="B841" s="1">
        <v>20.3</v>
      </c>
      <c r="C841" s="7" t="str">
        <f t="shared" si="28"/>
        <v>0</v>
      </c>
      <c r="D841" s="7" t="str">
        <f t="shared" si="29"/>
        <v>0</v>
      </c>
    </row>
    <row r="842" spans="1:4" x14ac:dyDescent="0.3">
      <c r="A842" s="3">
        <v>45553.395833333336</v>
      </c>
      <c r="B842" s="1">
        <v>21.4</v>
      </c>
      <c r="C842" s="7" t="str">
        <f t="shared" si="28"/>
        <v>0</v>
      </c>
      <c r="D842" s="7" t="str">
        <f t="shared" si="29"/>
        <v>0</v>
      </c>
    </row>
    <row r="843" spans="1:4" x14ac:dyDescent="0.3">
      <c r="A843" s="3">
        <v>45553.416666666664</v>
      </c>
      <c r="B843" s="1">
        <v>21.9</v>
      </c>
      <c r="C843" s="7" t="str">
        <f t="shared" si="28"/>
        <v>0</v>
      </c>
      <c r="D843" s="7" t="str">
        <f t="shared" si="29"/>
        <v>0</v>
      </c>
    </row>
    <row r="844" spans="1:4" x14ac:dyDescent="0.3">
      <c r="A844" s="3">
        <v>45553.4375</v>
      </c>
      <c r="B844" s="1">
        <v>22.7</v>
      </c>
      <c r="C844" s="7" t="str">
        <f t="shared" si="28"/>
        <v>0</v>
      </c>
      <c r="D844" s="7" t="str">
        <f t="shared" si="29"/>
        <v>0</v>
      </c>
    </row>
    <row r="845" spans="1:4" x14ac:dyDescent="0.3">
      <c r="A845" s="3">
        <v>45553.458333333336</v>
      </c>
      <c r="B845" s="1">
        <v>22.6</v>
      </c>
      <c r="C845" s="7" t="str">
        <f t="shared" si="28"/>
        <v>0</v>
      </c>
      <c r="D845" s="7" t="str">
        <f t="shared" si="29"/>
        <v>0</v>
      </c>
    </row>
    <row r="846" spans="1:4" x14ac:dyDescent="0.3">
      <c r="A846" s="3">
        <v>45553.479166666664</v>
      </c>
      <c r="B846" s="1">
        <v>21.3</v>
      </c>
      <c r="C846" s="7" t="str">
        <f t="shared" si="28"/>
        <v>0</v>
      </c>
      <c r="D846" s="7" t="str">
        <f t="shared" si="29"/>
        <v>0</v>
      </c>
    </row>
    <row r="847" spans="1:4" x14ac:dyDescent="0.3">
      <c r="A847" s="3">
        <v>45553.5</v>
      </c>
      <c r="B847" s="1">
        <v>21.1</v>
      </c>
      <c r="C847" s="7" t="str">
        <f t="shared" si="28"/>
        <v>0</v>
      </c>
      <c r="D847" s="7" t="str">
        <f t="shared" si="29"/>
        <v>0</v>
      </c>
    </row>
    <row r="848" spans="1:4" x14ac:dyDescent="0.3">
      <c r="A848" s="3">
        <v>45553.520833333336</v>
      </c>
      <c r="B848" s="1">
        <v>21.6</v>
      </c>
      <c r="C848" s="7" t="str">
        <f t="shared" si="28"/>
        <v>0</v>
      </c>
      <c r="D848" s="7" t="str">
        <f t="shared" si="29"/>
        <v>0</v>
      </c>
    </row>
    <row r="849" spans="1:4" x14ac:dyDescent="0.3">
      <c r="A849" s="3">
        <v>45553.541666666664</v>
      </c>
      <c r="B849" s="1">
        <v>21.7</v>
      </c>
      <c r="C849" s="7" t="str">
        <f t="shared" si="28"/>
        <v>0</v>
      </c>
      <c r="D849" s="7" t="str">
        <f t="shared" si="29"/>
        <v>0</v>
      </c>
    </row>
    <row r="850" spans="1:4" x14ac:dyDescent="0.3">
      <c r="A850" s="3">
        <v>45553.5625</v>
      </c>
      <c r="B850" s="1">
        <v>21.8</v>
      </c>
      <c r="C850" s="7" t="str">
        <f t="shared" si="28"/>
        <v>0</v>
      </c>
      <c r="D850" s="7" t="str">
        <f t="shared" si="29"/>
        <v>0</v>
      </c>
    </row>
    <row r="851" spans="1:4" x14ac:dyDescent="0.3">
      <c r="A851" s="3">
        <v>45553.583333333336</v>
      </c>
      <c r="B851" s="1">
        <v>21.1</v>
      </c>
      <c r="C851" s="7" t="str">
        <f t="shared" si="28"/>
        <v>0</v>
      </c>
      <c r="D851" s="7" t="str">
        <f t="shared" si="29"/>
        <v>0</v>
      </c>
    </row>
    <row r="852" spans="1:4" x14ac:dyDescent="0.3">
      <c r="A852" s="3">
        <v>45553.604166666664</v>
      </c>
      <c r="B852" s="1">
        <v>20.399999999999999</v>
      </c>
      <c r="C852" s="7" t="str">
        <f t="shared" si="28"/>
        <v>0</v>
      </c>
      <c r="D852" s="7" t="str">
        <f t="shared" si="29"/>
        <v>0</v>
      </c>
    </row>
    <row r="853" spans="1:4" x14ac:dyDescent="0.3">
      <c r="A853" s="3">
        <v>45553.625</v>
      </c>
      <c r="B853" s="1">
        <v>20.3</v>
      </c>
      <c r="C853" s="7" t="str">
        <f t="shared" si="28"/>
        <v>0</v>
      </c>
      <c r="D853" s="7" t="str">
        <f t="shared" si="29"/>
        <v>0</v>
      </c>
    </row>
    <row r="854" spans="1:4" x14ac:dyDescent="0.3">
      <c r="A854" s="3">
        <v>45553.645833333336</v>
      </c>
      <c r="B854" s="1">
        <v>19.600000000000001</v>
      </c>
      <c r="C854" s="7" t="str">
        <f t="shared" si="28"/>
        <v>0</v>
      </c>
      <c r="D854" s="7" t="str">
        <f t="shared" si="29"/>
        <v>0</v>
      </c>
    </row>
    <row r="855" spans="1:4" x14ac:dyDescent="0.3">
      <c r="A855" s="3">
        <v>45553.666666666664</v>
      </c>
      <c r="B855" s="1">
        <v>19.100000000000001</v>
      </c>
      <c r="C855" s="7" t="str">
        <f t="shared" si="28"/>
        <v>0</v>
      </c>
      <c r="D855" s="7" t="str">
        <f t="shared" si="29"/>
        <v>0</v>
      </c>
    </row>
    <row r="856" spans="1:4" x14ac:dyDescent="0.3">
      <c r="A856" s="3">
        <v>45553.6875</v>
      </c>
      <c r="B856" s="1">
        <v>19.2</v>
      </c>
      <c r="C856" s="7" t="str">
        <f t="shared" si="28"/>
        <v>0</v>
      </c>
      <c r="D856" s="7" t="str">
        <f t="shared" si="29"/>
        <v>0</v>
      </c>
    </row>
    <row r="857" spans="1:4" x14ac:dyDescent="0.3">
      <c r="A857" s="3">
        <v>45553.708333333336</v>
      </c>
      <c r="B857" s="1">
        <v>18.5</v>
      </c>
      <c r="C857" s="7" t="str">
        <f t="shared" si="28"/>
        <v>0</v>
      </c>
      <c r="D857" s="7" t="str">
        <f t="shared" si="29"/>
        <v>0</v>
      </c>
    </row>
    <row r="858" spans="1:4" x14ac:dyDescent="0.3">
      <c r="A858" s="3">
        <v>45553.729166666664</v>
      </c>
      <c r="B858" s="1">
        <v>18.399999999999999</v>
      </c>
      <c r="C858" s="7" t="str">
        <f t="shared" si="28"/>
        <v>0</v>
      </c>
      <c r="D858" s="7" t="str">
        <f t="shared" si="29"/>
        <v>0</v>
      </c>
    </row>
    <row r="859" spans="1:4" x14ac:dyDescent="0.3">
      <c r="A859" s="3">
        <v>45553.75</v>
      </c>
      <c r="B859" s="1">
        <v>17.899999999999999</v>
      </c>
      <c r="C859" s="7" t="str">
        <f t="shared" si="28"/>
        <v>0</v>
      </c>
      <c r="D859" s="7" t="str">
        <f t="shared" si="29"/>
        <v>0</v>
      </c>
    </row>
    <row r="860" spans="1:4" x14ac:dyDescent="0.3">
      <c r="A860" s="3">
        <v>45553.770833333336</v>
      </c>
      <c r="B860" s="1">
        <v>17.8</v>
      </c>
      <c r="C860" s="7" t="str">
        <f t="shared" si="28"/>
        <v>0</v>
      </c>
      <c r="D860" s="7" t="str">
        <f t="shared" si="29"/>
        <v>0</v>
      </c>
    </row>
    <row r="861" spans="1:4" x14ac:dyDescent="0.3">
      <c r="A861" s="3">
        <v>45553.791666666664</v>
      </c>
      <c r="B861" s="1">
        <v>17.899999999999999</v>
      </c>
      <c r="C861" s="7" t="str">
        <f t="shared" si="28"/>
        <v>0</v>
      </c>
      <c r="D861" s="7" t="str">
        <f t="shared" si="29"/>
        <v>0</v>
      </c>
    </row>
    <row r="862" spans="1:4" x14ac:dyDescent="0.3">
      <c r="A862" s="3">
        <v>45553.8125</v>
      </c>
      <c r="B862" s="1">
        <v>18</v>
      </c>
      <c r="C862" s="7" t="str">
        <f t="shared" si="28"/>
        <v>0</v>
      </c>
      <c r="D862" s="7" t="str">
        <f t="shared" si="29"/>
        <v>0</v>
      </c>
    </row>
    <row r="863" spans="1:4" x14ac:dyDescent="0.3">
      <c r="A863" s="3">
        <v>45553.833333333336</v>
      </c>
      <c r="B863" s="1">
        <v>18</v>
      </c>
      <c r="C863" s="7" t="str">
        <f t="shared" si="28"/>
        <v>0</v>
      </c>
      <c r="D863" s="7" t="str">
        <f t="shared" si="29"/>
        <v>0</v>
      </c>
    </row>
    <row r="864" spans="1:4" x14ac:dyDescent="0.3">
      <c r="A864" s="3">
        <v>45553.854166666664</v>
      </c>
      <c r="B864" s="1">
        <v>17.7</v>
      </c>
      <c r="C864" s="7" t="str">
        <f t="shared" si="28"/>
        <v>0</v>
      </c>
      <c r="D864" s="7" t="str">
        <f t="shared" si="29"/>
        <v>0</v>
      </c>
    </row>
    <row r="865" spans="1:4" x14ac:dyDescent="0.3">
      <c r="A865" s="3">
        <v>45553.875</v>
      </c>
      <c r="B865" s="1">
        <v>17.8</v>
      </c>
      <c r="C865" s="7" t="str">
        <f t="shared" si="28"/>
        <v>0</v>
      </c>
      <c r="D865" s="7" t="str">
        <f t="shared" si="29"/>
        <v>0</v>
      </c>
    </row>
    <row r="866" spans="1:4" x14ac:dyDescent="0.3">
      <c r="A866" s="3">
        <v>45553.895833333336</v>
      </c>
      <c r="B866" s="1">
        <v>17.399999999999999</v>
      </c>
      <c r="C866" s="7" t="str">
        <f t="shared" si="28"/>
        <v>0</v>
      </c>
      <c r="D866" s="7" t="str">
        <f t="shared" si="29"/>
        <v>0</v>
      </c>
    </row>
    <row r="867" spans="1:4" x14ac:dyDescent="0.3">
      <c r="A867" s="3">
        <v>45553.916666666664</v>
      </c>
      <c r="B867" s="1">
        <v>17.3</v>
      </c>
      <c r="C867" s="7" t="str">
        <f t="shared" si="28"/>
        <v>0</v>
      </c>
      <c r="D867" s="7" t="str">
        <f t="shared" si="29"/>
        <v>0</v>
      </c>
    </row>
    <row r="868" spans="1:4" x14ac:dyDescent="0.3">
      <c r="A868" s="3">
        <v>45553.9375</v>
      </c>
      <c r="B868" s="1">
        <v>17.2</v>
      </c>
      <c r="C868" s="7" t="str">
        <f t="shared" si="28"/>
        <v>0</v>
      </c>
      <c r="D868" s="7" t="str">
        <f t="shared" si="29"/>
        <v>0</v>
      </c>
    </row>
    <row r="869" spans="1:4" x14ac:dyDescent="0.3">
      <c r="A869" s="3">
        <v>45553.958333333336</v>
      </c>
      <c r="B869" s="1">
        <v>16.899999999999999</v>
      </c>
      <c r="C869" s="7" t="str">
        <f t="shared" si="28"/>
        <v>0</v>
      </c>
      <c r="D869" s="7" t="str">
        <f t="shared" si="29"/>
        <v>0</v>
      </c>
    </row>
    <row r="870" spans="1:4" x14ac:dyDescent="0.3">
      <c r="A870" s="3">
        <v>45553.979166666664</v>
      </c>
      <c r="B870" s="1">
        <v>16.600000000000001</v>
      </c>
      <c r="C870" s="7" t="str">
        <f t="shared" si="28"/>
        <v>0</v>
      </c>
      <c r="D870" s="7" t="str">
        <f t="shared" si="29"/>
        <v>0</v>
      </c>
    </row>
    <row r="871" spans="1:4" x14ac:dyDescent="0.3">
      <c r="A871" s="3">
        <v>45554</v>
      </c>
      <c r="B871" s="1">
        <v>16.600000000000001</v>
      </c>
      <c r="C871" s="7" t="str">
        <f t="shared" si="28"/>
        <v>0</v>
      </c>
      <c r="D871" s="7" t="str">
        <f t="shared" si="29"/>
        <v>0</v>
      </c>
    </row>
    <row r="872" spans="1:4" x14ac:dyDescent="0.3">
      <c r="A872" s="3">
        <v>45554.020833333336</v>
      </c>
      <c r="B872" s="1">
        <v>16.600000000000001</v>
      </c>
      <c r="C872" s="7" t="str">
        <f t="shared" si="28"/>
        <v>0</v>
      </c>
      <c r="D872" s="7" t="str">
        <f t="shared" si="29"/>
        <v>0</v>
      </c>
    </row>
    <row r="873" spans="1:4" x14ac:dyDescent="0.3">
      <c r="A873" s="3">
        <v>45554.041666666664</v>
      </c>
      <c r="B873" s="1">
        <v>16.3</v>
      </c>
      <c r="C873" s="7" t="str">
        <f t="shared" si="28"/>
        <v>0</v>
      </c>
      <c r="D873" s="7" t="str">
        <f t="shared" si="29"/>
        <v>0</v>
      </c>
    </row>
    <row r="874" spans="1:4" x14ac:dyDescent="0.3">
      <c r="A874" s="3">
        <v>45554.0625</v>
      </c>
      <c r="B874" s="1">
        <v>15.8</v>
      </c>
      <c r="C874" s="7" t="str">
        <f t="shared" si="28"/>
        <v>0</v>
      </c>
      <c r="D874" s="7" t="str">
        <f t="shared" si="29"/>
        <v>0</v>
      </c>
    </row>
    <row r="875" spans="1:4" x14ac:dyDescent="0.3">
      <c r="A875" s="3">
        <v>45554.083333333336</v>
      </c>
      <c r="B875" s="1">
        <v>15.6</v>
      </c>
      <c r="C875" s="7" t="str">
        <f t="shared" si="28"/>
        <v>0</v>
      </c>
      <c r="D875" s="7" t="str">
        <f t="shared" si="29"/>
        <v>0</v>
      </c>
    </row>
    <row r="876" spans="1:4" x14ac:dyDescent="0.3">
      <c r="A876" s="3">
        <v>45554.104166666664</v>
      </c>
      <c r="B876" s="1">
        <v>15.6</v>
      </c>
      <c r="C876" s="7" t="str">
        <f t="shared" si="28"/>
        <v>0</v>
      </c>
      <c r="D876" s="7" t="str">
        <f t="shared" si="29"/>
        <v>0</v>
      </c>
    </row>
    <row r="877" spans="1:4" x14ac:dyDescent="0.3">
      <c r="A877" s="3">
        <v>45554.125</v>
      </c>
      <c r="B877" s="1">
        <v>15.3</v>
      </c>
      <c r="C877" s="7" t="str">
        <f t="shared" si="28"/>
        <v>0</v>
      </c>
      <c r="D877" s="7" t="str">
        <f t="shared" si="29"/>
        <v>0</v>
      </c>
    </row>
    <row r="878" spans="1:4" x14ac:dyDescent="0.3">
      <c r="A878" s="3">
        <v>45554.145833333336</v>
      </c>
      <c r="B878" s="1">
        <v>15.4</v>
      </c>
      <c r="C878" s="7" t="str">
        <f t="shared" si="28"/>
        <v>0</v>
      </c>
      <c r="D878" s="7" t="str">
        <f t="shared" si="29"/>
        <v>0</v>
      </c>
    </row>
    <row r="879" spans="1:4" x14ac:dyDescent="0.3">
      <c r="A879" s="3">
        <v>45554.166666666664</v>
      </c>
      <c r="B879" s="1">
        <v>15.5</v>
      </c>
      <c r="C879" s="7" t="str">
        <f t="shared" si="28"/>
        <v>0</v>
      </c>
      <c r="D879" s="7" t="str">
        <f t="shared" si="29"/>
        <v>0</v>
      </c>
    </row>
    <row r="880" spans="1:4" x14ac:dyDescent="0.3">
      <c r="A880" s="3">
        <v>45554.1875</v>
      </c>
      <c r="B880" s="1">
        <v>15.3</v>
      </c>
      <c r="C880" s="7" t="str">
        <f t="shared" si="28"/>
        <v>0</v>
      </c>
      <c r="D880" s="7" t="str">
        <f t="shared" si="29"/>
        <v>0</v>
      </c>
    </row>
    <row r="881" spans="1:4" x14ac:dyDescent="0.3">
      <c r="A881" s="3">
        <v>45554.208333333336</v>
      </c>
      <c r="B881" s="1">
        <v>15.2</v>
      </c>
      <c r="C881" s="7" t="str">
        <f t="shared" si="28"/>
        <v>0</v>
      </c>
      <c r="D881" s="7" t="str">
        <f t="shared" si="29"/>
        <v>0</v>
      </c>
    </row>
    <row r="882" spans="1:4" x14ac:dyDescent="0.3">
      <c r="A882" s="3">
        <v>45554.229166666664</v>
      </c>
      <c r="B882" s="1">
        <v>15.5</v>
      </c>
      <c r="C882" s="7" t="str">
        <f t="shared" si="28"/>
        <v>0</v>
      </c>
      <c r="D882" s="7" t="str">
        <f t="shared" si="29"/>
        <v>0</v>
      </c>
    </row>
    <row r="883" spans="1:4" x14ac:dyDescent="0.3">
      <c r="A883" s="3">
        <v>45554.25</v>
      </c>
      <c r="B883" s="1">
        <v>16</v>
      </c>
      <c r="C883" s="7" t="str">
        <f t="shared" si="28"/>
        <v>0</v>
      </c>
      <c r="D883" s="7" t="str">
        <f t="shared" si="29"/>
        <v>0</v>
      </c>
    </row>
    <row r="884" spans="1:4" x14ac:dyDescent="0.3">
      <c r="A884" s="3">
        <v>45554.270833333336</v>
      </c>
      <c r="B884" s="1">
        <v>16</v>
      </c>
      <c r="C884" s="7" t="str">
        <f t="shared" si="28"/>
        <v>0</v>
      </c>
      <c r="D884" s="7" t="str">
        <f t="shared" si="29"/>
        <v>0</v>
      </c>
    </row>
    <row r="885" spans="1:4" x14ac:dyDescent="0.3">
      <c r="A885" s="3">
        <v>45554.291666666664</v>
      </c>
      <c r="B885" s="1">
        <v>16.100000000000001</v>
      </c>
      <c r="C885" s="7" t="str">
        <f t="shared" si="28"/>
        <v>0</v>
      </c>
      <c r="D885" s="7" t="str">
        <f t="shared" si="29"/>
        <v>0</v>
      </c>
    </row>
    <row r="886" spans="1:4" x14ac:dyDescent="0.3">
      <c r="A886" s="3">
        <v>45554.3125</v>
      </c>
      <c r="B886" s="1">
        <v>16.2</v>
      </c>
      <c r="C886" s="7" t="str">
        <f t="shared" si="28"/>
        <v>0</v>
      </c>
      <c r="D886" s="7" t="str">
        <f t="shared" si="29"/>
        <v>0</v>
      </c>
    </row>
    <row r="887" spans="1:4" x14ac:dyDescent="0.3">
      <c r="A887" s="3">
        <v>45554.333333333336</v>
      </c>
      <c r="B887" s="1">
        <v>16.8</v>
      </c>
      <c r="C887" s="7" t="str">
        <f t="shared" si="28"/>
        <v>0</v>
      </c>
      <c r="D887" s="7" t="str">
        <f t="shared" si="29"/>
        <v>0</v>
      </c>
    </row>
    <row r="888" spans="1:4" x14ac:dyDescent="0.3">
      <c r="A888" s="3">
        <v>45554.354166666664</v>
      </c>
      <c r="B888" s="1">
        <v>17.7</v>
      </c>
      <c r="C888" s="7" t="str">
        <f t="shared" si="28"/>
        <v>0</v>
      </c>
      <c r="D888" s="7" t="str">
        <f t="shared" si="29"/>
        <v>0</v>
      </c>
    </row>
    <row r="889" spans="1:4" x14ac:dyDescent="0.3">
      <c r="A889" s="3">
        <v>45554.375</v>
      </c>
      <c r="B889" s="1">
        <v>18.5</v>
      </c>
      <c r="C889" s="7" t="str">
        <f t="shared" si="28"/>
        <v>0</v>
      </c>
      <c r="D889" s="7" t="str">
        <f t="shared" si="29"/>
        <v>0</v>
      </c>
    </row>
    <row r="890" spans="1:4" x14ac:dyDescent="0.3">
      <c r="A890" s="3">
        <v>45554.395833333336</v>
      </c>
      <c r="B890" s="1">
        <v>19.2</v>
      </c>
      <c r="C890" s="7" t="str">
        <f t="shared" si="28"/>
        <v>0</v>
      </c>
      <c r="D890" s="7" t="str">
        <f t="shared" si="29"/>
        <v>0</v>
      </c>
    </row>
    <row r="891" spans="1:4" x14ac:dyDescent="0.3">
      <c r="A891" s="3">
        <v>45554.416666666664</v>
      </c>
      <c r="B891" s="1">
        <v>19.899999999999999</v>
      </c>
      <c r="C891" s="7" t="str">
        <f t="shared" si="28"/>
        <v>0</v>
      </c>
      <c r="D891" s="7" t="str">
        <f t="shared" si="29"/>
        <v>0</v>
      </c>
    </row>
    <row r="892" spans="1:4" x14ac:dyDescent="0.3">
      <c r="A892" s="3">
        <v>45554.4375</v>
      </c>
      <c r="B892" s="1">
        <v>21</v>
      </c>
      <c r="C892" s="7" t="str">
        <f t="shared" si="28"/>
        <v>0</v>
      </c>
      <c r="D892" s="7" t="str">
        <f t="shared" si="29"/>
        <v>0</v>
      </c>
    </row>
    <row r="893" spans="1:4" x14ac:dyDescent="0.3">
      <c r="A893" s="3">
        <v>45554.458333333336</v>
      </c>
      <c r="B893" s="1">
        <v>21.8</v>
      </c>
      <c r="C893" s="7" t="str">
        <f t="shared" si="28"/>
        <v>0</v>
      </c>
      <c r="D893" s="7" t="str">
        <f t="shared" si="29"/>
        <v>0</v>
      </c>
    </row>
    <row r="894" spans="1:4" x14ac:dyDescent="0.3">
      <c r="A894" s="3">
        <v>45554.479166666664</v>
      </c>
      <c r="B894" s="1">
        <v>22.4</v>
      </c>
      <c r="C894" s="7" t="str">
        <f t="shared" si="28"/>
        <v>0</v>
      </c>
      <c r="D894" s="7" t="str">
        <f t="shared" si="29"/>
        <v>0</v>
      </c>
    </row>
    <row r="895" spans="1:4" x14ac:dyDescent="0.3">
      <c r="A895" s="3">
        <v>45554.5</v>
      </c>
      <c r="B895" s="1">
        <v>23</v>
      </c>
      <c r="C895" s="7" t="str">
        <f t="shared" si="28"/>
        <v>0</v>
      </c>
      <c r="D895" s="7" t="str">
        <f t="shared" si="29"/>
        <v>0</v>
      </c>
    </row>
    <row r="896" spans="1:4" x14ac:dyDescent="0.3">
      <c r="A896" s="3">
        <v>45554.520833333336</v>
      </c>
      <c r="B896" s="1">
        <v>23</v>
      </c>
      <c r="C896" s="7" t="str">
        <f t="shared" si="28"/>
        <v>0</v>
      </c>
      <c r="D896" s="7" t="str">
        <f t="shared" si="29"/>
        <v>0</v>
      </c>
    </row>
    <row r="897" spans="1:4" x14ac:dyDescent="0.3">
      <c r="A897" s="3">
        <v>45554.541666666664</v>
      </c>
      <c r="B897" s="1">
        <v>22.5</v>
      </c>
      <c r="C897" s="7" t="str">
        <f t="shared" si="28"/>
        <v>0</v>
      </c>
      <c r="D897" s="7" t="str">
        <f t="shared" si="29"/>
        <v>0</v>
      </c>
    </row>
    <row r="898" spans="1:4" x14ac:dyDescent="0.3">
      <c r="A898" s="3">
        <v>45554.5625</v>
      </c>
      <c r="B898" s="1">
        <v>21.1</v>
      </c>
      <c r="C898" s="7" t="str">
        <f t="shared" si="28"/>
        <v>0</v>
      </c>
      <c r="D898" s="7" t="str">
        <f t="shared" si="29"/>
        <v>0</v>
      </c>
    </row>
    <row r="899" spans="1:4" x14ac:dyDescent="0.3">
      <c r="A899" s="3">
        <v>45554.583333333336</v>
      </c>
      <c r="B899" s="1">
        <v>21.6</v>
      </c>
      <c r="C899" s="7" t="str">
        <f t="shared" ref="C899:C962" si="30">IF(B899=$P$13,A899,"0")</f>
        <v>0</v>
      </c>
      <c r="D899" s="7" t="str">
        <f t="shared" ref="D899:D962" si="31">IF(B899=$M$13,A899,"0")</f>
        <v>0</v>
      </c>
    </row>
    <row r="900" spans="1:4" x14ac:dyDescent="0.3">
      <c r="A900" s="3">
        <v>45554.604166666664</v>
      </c>
      <c r="B900" s="1">
        <v>22.8</v>
      </c>
      <c r="C900" s="7" t="str">
        <f t="shared" si="30"/>
        <v>0</v>
      </c>
      <c r="D900" s="7" t="str">
        <f t="shared" si="31"/>
        <v>0</v>
      </c>
    </row>
    <row r="901" spans="1:4" x14ac:dyDescent="0.3">
      <c r="A901" s="3">
        <v>45554.625</v>
      </c>
      <c r="B901" s="1">
        <v>22.2</v>
      </c>
      <c r="C901" s="7" t="str">
        <f t="shared" si="30"/>
        <v>0</v>
      </c>
      <c r="D901" s="7" t="str">
        <f t="shared" si="31"/>
        <v>0</v>
      </c>
    </row>
    <row r="902" spans="1:4" x14ac:dyDescent="0.3">
      <c r="A902" s="3">
        <v>45554.645833333336</v>
      </c>
      <c r="B902" s="1">
        <v>22.1</v>
      </c>
      <c r="C902" s="7" t="str">
        <f t="shared" si="30"/>
        <v>0</v>
      </c>
      <c r="D902" s="7" t="str">
        <f t="shared" si="31"/>
        <v>0</v>
      </c>
    </row>
    <row r="903" spans="1:4" x14ac:dyDescent="0.3">
      <c r="A903" s="3">
        <v>45554.666666666664</v>
      </c>
      <c r="B903" s="1">
        <v>21.7</v>
      </c>
      <c r="C903" s="7" t="str">
        <f t="shared" si="30"/>
        <v>0</v>
      </c>
      <c r="D903" s="7" t="str">
        <f t="shared" si="31"/>
        <v>0</v>
      </c>
    </row>
    <row r="904" spans="1:4" x14ac:dyDescent="0.3">
      <c r="A904" s="3">
        <v>45554.6875</v>
      </c>
      <c r="B904" s="1">
        <v>21.8</v>
      </c>
      <c r="C904" s="7" t="str">
        <f t="shared" si="30"/>
        <v>0</v>
      </c>
      <c r="D904" s="7" t="str">
        <f t="shared" si="31"/>
        <v>0</v>
      </c>
    </row>
    <row r="905" spans="1:4" x14ac:dyDescent="0.3">
      <c r="A905" s="3">
        <v>45554.708333333336</v>
      </c>
      <c r="B905" s="1">
        <v>21.6</v>
      </c>
      <c r="C905" s="7" t="str">
        <f t="shared" si="30"/>
        <v>0</v>
      </c>
      <c r="D905" s="7" t="str">
        <f t="shared" si="31"/>
        <v>0</v>
      </c>
    </row>
    <row r="906" spans="1:4" x14ac:dyDescent="0.3">
      <c r="A906" s="3">
        <v>45554.729166666664</v>
      </c>
      <c r="B906" s="1">
        <v>20.8</v>
      </c>
      <c r="C906" s="7" t="str">
        <f t="shared" si="30"/>
        <v>0</v>
      </c>
      <c r="D906" s="7" t="str">
        <f t="shared" si="31"/>
        <v>0</v>
      </c>
    </row>
    <row r="907" spans="1:4" x14ac:dyDescent="0.3">
      <c r="A907" s="3">
        <v>45554.75</v>
      </c>
      <c r="B907" s="1">
        <v>20.3</v>
      </c>
      <c r="C907" s="7" t="str">
        <f t="shared" si="30"/>
        <v>0</v>
      </c>
      <c r="D907" s="7" t="str">
        <f t="shared" si="31"/>
        <v>0</v>
      </c>
    </row>
    <row r="908" spans="1:4" x14ac:dyDescent="0.3">
      <c r="A908" s="3">
        <v>45554.770833333336</v>
      </c>
      <c r="B908" s="1">
        <v>19.8</v>
      </c>
      <c r="C908" s="7" t="str">
        <f t="shared" si="30"/>
        <v>0</v>
      </c>
      <c r="D908" s="7" t="str">
        <f t="shared" si="31"/>
        <v>0</v>
      </c>
    </row>
    <row r="909" spans="1:4" x14ac:dyDescent="0.3">
      <c r="A909" s="3">
        <v>45554.791666666664</v>
      </c>
      <c r="B909" s="1">
        <v>19.7</v>
      </c>
      <c r="C909" s="7" t="str">
        <f t="shared" si="30"/>
        <v>0</v>
      </c>
      <c r="D909" s="7" t="str">
        <f t="shared" si="31"/>
        <v>0</v>
      </c>
    </row>
    <row r="910" spans="1:4" x14ac:dyDescent="0.3">
      <c r="A910" s="3">
        <v>45554.8125</v>
      </c>
      <c r="B910" s="1">
        <v>19.600000000000001</v>
      </c>
      <c r="C910" s="7" t="str">
        <f t="shared" si="30"/>
        <v>0</v>
      </c>
      <c r="D910" s="7" t="str">
        <f t="shared" si="31"/>
        <v>0</v>
      </c>
    </row>
    <row r="911" spans="1:4" x14ac:dyDescent="0.3">
      <c r="A911" s="3">
        <v>45554.833333333336</v>
      </c>
      <c r="B911" s="1">
        <v>19.100000000000001</v>
      </c>
      <c r="C911" s="7" t="str">
        <f t="shared" si="30"/>
        <v>0</v>
      </c>
      <c r="D911" s="7" t="str">
        <f t="shared" si="31"/>
        <v>0</v>
      </c>
    </row>
    <row r="912" spans="1:4" x14ac:dyDescent="0.3">
      <c r="A912" s="3">
        <v>45554.854166666664</v>
      </c>
      <c r="B912" s="1">
        <v>18.7</v>
      </c>
      <c r="C912" s="7" t="str">
        <f t="shared" si="30"/>
        <v>0</v>
      </c>
      <c r="D912" s="7" t="str">
        <f t="shared" si="31"/>
        <v>0</v>
      </c>
    </row>
    <row r="913" spans="1:4" x14ac:dyDescent="0.3">
      <c r="A913" s="3">
        <v>45554.875</v>
      </c>
      <c r="B913" s="1">
        <v>18</v>
      </c>
      <c r="C913" s="7" t="str">
        <f t="shared" si="30"/>
        <v>0</v>
      </c>
      <c r="D913" s="7" t="str">
        <f t="shared" si="31"/>
        <v>0</v>
      </c>
    </row>
    <row r="914" spans="1:4" x14ac:dyDescent="0.3">
      <c r="A914" s="3">
        <v>45554.895833333336</v>
      </c>
      <c r="B914" s="1">
        <v>17.8</v>
      </c>
      <c r="C914" s="7" t="str">
        <f t="shared" si="30"/>
        <v>0</v>
      </c>
      <c r="D914" s="7" t="str">
        <f t="shared" si="31"/>
        <v>0</v>
      </c>
    </row>
    <row r="915" spans="1:4" x14ac:dyDescent="0.3">
      <c r="A915" s="3">
        <v>45554.916666666664</v>
      </c>
      <c r="B915" s="1">
        <v>17.8</v>
      </c>
      <c r="C915" s="7" t="str">
        <f t="shared" si="30"/>
        <v>0</v>
      </c>
      <c r="D915" s="7" t="str">
        <f t="shared" si="31"/>
        <v>0</v>
      </c>
    </row>
    <row r="916" spans="1:4" x14ac:dyDescent="0.3">
      <c r="A916" s="3">
        <v>45554.9375</v>
      </c>
      <c r="B916" s="1">
        <v>17.100000000000001</v>
      </c>
      <c r="C916" s="7" t="str">
        <f t="shared" si="30"/>
        <v>0</v>
      </c>
      <c r="D916" s="7" t="str">
        <f t="shared" si="31"/>
        <v>0</v>
      </c>
    </row>
    <row r="917" spans="1:4" x14ac:dyDescent="0.3">
      <c r="A917" s="3">
        <v>45554.958333333336</v>
      </c>
      <c r="B917" s="1">
        <v>17</v>
      </c>
      <c r="C917" s="7" t="str">
        <f t="shared" si="30"/>
        <v>0</v>
      </c>
      <c r="D917" s="7" t="str">
        <f t="shared" si="31"/>
        <v>0</v>
      </c>
    </row>
    <row r="918" spans="1:4" x14ac:dyDescent="0.3">
      <c r="A918" s="3">
        <v>45554.979166666664</v>
      </c>
      <c r="B918" s="1">
        <v>17</v>
      </c>
      <c r="C918" s="7" t="str">
        <f t="shared" si="30"/>
        <v>0</v>
      </c>
      <c r="D918" s="7" t="str">
        <f t="shared" si="31"/>
        <v>0</v>
      </c>
    </row>
    <row r="919" spans="1:4" x14ac:dyDescent="0.3">
      <c r="A919" s="3">
        <v>45555</v>
      </c>
      <c r="B919" s="1">
        <v>16.7</v>
      </c>
      <c r="C919" s="7" t="str">
        <f t="shared" si="30"/>
        <v>0</v>
      </c>
      <c r="D919" s="7" t="str">
        <f t="shared" si="31"/>
        <v>0</v>
      </c>
    </row>
    <row r="920" spans="1:4" x14ac:dyDescent="0.3">
      <c r="A920" s="3">
        <v>45555.020833333336</v>
      </c>
      <c r="B920" s="1">
        <v>16.899999999999999</v>
      </c>
      <c r="C920" s="7" t="str">
        <f t="shared" si="30"/>
        <v>0</v>
      </c>
      <c r="D920" s="7" t="str">
        <f t="shared" si="31"/>
        <v>0</v>
      </c>
    </row>
    <row r="921" spans="1:4" x14ac:dyDescent="0.3">
      <c r="A921" s="3">
        <v>45555.041666666664</v>
      </c>
      <c r="B921" s="1">
        <v>16.600000000000001</v>
      </c>
      <c r="C921" s="7" t="str">
        <f t="shared" si="30"/>
        <v>0</v>
      </c>
      <c r="D921" s="7" t="str">
        <f t="shared" si="31"/>
        <v>0</v>
      </c>
    </row>
    <row r="922" spans="1:4" x14ac:dyDescent="0.3">
      <c r="A922" s="3">
        <v>45555.0625</v>
      </c>
      <c r="B922" s="1">
        <v>16.2</v>
      </c>
      <c r="C922" s="7" t="str">
        <f t="shared" si="30"/>
        <v>0</v>
      </c>
      <c r="D922" s="7" t="str">
        <f t="shared" si="31"/>
        <v>0</v>
      </c>
    </row>
    <row r="923" spans="1:4" x14ac:dyDescent="0.3">
      <c r="A923" s="3">
        <v>45555.083333333336</v>
      </c>
      <c r="B923" s="1">
        <v>16.2</v>
      </c>
      <c r="C923" s="7" t="str">
        <f t="shared" si="30"/>
        <v>0</v>
      </c>
      <c r="D923" s="7" t="str">
        <f t="shared" si="31"/>
        <v>0</v>
      </c>
    </row>
    <row r="924" spans="1:4" x14ac:dyDescent="0.3">
      <c r="A924" s="3">
        <v>45555.104166666664</v>
      </c>
      <c r="B924" s="1">
        <v>15.9</v>
      </c>
      <c r="C924" s="7" t="str">
        <f t="shared" si="30"/>
        <v>0</v>
      </c>
      <c r="D924" s="7" t="str">
        <f t="shared" si="31"/>
        <v>0</v>
      </c>
    </row>
    <row r="925" spans="1:4" x14ac:dyDescent="0.3">
      <c r="A925" s="3">
        <v>45555.125</v>
      </c>
      <c r="B925" s="1">
        <v>15.8</v>
      </c>
      <c r="C925" s="7" t="str">
        <f t="shared" si="30"/>
        <v>0</v>
      </c>
      <c r="D925" s="7" t="str">
        <f t="shared" si="31"/>
        <v>0</v>
      </c>
    </row>
    <row r="926" spans="1:4" x14ac:dyDescent="0.3">
      <c r="A926" s="3">
        <v>45555.145833333336</v>
      </c>
      <c r="B926" s="1">
        <v>15.7</v>
      </c>
      <c r="C926" s="7" t="str">
        <f t="shared" si="30"/>
        <v>0</v>
      </c>
      <c r="D926" s="7" t="str">
        <f t="shared" si="31"/>
        <v>0</v>
      </c>
    </row>
    <row r="927" spans="1:4" x14ac:dyDescent="0.3">
      <c r="A927" s="3">
        <v>45555.166666666664</v>
      </c>
      <c r="B927" s="1">
        <v>15.7</v>
      </c>
      <c r="C927" s="7" t="str">
        <f t="shared" si="30"/>
        <v>0</v>
      </c>
      <c r="D927" s="7" t="str">
        <f t="shared" si="31"/>
        <v>0</v>
      </c>
    </row>
    <row r="928" spans="1:4" x14ac:dyDescent="0.3">
      <c r="A928" s="3">
        <v>45555.1875</v>
      </c>
      <c r="B928" s="1">
        <v>15.5</v>
      </c>
      <c r="C928" s="7" t="str">
        <f t="shared" si="30"/>
        <v>0</v>
      </c>
      <c r="D928" s="7" t="str">
        <f t="shared" si="31"/>
        <v>0</v>
      </c>
    </row>
    <row r="929" spans="1:4" x14ac:dyDescent="0.3">
      <c r="A929" s="3">
        <v>45555.208333333336</v>
      </c>
      <c r="B929" s="1">
        <v>15.2</v>
      </c>
      <c r="C929" s="7" t="str">
        <f t="shared" si="30"/>
        <v>0</v>
      </c>
      <c r="D929" s="7" t="str">
        <f t="shared" si="31"/>
        <v>0</v>
      </c>
    </row>
    <row r="930" spans="1:4" x14ac:dyDescent="0.3">
      <c r="A930" s="3">
        <v>45555.229166666664</v>
      </c>
      <c r="B930" s="1">
        <v>15</v>
      </c>
      <c r="C930" s="7" t="str">
        <f t="shared" si="30"/>
        <v>0</v>
      </c>
      <c r="D930" s="7" t="str">
        <f t="shared" si="31"/>
        <v>0</v>
      </c>
    </row>
    <row r="931" spans="1:4" x14ac:dyDescent="0.3">
      <c r="A931" s="3">
        <v>45555.25</v>
      </c>
      <c r="B931" s="1">
        <v>15.5</v>
      </c>
      <c r="C931" s="7" t="str">
        <f t="shared" si="30"/>
        <v>0</v>
      </c>
      <c r="D931" s="7" t="str">
        <f t="shared" si="31"/>
        <v>0</v>
      </c>
    </row>
    <row r="932" spans="1:4" x14ac:dyDescent="0.3">
      <c r="A932" s="3">
        <v>45555.270833333336</v>
      </c>
      <c r="B932" s="1">
        <v>15.8</v>
      </c>
      <c r="C932" s="7" t="str">
        <f t="shared" si="30"/>
        <v>0</v>
      </c>
      <c r="D932" s="7" t="str">
        <f t="shared" si="31"/>
        <v>0</v>
      </c>
    </row>
    <row r="933" spans="1:4" x14ac:dyDescent="0.3">
      <c r="A933" s="3">
        <v>45555.291666666664</v>
      </c>
      <c r="B933" s="1">
        <v>16.3</v>
      </c>
      <c r="C933" s="7" t="str">
        <f t="shared" si="30"/>
        <v>0</v>
      </c>
      <c r="D933" s="7" t="str">
        <f t="shared" si="31"/>
        <v>0</v>
      </c>
    </row>
    <row r="934" spans="1:4" x14ac:dyDescent="0.3">
      <c r="A934" s="3">
        <v>45555.3125</v>
      </c>
      <c r="B934" s="1">
        <v>16.8</v>
      </c>
      <c r="C934" s="7" t="str">
        <f t="shared" si="30"/>
        <v>0</v>
      </c>
      <c r="D934" s="7" t="str">
        <f t="shared" si="31"/>
        <v>0</v>
      </c>
    </row>
    <row r="935" spans="1:4" x14ac:dyDescent="0.3">
      <c r="A935" s="3">
        <v>45555.333333333336</v>
      </c>
      <c r="B935" s="1">
        <v>17.8</v>
      </c>
      <c r="C935" s="7" t="str">
        <f t="shared" si="30"/>
        <v>0</v>
      </c>
      <c r="D935" s="7" t="str">
        <f t="shared" si="31"/>
        <v>0</v>
      </c>
    </row>
    <row r="936" spans="1:4" x14ac:dyDescent="0.3">
      <c r="A936" s="3">
        <v>45555.354166666664</v>
      </c>
      <c r="B936" s="1">
        <v>18.8</v>
      </c>
      <c r="C936" s="7" t="str">
        <f t="shared" si="30"/>
        <v>0</v>
      </c>
      <c r="D936" s="7" t="str">
        <f t="shared" si="31"/>
        <v>0</v>
      </c>
    </row>
    <row r="937" spans="1:4" x14ac:dyDescent="0.3">
      <c r="A937" s="3">
        <v>45555.375</v>
      </c>
      <c r="B937" s="1">
        <v>19.5</v>
      </c>
      <c r="C937" s="7" t="str">
        <f t="shared" si="30"/>
        <v>0</v>
      </c>
      <c r="D937" s="7" t="str">
        <f t="shared" si="31"/>
        <v>0</v>
      </c>
    </row>
    <row r="938" spans="1:4" x14ac:dyDescent="0.3">
      <c r="A938" s="3">
        <v>45555.395833333336</v>
      </c>
      <c r="B938" s="1">
        <v>20.3</v>
      </c>
      <c r="C938" s="7" t="str">
        <f t="shared" si="30"/>
        <v>0</v>
      </c>
      <c r="D938" s="7" t="str">
        <f t="shared" si="31"/>
        <v>0</v>
      </c>
    </row>
    <row r="939" spans="1:4" x14ac:dyDescent="0.3">
      <c r="A939" s="3">
        <v>45555.416666666664</v>
      </c>
      <c r="B939" s="1">
        <v>20.8</v>
      </c>
      <c r="C939" s="7" t="str">
        <f t="shared" si="30"/>
        <v>0</v>
      </c>
      <c r="D939" s="7" t="str">
        <f t="shared" si="31"/>
        <v>0</v>
      </c>
    </row>
    <row r="940" spans="1:4" x14ac:dyDescent="0.3">
      <c r="A940" s="3">
        <v>45555.4375</v>
      </c>
      <c r="B940" s="1">
        <v>21.6</v>
      </c>
      <c r="C940" s="7" t="str">
        <f t="shared" si="30"/>
        <v>0</v>
      </c>
      <c r="D940" s="7" t="str">
        <f t="shared" si="31"/>
        <v>0</v>
      </c>
    </row>
    <row r="941" spans="1:4" x14ac:dyDescent="0.3">
      <c r="A941" s="3">
        <v>45555.458333333336</v>
      </c>
      <c r="B941" s="1">
        <v>22.3</v>
      </c>
      <c r="C941" s="7" t="str">
        <f t="shared" si="30"/>
        <v>0</v>
      </c>
      <c r="D941" s="7" t="str">
        <f t="shared" si="31"/>
        <v>0</v>
      </c>
    </row>
    <row r="942" spans="1:4" x14ac:dyDescent="0.3">
      <c r="A942" s="3">
        <v>45555.479166666664</v>
      </c>
      <c r="B942" s="1">
        <v>22.8</v>
      </c>
      <c r="C942" s="7" t="str">
        <f t="shared" si="30"/>
        <v>0</v>
      </c>
      <c r="D942" s="7" t="str">
        <f t="shared" si="31"/>
        <v>0</v>
      </c>
    </row>
    <row r="943" spans="1:4" x14ac:dyDescent="0.3">
      <c r="A943" s="3">
        <v>45555.5</v>
      </c>
      <c r="B943" s="1">
        <v>23.4</v>
      </c>
      <c r="C943" s="7" t="str">
        <f t="shared" si="30"/>
        <v>0</v>
      </c>
      <c r="D943" s="7" t="str">
        <f t="shared" si="31"/>
        <v>0</v>
      </c>
    </row>
    <row r="944" spans="1:4" x14ac:dyDescent="0.3">
      <c r="A944" s="3">
        <v>45555.520833333336</v>
      </c>
      <c r="B944" s="1">
        <v>23.9</v>
      </c>
      <c r="C944" s="7" t="str">
        <f t="shared" si="30"/>
        <v>0</v>
      </c>
      <c r="D944" s="7" t="str">
        <f t="shared" si="31"/>
        <v>0</v>
      </c>
    </row>
    <row r="945" spans="1:4" x14ac:dyDescent="0.3">
      <c r="A945" s="3">
        <v>45555.541666666664</v>
      </c>
      <c r="B945" s="1">
        <v>24.4</v>
      </c>
      <c r="C945" s="7" t="str">
        <f t="shared" si="30"/>
        <v>0</v>
      </c>
      <c r="D945" s="7" t="str">
        <f t="shared" si="31"/>
        <v>0</v>
      </c>
    </row>
    <row r="946" spans="1:4" x14ac:dyDescent="0.3">
      <c r="A946" s="3">
        <v>45555.5625</v>
      </c>
      <c r="B946" s="1">
        <v>24.7</v>
      </c>
      <c r="C946" s="7" t="str">
        <f t="shared" si="30"/>
        <v>0</v>
      </c>
      <c r="D946" s="7" t="str">
        <f t="shared" si="31"/>
        <v>0</v>
      </c>
    </row>
    <row r="947" spans="1:4" x14ac:dyDescent="0.3">
      <c r="A947" s="3">
        <v>45555.583333333336</v>
      </c>
      <c r="B947" s="1">
        <v>24.4</v>
      </c>
      <c r="C947" s="7" t="str">
        <f t="shared" si="30"/>
        <v>0</v>
      </c>
      <c r="D947" s="7" t="str">
        <f t="shared" si="31"/>
        <v>0</v>
      </c>
    </row>
    <row r="948" spans="1:4" x14ac:dyDescent="0.3">
      <c r="A948" s="3">
        <v>45555.604166666664</v>
      </c>
      <c r="B948" s="1">
        <v>24.1</v>
      </c>
      <c r="C948" s="7" t="str">
        <f t="shared" si="30"/>
        <v>0</v>
      </c>
      <c r="D948" s="7" t="str">
        <f t="shared" si="31"/>
        <v>0</v>
      </c>
    </row>
    <row r="949" spans="1:4" x14ac:dyDescent="0.3">
      <c r="A949" s="3">
        <v>45555.625</v>
      </c>
      <c r="B949" s="1">
        <v>24.6</v>
      </c>
      <c r="C949" s="7" t="str">
        <f t="shared" si="30"/>
        <v>0</v>
      </c>
      <c r="D949" s="7" t="str">
        <f t="shared" si="31"/>
        <v>0</v>
      </c>
    </row>
    <row r="950" spans="1:4" x14ac:dyDescent="0.3">
      <c r="A950" s="3">
        <v>45555.645833333336</v>
      </c>
      <c r="B950" s="1">
        <v>24.5</v>
      </c>
      <c r="C950" s="7" t="str">
        <f t="shared" si="30"/>
        <v>0</v>
      </c>
      <c r="D950" s="7" t="str">
        <f t="shared" si="31"/>
        <v>0</v>
      </c>
    </row>
    <row r="951" spans="1:4" x14ac:dyDescent="0.3">
      <c r="A951" s="3">
        <v>45555.666666666664</v>
      </c>
      <c r="B951" s="1">
        <v>23.7</v>
      </c>
      <c r="C951" s="7" t="str">
        <f t="shared" si="30"/>
        <v>0</v>
      </c>
      <c r="D951" s="7" t="str">
        <f t="shared" si="31"/>
        <v>0</v>
      </c>
    </row>
    <row r="952" spans="1:4" x14ac:dyDescent="0.3">
      <c r="A952" s="3">
        <v>45555.6875</v>
      </c>
      <c r="B952" s="1">
        <v>23.1</v>
      </c>
      <c r="C952" s="7" t="str">
        <f t="shared" si="30"/>
        <v>0</v>
      </c>
      <c r="D952" s="7" t="str">
        <f t="shared" si="31"/>
        <v>0</v>
      </c>
    </row>
    <row r="953" spans="1:4" x14ac:dyDescent="0.3">
      <c r="A953" s="3">
        <v>45555.708333333336</v>
      </c>
      <c r="B953" s="1">
        <v>22.1</v>
      </c>
      <c r="C953" s="7" t="str">
        <f t="shared" si="30"/>
        <v>0</v>
      </c>
      <c r="D953" s="7" t="str">
        <f t="shared" si="31"/>
        <v>0</v>
      </c>
    </row>
    <row r="954" spans="1:4" x14ac:dyDescent="0.3">
      <c r="A954" s="3">
        <v>45555.729166666664</v>
      </c>
      <c r="B954" s="1">
        <v>21.5</v>
      </c>
      <c r="C954" s="7" t="str">
        <f t="shared" si="30"/>
        <v>0</v>
      </c>
      <c r="D954" s="7" t="str">
        <f t="shared" si="31"/>
        <v>0</v>
      </c>
    </row>
    <row r="955" spans="1:4" x14ac:dyDescent="0.3">
      <c r="A955" s="3">
        <v>45555.75</v>
      </c>
      <c r="B955" s="1">
        <v>21.3</v>
      </c>
      <c r="C955" s="7" t="str">
        <f t="shared" si="30"/>
        <v>0</v>
      </c>
      <c r="D955" s="7" t="str">
        <f t="shared" si="31"/>
        <v>0</v>
      </c>
    </row>
    <row r="956" spans="1:4" x14ac:dyDescent="0.3">
      <c r="A956" s="3">
        <v>45555.770833333336</v>
      </c>
      <c r="B956" s="1">
        <v>21</v>
      </c>
      <c r="C956" s="7" t="str">
        <f t="shared" si="30"/>
        <v>0</v>
      </c>
      <c r="D956" s="7" t="str">
        <f t="shared" si="31"/>
        <v>0</v>
      </c>
    </row>
    <row r="957" spans="1:4" x14ac:dyDescent="0.3">
      <c r="A957" s="3">
        <v>45555.791666666664</v>
      </c>
      <c r="B957" s="1">
        <v>20.8</v>
      </c>
      <c r="C957" s="7" t="str">
        <f t="shared" si="30"/>
        <v>0</v>
      </c>
      <c r="D957" s="7" t="str">
        <f t="shared" si="31"/>
        <v>0</v>
      </c>
    </row>
    <row r="958" spans="1:4" x14ac:dyDescent="0.3">
      <c r="A958" s="3">
        <v>45555.8125</v>
      </c>
      <c r="B958" s="1">
        <v>20.9</v>
      </c>
      <c r="C958" s="7" t="str">
        <f t="shared" si="30"/>
        <v>0</v>
      </c>
      <c r="D958" s="7" t="str">
        <f t="shared" si="31"/>
        <v>0</v>
      </c>
    </row>
    <row r="959" spans="1:4" x14ac:dyDescent="0.3">
      <c r="A959" s="3">
        <v>45555.833333333336</v>
      </c>
      <c r="B959" s="1">
        <v>20.9</v>
      </c>
      <c r="C959" s="7" t="str">
        <f t="shared" si="30"/>
        <v>0</v>
      </c>
      <c r="D959" s="7" t="str">
        <f t="shared" si="31"/>
        <v>0</v>
      </c>
    </row>
    <row r="960" spans="1:4" x14ac:dyDescent="0.3">
      <c r="A960" s="3">
        <v>45555.854166666664</v>
      </c>
      <c r="B960" s="1">
        <v>20.8</v>
      </c>
      <c r="C960" s="7" t="str">
        <f t="shared" si="30"/>
        <v>0</v>
      </c>
      <c r="D960" s="7" t="str">
        <f t="shared" si="31"/>
        <v>0</v>
      </c>
    </row>
    <row r="961" spans="1:4" x14ac:dyDescent="0.3">
      <c r="A961" s="3">
        <v>45555.875</v>
      </c>
      <c r="B961" s="1">
        <v>20.8</v>
      </c>
      <c r="C961" s="7" t="str">
        <f t="shared" si="30"/>
        <v>0</v>
      </c>
      <c r="D961" s="7" t="str">
        <f t="shared" si="31"/>
        <v>0</v>
      </c>
    </row>
    <row r="962" spans="1:4" x14ac:dyDescent="0.3">
      <c r="A962" s="3">
        <v>45555.895833333336</v>
      </c>
      <c r="B962" s="1">
        <v>20.6</v>
      </c>
      <c r="C962" s="7" t="str">
        <f t="shared" si="30"/>
        <v>0</v>
      </c>
      <c r="D962" s="7" t="str">
        <f t="shared" si="31"/>
        <v>0</v>
      </c>
    </row>
    <row r="963" spans="1:4" x14ac:dyDescent="0.3">
      <c r="A963" s="3">
        <v>45555.916666666664</v>
      </c>
      <c r="B963" s="1">
        <v>20.5</v>
      </c>
      <c r="C963" s="7" t="str">
        <f t="shared" ref="C963:C1026" si="32">IF(B963=$P$13,A963,"0")</f>
        <v>0</v>
      </c>
      <c r="D963" s="7" t="str">
        <f t="shared" ref="D963:D1026" si="33">IF(B963=$M$13,A963,"0")</f>
        <v>0</v>
      </c>
    </row>
    <row r="964" spans="1:4" x14ac:dyDescent="0.3">
      <c r="A964" s="3">
        <v>45555.9375</v>
      </c>
      <c r="B964" s="1">
        <v>20.399999999999999</v>
      </c>
      <c r="C964" s="7" t="str">
        <f t="shared" si="32"/>
        <v>0</v>
      </c>
      <c r="D964" s="7" t="str">
        <f t="shared" si="33"/>
        <v>0</v>
      </c>
    </row>
    <row r="965" spans="1:4" x14ac:dyDescent="0.3">
      <c r="A965" s="3">
        <v>45555.958333333336</v>
      </c>
      <c r="B965" s="1">
        <v>19.8</v>
      </c>
      <c r="C965" s="7" t="str">
        <f t="shared" si="32"/>
        <v>0</v>
      </c>
      <c r="D965" s="7" t="str">
        <f t="shared" si="33"/>
        <v>0</v>
      </c>
    </row>
    <row r="966" spans="1:4" x14ac:dyDescent="0.3">
      <c r="A966" s="3">
        <v>45555.979166666664</v>
      </c>
      <c r="B966" s="1">
        <v>19.5</v>
      </c>
      <c r="C966" s="7" t="str">
        <f t="shared" si="32"/>
        <v>0</v>
      </c>
      <c r="D966" s="7" t="str">
        <f t="shared" si="33"/>
        <v>0</v>
      </c>
    </row>
    <row r="967" spans="1:4" x14ac:dyDescent="0.3">
      <c r="A967" s="3">
        <v>45556</v>
      </c>
      <c r="B967" s="1">
        <v>18.899999999999999</v>
      </c>
      <c r="C967" s="7" t="str">
        <f t="shared" si="32"/>
        <v>0</v>
      </c>
      <c r="D967" s="7" t="str">
        <f t="shared" si="33"/>
        <v>0</v>
      </c>
    </row>
    <row r="968" spans="1:4" x14ac:dyDescent="0.3">
      <c r="A968" s="3">
        <v>45556.020833333336</v>
      </c>
      <c r="B968" s="1">
        <v>18.3</v>
      </c>
      <c r="C968" s="7" t="str">
        <f t="shared" si="32"/>
        <v>0</v>
      </c>
      <c r="D968" s="7" t="str">
        <f t="shared" si="33"/>
        <v>0</v>
      </c>
    </row>
    <row r="969" spans="1:4" x14ac:dyDescent="0.3">
      <c r="A969" s="3">
        <v>45556.041666666664</v>
      </c>
      <c r="B969" s="1">
        <v>18.5</v>
      </c>
      <c r="C969" s="7" t="str">
        <f t="shared" si="32"/>
        <v>0</v>
      </c>
      <c r="D969" s="7" t="str">
        <f t="shared" si="33"/>
        <v>0</v>
      </c>
    </row>
    <row r="970" spans="1:4" x14ac:dyDescent="0.3">
      <c r="A970" s="3">
        <v>45556.0625</v>
      </c>
      <c r="B970" s="1">
        <v>18.3</v>
      </c>
      <c r="C970" s="7" t="str">
        <f t="shared" si="32"/>
        <v>0</v>
      </c>
      <c r="D970" s="7" t="str">
        <f t="shared" si="33"/>
        <v>0</v>
      </c>
    </row>
    <row r="971" spans="1:4" x14ac:dyDescent="0.3">
      <c r="A971" s="3">
        <v>45556.083333333336</v>
      </c>
      <c r="B971" s="1">
        <v>18.5</v>
      </c>
      <c r="C971" s="7" t="str">
        <f t="shared" si="32"/>
        <v>0</v>
      </c>
      <c r="D971" s="7" t="str">
        <f t="shared" si="33"/>
        <v>0</v>
      </c>
    </row>
    <row r="972" spans="1:4" x14ac:dyDescent="0.3">
      <c r="A972" s="3">
        <v>45556.104166666664</v>
      </c>
      <c r="B972" s="1">
        <v>18.2</v>
      </c>
      <c r="C972" s="7" t="str">
        <f t="shared" si="32"/>
        <v>0</v>
      </c>
      <c r="D972" s="7" t="str">
        <f t="shared" si="33"/>
        <v>0</v>
      </c>
    </row>
    <row r="973" spans="1:4" x14ac:dyDescent="0.3">
      <c r="A973" s="3">
        <v>45556.125</v>
      </c>
      <c r="B973" s="1">
        <v>17.899999999999999</v>
      </c>
      <c r="C973" s="7" t="str">
        <f t="shared" si="32"/>
        <v>0</v>
      </c>
      <c r="D973" s="7" t="str">
        <f t="shared" si="33"/>
        <v>0</v>
      </c>
    </row>
    <row r="974" spans="1:4" x14ac:dyDescent="0.3">
      <c r="A974" s="3">
        <v>45556.145833333336</v>
      </c>
      <c r="B974" s="1">
        <v>17.899999999999999</v>
      </c>
      <c r="C974" s="7" t="str">
        <f t="shared" si="32"/>
        <v>0</v>
      </c>
      <c r="D974" s="7" t="str">
        <f t="shared" si="33"/>
        <v>0</v>
      </c>
    </row>
    <row r="975" spans="1:4" x14ac:dyDescent="0.3">
      <c r="A975" s="3">
        <v>45556.166666666664</v>
      </c>
      <c r="B975" s="1">
        <v>18.100000000000001</v>
      </c>
      <c r="C975" s="7" t="str">
        <f t="shared" si="32"/>
        <v>0</v>
      </c>
      <c r="D975" s="7" t="str">
        <f t="shared" si="33"/>
        <v>0</v>
      </c>
    </row>
    <row r="976" spans="1:4" x14ac:dyDescent="0.3">
      <c r="A976" s="3">
        <v>45556.1875</v>
      </c>
      <c r="B976" s="1">
        <v>17.899999999999999</v>
      </c>
      <c r="C976" s="7" t="str">
        <f t="shared" si="32"/>
        <v>0</v>
      </c>
      <c r="D976" s="7" t="str">
        <f t="shared" si="33"/>
        <v>0</v>
      </c>
    </row>
    <row r="977" spans="1:4" x14ac:dyDescent="0.3">
      <c r="A977" s="3">
        <v>45556.208333333336</v>
      </c>
      <c r="B977" s="1">
        <v>17.7</v>
      </c>
      <c r="C977" s="7" t="str">
        <f t="shared" si="32"/>
        <v>0</v>
      </c>
      <c r="D977" s="7" t="str">
        <f t="shared" si="33"/>
        <v>0</v>
      </c>
    </row>
    <row r="978" spans="1:4" x14ac:dyDescent="0.3">
      <c r="A978" s="3">
        <v>45556.229166666664</v>
      </c>
      <c r="B978" s="1">
        <v>17.7</v>
      </c>
      <c r="C978" s="7" t="str">
        <f t="shared" si="32"/>
        <v>0</v>
      </c>
      <c r="D978" s="7" t="str">
        <f t="shared" si="33"/>
        <v>0</v>
      </c>
    </row>
    <row r="979" spans="1:4" x14ac:dyDescent="0.3">
      <c r="A979" s="3">
        <v>45556.25</v>
      </c>
      <c r="B979" s="1">
        <v>18</v>
      </c>
      <c r="C979" s="7" t="str">
        <f t="shared" si="32"/>
        <v>0</v>
      </c>
      <c r="D979" s="7" t="str">
        <f t="shared" si="33"/>
        <v>0</v>
      </c>
    </row>
    <row r="980" spans="1:4" x14ac:dyDescent="0.3">
      <c r="A980" s="3">
        <v>45556.270833333336</v>
      </c>
      <c r="B980" s="1">
        <v>18</v>
      </c>
      <c r="C980" s="7" t="str">
        <f t="shared" si="32"/>
        <v>0</v>
      </c>
      <c r="D980" s="7" t="str">
        <f t="shared" si="33"/>
        <v>0</v>
      </c>
    </row>
    <row r="981" spans="1:4" x14ac:dyDescent="0.3">
      <c r="A981" s="3">
        <v>45556.291666666664</v>
      </c>
      <c r="B981" s="1">
        <v>18.5</v>
      </c>
      <c r="C981" s="7" t="str">
        <f t="shared" si="32"/>
        <v>0</v>
      </c>
      <c r="D981" s="7" t="str">
        <f t="shared" si="33"/>
        <v>0</v>
      </c>
    </row>
    <row r="982" spans="1:4" x14ac:dyDescent="0.3">
      <c r="A982" s="3">
        <v>45556.3125</v>
      </c>
      <c r="B982" s="1">
        <v>19.2</v>
      </c>
      <c r="C982" s="7" t="str">
        <f t="shared" si="32"/>
        <v>0</v>
      </c>
      <c r="D982" s="7" t="str">
        <f t="shared" si="33"/>
        <v>0</v>
      </c>
    </row>
    <row r="983" spans="1:4" x14ac:dyDescent="0.3">
      <c r="A983" s="3">
        <v>45556.333333333336</v>
      </c>
      <c r="B983" s="1">
        <v>20</v>
      </c>
      <c r="C983" s="7" t="str">
        <f t="shared" si="32"/>
        <v>0</v>
      </c>
      <c r="D983" s="7" t="str">
        <f t="shared" si="33"/>
        <v>0</v>
      </c>
    </row>
    <row r="984" spans="1:4" x14ac:dyDescent="0.3">
      <c r="A984" s="3">
        <v>45556.354166666664</v>
      </c>
      <c r="B984" s="1">
        <v>20.8</v>
      </c>
      <c r="C984" s="7" t="str">
        <f t="shared" si="32"/>
        <v>0</v>
      </c>
      <c r="D984" s="7" t="str">
        <f t="shared" si="33"/>
        <v>0</v>
      </c>
    </row>
    <row r="985" spans="1:4" x14ac:dyDescent="0.3">
      <c r="A985" s="3">
        <v>45556.375</v>
      </c>
      <c r="B985" s="1">
        <v>21.6</v>
      </c>
      <c r="C985" s="7" t="str">
        <f t="shared" si="32"/>
        <v>0</v>
      </c>
      <c r="D985" s="7" t="str">
        <f t="shared" si="33"/>
        <v>0</v>
      </c>
    </row>
    <row r="986" spans="1:4" x14ac:dyDescent="0.3">
      <c r="A986" s="3">
        <v>45556.395833333336</v>
      </c>
      <c r="B986" s="1">
        <v>22.4</v>
      </c>
      <c r="C986" s="7" t="str">
        <f t="shared" si="32"/>
        <v>0</v>
      </c>
      <c r="D986" s="7" t="str">
        <f t="shared" si="33"/>
        <v>0</v>
      </c>
    </row>
    <row r="987" spans="1:4" x14ac:dyDescent="0.3">
      <c r="A987" s="3">
        <v>45556.416666666664</v>
      </c>
      <c r="B987" s="1">
        <v>22.8</v>
      </c>
      <c r="C987" s="7" t="str">
        <f t="shared" si="32"/>
        <v>0</v>
      </c>
      <c r="D987" s="7" t="str">
        <f t="shared" si="33"/>
        <v>0</v>
      </c>
    </row>
    <row r="988" spans="1:4" x14ac:dyDescent="0.3">
      <c r="A988" s="3">
        <v>45556.4375</v>
      </c>
      <c r="B988" s="1">
        <v>23.4</v>
      </c>
      <c r="C988" s="7" t="str">
        <f t="shared" si="32"/>
        <v>0</v>
      </c>
      <c r="D988" s="7" t="str">
        <f t="shared" si="33"/>
        <v>0</v>
      </c>
    </row>
    <row r="989" spans="1:4" x14ac:dyDescent="0.3">
      <c r="A989" s="3">
        <v>45556.458333333336</v>
      </c>
      <c r="B989" s="1">
        <v>24.1</v>
      </c>
      <c r="C989" s="7" t="str">
        <f t="shared" si="32"/>
        <v>0</v>
      </c>
      <c r="D989" s="7" t="str">
        <f t="shared" si="33"/>
        <v>0</v>
      </c>
    </row>
    <row r="990" spans="1:4" x14ac:dyDescent="0.3">
      <c r="A990" s="3">
        <v>45556.479166666664</v>
      </c>
      <c r="B990" s="1">
        <v>24.8</v>
      </c>
      <c r="C990" s="7" t="str">
        <f t="shared" si="32"/>
        <v>0</v>
      </c>
      <c r="D990" s="7" t="str">
        <f t="shared" si="33"/>
        <v>0</v>
      </c>
    </row>
    <row r="991" spans="1:4" x14ac:dyDescent="0.3">
      <c r="A991" s="3">
        <v>45556.5</v>
      </c>
      <c r="B991" s="1">
        <v>25.2</v>
      </c>
      <c r="C991" s="7" t="str">
        <f t="shared" si="32"/>
        <v>0</v>
      </c>
      <c r="D991" s="7" t="str">
        <f t="shared" si="33"/>
        <v>0</v>
      </c>
    </row>
    <row r="992" spans="1:4" x14ac:dyDescent="0.3">
      <c r="A992" s="3">
        <v>45556.520833333336</v>
      </c>
      <c r="B992" s="1">
        <v>25.4</v>
      </c>
      <c r="C992" s="7" t="str">
        <f t="shared" si="32"/>
        <v>0</v>
      </c>
      <c r="D992" s="7" t="str">
        <f t="shared" si="33"/>
        <v>0</v>
      </c>
    </row>
    <row r="993" spans="1:4" x14ac:dyDescent="0.3">
      <c r="A993" s="3">
        <v>45556.541666666664</v>
      </c>
      <c r="B993" s="1">
        <v>25.6</v>
      </c>
      <c r="C993" s="7" t="str">
        <f t="shared" si="32"/>
        <v>0</v>
      </c>
      <c r="D993" s="7" t="str">
        <f t="shared" si="33"/>
        <v>0</v>
      </c>
    </row>
    <row r="994" spans="1:4" x14ac:dyDescent="0.3">
      <c r="A994" s="3">
        <v>45556.5625</v>
      </c>
      <c r="B994" s="1">
        <v>25.2</v>
      </c>
      <c r="C994" s="7" t="str">
        <f t="shared" si="32"/>
        <v>0</v>
      </c>
      <c r="D994" s="7" t="str">
        <f t="shared" si="33"/>
        <v>0</v>
      </c>
    </row>
    <row r="995" spans="1:4" x14ac:dyDescent="0.3">
      <c r="A995" s="3">
        <v>45556.583333333336</v>
      </c>
      <c r="B995" s="1">
        <v>25.4</v>
      </c>
      <c r="C995" s="7" t="str">
        <f t="shared" si="32"/>
        <v>0</v>
      </c>
      <c r="D995" s="7" t="str">
        <f t="shared" si="33"/>
        <v>0</v>
      </c>
    </row>
    <row r="996" spans="1:4" x14ac:dyDescent="0.3">
      <c r="A996" s="3">
        <v>45556.604166666664</v>
      </c>
      <c r="B996" s="1">
        <v>25.1</v>
      </c>
      <c r="C996" s="7" t="str">
        <f t="shared" si="32"/>
        <v>0</v>
      </c>
      <c r="D996" s="7" t="str">
        <f t="shared" si="33"/>
        <v>0</v>
      </c>
    </row>
    <row r="997" spans="1:4" x14ac:dyDescent="0.3">
      <c r="A997" s="3">
        <v>45556.625</v>
      </c>
      <c r="B997" s="1">
        <v>24.5</v>
      </c>
      <c r="C997" s="7" t="str">
        <f t="shared" si="32"/>
        <v>0</v>
      </c>
      <c r="D997" s="7" t="str">
        <f t="shared" si="33"/>
        <v>0</v>
      </c>
    </row>
    <row r="998" spans="1:4" x14ac:dyDescent="0.3">
      <c r="A998" s="3">
        <v>45556.645833333336</v>
      </c>
      <c r="B998" s="1">
        <v>24.3</v>
      </c>
      <c r="C998" s="7" t="str">
        <f t="shared" si="32"/>
        <v>0</v>
      </c>
      <c r="D998" s="7" t="str">
        <f t="shared" si="33"/>
        <v>0</v>
      </c>
    </row>
    <row r="999" spans="1:4" x14ac:dyDescent="0.3">
      <c r="A999" s="3">
        <v>45556.666666666664</v>
      </c>
      <c r="B999" s="1">
        <v>24.4</v>
      </c>
      <c r="C999" s="7" t="str">
        <f t="shared" si="32"/>
        <v>0</v>
      </c>
      <c r="D999" s="7" t="str">
        <f t="shared" si="33"/>
        <v>0</v>
      </c>
    </row>
    <row r="1000" spans="1:4" x14ac:dyDescent="0.3">
      <c r="A1000" s="3">
        <v>45556.6875</v>
      </c>
      <c r="B1000" s="1">
        <v>23.3</v>
      </c>
      <c r="C1000" s="7" t="str">
        <f t="shared" si="32"/>
        <v>0</v>
      </c>
      <c r="D1000" s="7" t="str">
        <f t="shared" si="33"/>
        <v>0</v>
      </c>
    </row>
    <row r="1001" spans="1:4" x14ac:dyDescent="0.3">
      <c r="A1001" s="3">
        <v>45556.708333333336</v>
      </c>
      <c r="B1001" s="1">
        <v>22.7</v>
      </c>
      <c r="C1001" s="7" t="str">
        <f t="shared" si="32"/>
        <v>0</v>
      </c>
      <c r="D1001" s="7" t="str">
        <f t="shared" si="33"/>
        <v>0</v>
      </c>
    </row>
    <row r="1002" spans="1:4" x14ac:dyDescent="0.3">
      <c r="A1002" s="3">
        <v>45556.729166666664</v>
      </c>
      <c r="B1002" s="1">
        <v>22.4</v>
      </c>
      <c r="C1002" s="7" t="str">
        <f t="shared" si="32"/>
        <v>0</v>
      </c>
      <c r="D1002" s="7" t="str">
        <f t="shared" si="33"/>
        <v>0</v>
      </c>
    </row>
    <row r="1003" spans="1:4" x14ac:dyDescent="0.3">
      <c r="A1003" s="3">
        <v>45556.75</v>
      </c>
      <c r="B1003" s="1">
        <v>22</v>
      </c>
      <c r="C1003" s="7" t="str">
        <f t="shared" si="32"/>
        <v>0</v>
      </c>
      <c r="D1003" s="7" t="str">
        <f t="shared" si="33"/>
        <v>0</v>
      </c>
    </row>
    <row r="1004" spans="1:4" x14ac:dyDescent="0.3">
      <c r="A1004" s="3">
        <v>45556.770833333336</v>
      </c>
      <c r="B1004" s="1">
        <v>21.9</v>
      </c>
      <c r="C1004" s="7" t="str">
        <f t="shared" si="32"/>
        <v>0</v>
      </c>
      <c r="D1004" s="7" t="str">
        <f t="shared" si="33"/>
        <v>0</v>
      </c>
    </row>
    <row r="1005" spans="1:4" x14ac:dyDescent="0.3">
      <c r="A1005" s="3">
        <v>45556.791666666664</v>
      </c>
      <c r="B1005" s="1">
        <v>21.8</v>
      </c>
      <c r="C1005" s="7" t="str">
        <f t="shared" si="32"/>
        <v>0</v>
      </c>
      <c r="D1005" s="7" t="str">
        <f t="shared" si="33"/>
        <v>0</v>
      </c>
    </row>
    <row r="1006" spans="1:4" x14ac:dyDescent="0.3">
      <c r="A1006" s="3">
        <v>45556.8125</v>
      </c>
      <c r="B1006" s="1">
        <v>21.7</v>
      </c>
      <c r="C1006" s="7" t="str">
        <f t="shared" si="32"/>
        <v>0</v>
      </c>
      <c r="D1006" s="7" t="str">
        <f t="shared" si="33"/>
        <v>0</v>
      </c>
    </row>
    <row r="1007" spans="1:4" x14ac:dyDescent="0.3">
      <c r="A1007" s="3">
        <v>45556.833333333336</v>
      </c>
      <c r="B1007" s="1">
        <v>21.6</v>
      </c>
      <c r="C1007" s="7" t="str">
        <f t="shared" si="32"/>
        <v>0</v>
      </c>
      <c r="D1007" s="7" t="str">
        <f t="shared" si="33"/>
        <v>0</v>
      </c>
    </row>
    <row r="1008" spans="1:4" x14ac:dyDescent="0.3">
      <c r="A1008" s="3">
        <v>45556.854166666664</v>
      </c>
      <c r="B1008" s="1">
        <v>21.5</v>
      </c>
      <c r="C1008" s="7" t="str">
        <f t="shared" si="32"/>
        <v>0</v>
      </c>
      <c r="D1008" s="7" t="str">
        <f t="shared" si="33"/>
        <v>0</v>
      </c>
    </row>
    <row r="1009" spans="1:4" x14ac:dyDescent="0.3">
      <c r="A1009" s="3">
        <v>45556.875</v>
      </c>
      <c r="B1009" s="1">
        <v>21.4</v>
      </c>
      <c r="C1009" s="7" t="str">
        <f t="shared" si="32"/>
        <v>0</v>
      </c>
      <c r="D1009" s="7" t="str">
        <f t="shared" si="33"/>
        <v>0</v>
      </c>
    </row>
    <row r="1010" spans="1:4" x14ac:dyDescent="0.3">
      <c r="A1010" s="3">
        <v>45556.895833333336</v>
      </c>
      <c r="B1010" s="1">
        <v>21.4</v>
      </c>
      <c r="C1010" s="7" t="str">
        <f t="shared" si="32"/>
        <v>0</v>
      </c>
      <c r="D1010" s="7" t="str">
        <f t="shared" si="33"/>
        <v>0</v>
      </c>
    </row>
    <row r="1011" spans="1:4" x14ac:dyDescent="0.3">
      <c r="A1011" s="3">
        <v>45556.916666666664</v>
      </c>
      <c r="B1011" s="1">
        <v>21.4</v>
      </c>
      <c r="C1011" s="7" t="str">
        <f t="shared" si="32"/>
        <v>0</v>
      </c>
      <c r="D1011" s="7" t="str">
        <f t="shared" si="33"/>
        <v>0</v>
      </c>
    </row>
    <row r="1012" spans="1:4" x14ac:dyDescent="0.3">
      <c r="A1012" s="3">
        <v>45556.9375</v>
      </c>
      <c r="B1012" s="1">
        <v>21.3</v>
      </c>
      <c r="C1012" s="7" t="str">
        <f t="shared" si="32"/>
        <v>0</v>
      </c>
      <c r="D1012" s="7" t="str">
        <f t="shared" si="33"/>
        <v>0</v>
      </c>
    </row>
    <row r="1013" spans="1:4" x14ac:dyDescent="0.3">
      <c r="A1013" s="3">
        <v>45556.958333333336</v>
      </c>
      <c r="B1013" s="1">
        <v>19.8</v>
      </c>
      <c r="C1013" s="7" t="str">
        <f t="shared" si="32"/>
        <v>0</v>
      </c>
      <c r="D1013" s="7" t="str">
        <f t="shared" si="33"/>
        <v>0</v>
      </c>
    </row>
    <row r="1014" spans="1:4" x14ac:dyDescent="0.3">
      <c r="A1014" s="3">
        <v>45556.979166666664</v>
      </c>
      <c r="B1014" s="1">
        <v>19.7</v>
      </c>
      <c r="C1014" s="7" t="str">
        <f t="shared" si="32"/>
        <v>0</v>
      </c>
      <c r="D1014" s="7" t="str">
        <f t="shared" si="33"/>
        <v>0</v>
      </c>
    </row>
    <row r="1015" spans="1:4" x14ac:dyDescent="0.3">
      <c r="A1015" s="3">
        <v>45557</v>
      </c>
      <c r="B1015" s="1">
        <v>19.2</v>
      </c>
      <c r="C1015" s="7" t="str">
        <f t="shared" si="32"/>
        <v>0</v>
      </c>
      <c r="D1015" s="7" t="str">
        <f t="shared" si="33"/>
        <v>0</v>
      </c>
    </row>
    <row r="1016" spans="1:4" x14ac:dyDescent="0.3">
      <c r="A1016" s="3">
        <v>45557.020833333336</v>
      </c>
      <c r="B1016" s="1">
        <v>18.7</v>
      </c>
      <c r="C1016" s="7" t="str">
        <f t="shared" si="32"/>
        <v>0</v>
      </c>
      <c r="D1016" s="7" t="str">
        <f t="shared" si="33"/>
        <v>0</v>
      </c>
    </row>
    <row r="1017" spans="1:4" x14ac:dyDescent="0.3">
      <c r="A1017" s="3">
        <v>45557.041666666664</v>
      </c>
      <c r="B1017" s="1">
        <v>18.5</v>
      </c>
      <c r="C1017" s="7" t="str">
        <f t="shared" si="32"/>
        <v>0</v>
      </c>
      <c r="D1017" s="7" t="str">
        <f t="shared" si="33"/>
        <v>0</v>
      </c>
    </row>
    <row r="1018" spans="1:4" x14ac:dyDescent="0.3">
      <c r="A1018" s="3">
        <v>45557.0625</v>
      </c>
      <c r="B1018" s="1">
        <v>18.7</v>
      </c>
      <c r="C1018" s="7" t="str">
        <f t="shared" si="32"/>
        <v>0</v>
      </c>
      <c r="D1018" s="7" t="str">
        <f t="shared" si="33"/>
        <v>0</v>
      </c>
    </row>
    <row r="1019" spans="1:4" x14ac:dyDescent="0.3">
      <c r="A1019" s="3">
        <v>45557.083333333336</v>
      </c>
      <c r="B1019" s="1">
        <v>18.5</v>
      </c>
      <c r="C1019" s="7" t="str">
        <f t="shared" si="32"/>
        <v>0</v>
      </c>
      <c r="D1019" s="7" t="str">
        <f t="shared" si="33"/>
        <v>0</v>
      </c>
    </row>
    <row r="1020" spans="1:4" x14ac:dyDescent="0.3">
      <c r="A1020" s="3">
        <v>45557.104166666664</v>
      </c>
      <c r="B1020" s="1">
        <v>18.600000000000001</v>
      </c>
      <c r="C1020" s="7" t="str">
        <f t="shared" si="32"/>
        <v>0</v>
      </c>
      <c r="D1020" s="7" t="str">
        <f t="shared" si="33"/>
        <v>0</v>
      </c>
    </row>
    <row r="1021" spans="1:4" x14ac:dyDescent="0.3">
      <c r="A1021" s="3">
        <v>45557.125</v>
      </c>
      <c r="B1021" s="1">
        <v>18.399999999999999</v>
      </c>
      <c r="C1021" s="7" t="str">
        <f t="shared" si="32"/>
        <v>0</v>
      </c>
      <c r="D1021" s="7" t="str">
        <f t="shared" si="33"/>
        <v>0</v>
      </c>
    </row>
    <row r="1022" spans="1:4" x14ac:dyDescent="0.3">
      <c r="A1022" s="3">
        <v>45557.145833333336</v>
      </c>
      <c r="B1022" s="1">
        <v>18.100000000000001</v>
      </c>
      <c r="C1022" s="7" t="str">
        <f t="shared" si="32"/>
        <v>0</v>
      </c>
      <c r="D1022" s="7" t="str">
        <f t="shared" si="33"/>
        <v>0</v>
      </c>
    </row>
    <row r="1023" spans="1:4" x14ac:dyDescent="0.3">
      <c r="A1023" s="3">
        <v>45557.166666666664</v>
      </c>
      <c r="B1023" s="1">
        <v>17.899999999999999</v>
      </c>
      <c r="C1023" s="7" t="str">
        <f t="shared" si="32"/>
        <v>0</v>
      </c>
      <c r="D1023" s="7" t="str">
        <f t="shared" si="33"/>
        <v>0</v>
      </c>
    </row>
    <row r="1024" spans="1:4" x14ac:dyDescent="0.3">
      <c r="A1024" s="3">
        <v>45557.1875</v>
      </c>
      <c r="B1024" s="1">
        <v>18</v>
      </c>
      <c r="C1024" s="7" t="str">
        <f t="shared" si="32"/>
        <v>0</v>
      </c>
      <c r="D1024" s="7" t="str">
        <f t="shared" si="33"/>
        <v>0</v>
      </c>
    </row>
    <row r="1025" spans="1:4" x14ac:dyDescent="0.3">
      <c r="A1025" s="3">
        <v>45557.208333333336</v>
      </c>
      <c r="B1025" s="1">
        <v>17.899999999999999</v>
      </c>
      <c r="C1025" s="7" t="str">
        <f t="shared" si="32"/>
        <v>0</v>
      </c>
      <c r="D1025" s="7" t="str">
        <f t="shared" si="33"/>
        <v>0</v>
      </c>
    </row>
    <row r="1026" spans="1:4" x14ac:dyDescent="0.3">
      <c r="A1026" s="3">
        <v>45557.229166666664</v>
      </c>
      <c r="B1026" s="1">
        <v>17.899999999999999</v>
      </c>
      <c r="C1026" s="7" t="str">
        <f t="shared" si="32"/>
        <v>0</v>
      </c>
      <c r="D1026" s="7" t="str">
        <f t="shared" si="33"/>
        <v>0</v>
      </c>
    </row>
    <row r="1027" spans="1:4" x14ac:dyDescent="0.3">
      <c r="A1027" s="3">
        <v>45557.25</v>
      </c>
      <c r="B1027" s="1">
        <v>17.899999999999999</v>
      </c>
      <c r="C1027" s="7" t="str">
        <f t="shared" ref="C1027:C1090" si="34">IF(B1027=$P$13,A1027,"0")</f>
        <v>0</v>
      </c>
      <c r="D1027" s="7" t="str">
        <f t="shared" ref="D1027:D1090" si="35">IF(B1027=$M$13,A1027,"0")</f>
        <v>0</v>
      </c>
    </row>
    <row r="1028" spans="1:4" x14ac:dyDescent="0.3">
      <c r="A1028" s="3">
        <v>45557.270833333336</v>
      </c>
      <c r="B1028" s="1">
        <v>17.8</v>
      </c>
      <c r="C1028" s="7" t="str">
        <f t="shared" si="34"/>
        <v>0</v>
      </c>
      <c r="D1028" s="7" t="str">
        <f t="shared" si="35"/>
        <v>0</v>
      </c>
    </row>
    <row r="1029" spans="1:4" x14ac:dyDescent="0.3">
      <c r="A1029" s="3">
        <v>45557.291666666664</v>
      </c>
      <c r="B1029" s="1">
        <v>17.899999999999999</v>
      </c>
      <c r="C1029" s="7" t="str">
        <f t="shared" si="34"/>
        <v>0</v>
      </c>
      <c r="D1029" s="7" t="str">
        <f t="shared" si="35"/>
        <v>0</v>
      </c>
    </row>
    <row r="1030" spans="1:4" x14ac:dyDescent="0.3">
      <c r="A1030" s="3">
        <v>45557.3125</v>
      </c>
      <c r="B1030" s="1">
        <v>18.3</v>
      </c>
      <c r="C1030" s="7" t="str">
        <f t="shared" si="34"/>
        <v>0</v>
      </c>
      <c r="D1030" s="7" t="str">
        <f t="shared" si="35"/>
        <v>0</v>
      </c>
    </row>
    <row r="1031" spans="1:4" x14ac:dyDescent="0.3">
      <c r="A1031" s="3">
        <v>45557.333333333336</v>
      </c>
      <c r="B1031" s="1">
        <v>19.399999999999999</v>
      </c>
      <c r="C1031" s="7" t="str">
        <f t="shared" si="34"/>
        <v>0</v>
      </c>
      <c r="D1031" s="7" t="str">
        <f t="shared" si="35"/>
        <v>0</v>
      </c>
    </row>
    <row r="1032" spans="1:4" x14ac:dyDescent="0.3">
      <c r="A1032" s="3">
        <v>45557.354166666664</v>
      </c>
      <c r="B1032" s="1">
        <v>20.3</v>
      </c>
      <c r="C1032" s="7" t="str">
        <f t="shared" si="34"/>
        <v>0</v>
      </c>
      <c r="D1032" s="7" t="str">
        <f t="shared" si="35"/>
        <v>0</v>
      </c>
    </row>
    <row r="1033" spans="1:4" x14ac:dyDescent="0.3">
      <c r="A1033" s="3">
        <v>45557.375</v>
      </c>
      <c r="B1033" s="1">
        <v>21.1</v>
      </c>
      <c r="C1033" s="7" t="str">
        <f t="shared" si="34"/>
        <v>0</v>
      </c>
      <c r="D1033" s="7" t="str">
        <f t="shared" si="35"/>
        <v>0</v>
      </c>
    </row>
    <row r="1034" spans="1:4" x14ac:dyDescent="0.3">
      <c r="A1034" s="3">
        <v>45557.395833333336</v>
      </c>
      <c r="B1034" s="1">
        <v>21.7</v>
      </c>
      <c r="C1034" s="7" t="str">
        <f t="shared" si="34"/>
        <v>0</v>
      </c>
      <c r="D1034" s="7" t="str">
        <f t="shared" si="35"/>
        <v>0</v>
      </c>
    </row>
    <row r="1035" spans="1:4" x14ac:dyDescent="0.3">
      <c r="A1035" s="3">
        <v>45557.416666666664</v>
      </c>
      <c r="B1035" s="1">
        <v>22.1</v>
      </c>
      <c r="C1035" s="7" t="str">
        <f t="shared" si="34"/>
        <v>0</v>
      </c>
      <c r="D1035" s="7" t="str">
        <f t="shared" si="35"/>
        <v>0</v>
      </c>
    </row>
    <row r="1036" spans="1:4" x14ac:dyDescent="0.3">
      <c r="A1036" s="3">
        <v>45557.4375</v>
      </c>
      <c r="B1036" s="1">
        <v>22.9</v>
      </c>
      <c r="C1036" s="7" t="str">
        <f t="shared" si="34"/>
        <v>0</v>
      </c>
      <c r="D1036" s="7" t="str">
        <f t="shared" si="35"/>
        <v>0</v>
      </c>
    </row>
    <row r="1037" spans="1:4" x14ac:dyDescent="0.3">
      <c r="A1037" s="3">
        <v>45557.458333333336</v>
      </c>
      <c r="B1037" s="1">
        <v>23.4</v>
      </c>
      <c r="C1037" s="7" t="str">
        <f t="shared" si="34"/>
        <v>0</v>
      </c>
      <c r="D1037" s="7" t="str">
        <f t="shared" si="35"/>
        <v>0</v>
      </c>
    </row>
    <row r="1038" spans="1:4" x14ac:dyDescent="0.3">
      <c r="A1038" s="3">
        <v>45557.479166666664</v>
      </c>
      <c r="B1038" s="1">
        <v>24.5</v>
      </c>
      <c r="C1038" s="7" t="str">
        <f t="shared" si="34"/>
        <v>0</v>
      </c>
      <c r="D1038" s="7" t="str">
        <f t="shared" si="35"/>
        <v>0</v>
      </c>
    </row>
    <row r="1039" spans="1:4" x14ac:dyDescent="0.3">
      <c r="A1039" s="3">
        <v>45557.5</v>
      </c>
      <c r="B1039" s="1">
        <v>24.8</v>
      </c>
      <c r="C1039" s="7" t="str">
        <f t="shared" si="34"/>
        <v>0</v>
      </c>
      <c r="D1039" s="7" t="str">
        <f t="shared" si="35"/>
        <v>0</v>
      </c>
    </row>
    <row r="1040" spans="1:4" x14ac:dyDescent="0.3">
      <c r="A1040" s="3">
        <v>45557.520833333336</v>
      </c>
      <c r="B1040" s="1">
        <v>25.4</v>
      </c>
      <c r="C1040" s="7" t="str">
        <f t="shared" si="34"/>
        <v>0</v>
      </c>
      <c r="D1040" s="7" t="str">
        <f t="shared" si="35"/>
        <v>0</v>
      </c>
    </row>
    <row r="1041" spans="1:4" x14ac:dyDescent="0.3">
      <c r="A1041" s="3">
        <v>45557.541666666664</v>
      </c>
      <c r="B1041" s="1">
        <v>25.7</v>
      </c>
      <c r="C1041" s="7" t="str">
        <f t="shared" si="34"/>
        <v>0</v>
      </c>
      <c r="D1041" s="7" t="str">
        <f t="shared" si="35"/>
        <v>0</v>
      </c>
    </row>
    <row r="1042" spans="1:4" x14ac:dyDescent="0.3">
      <c r="A1042" s="3">
        <v>45557.5625</v>
      </c>
      <c r="B1042" s="1">
        <v>25.4</v>
      </c>
      <c r="C1042" s="7" t="str">
        <f t="shared" si="34"/>
        <v>0</v>
      </c>
      <c r="D1042" s="7" t="str">
        <f t="shared" si="35"/>
        <v>0</v>
      </c>
    </row>
    <row r="1043" spans="1:4" x14ac:dyDescent="0.3">
      <c r="A1043" s="3">
        <v>45557.583333333336</v>
      </c>
      <c r="B1043" s="1">
        <v>25</v>
      </c>
      <c r="C1043" s="7" t="str">
        <f t="shared" si="34"/>
        <v>0</v>
      </c>
      <c r="D1043" s="7" t="str">
        <f t="shared" si="35"/>
        <v>0</v>
      </c>
    </row>
    <row r="1044" spans="1:4" x14ac:dyDescent="0.3">
      <c r="A1044" s="3">
        <v>45557.604166666664</v>
      </c>
      <c r="B1044" s="1">
        <v>24.7</v>
      </c>
      <c r="C1044" s="7" t="str">
        <f t="shared" si="34"/>
        <v>0</v>
      </c>
      <c r="D1044" s="7" t="str">
        <f t="shared" si="35"/>
        <v>0</v>
      </c>
    </row>
    <row r="1045" spans="1:4" x14ac:dyDescent="0.3">
      <c r="A1045" s="3">
        <v>45557.625</v>
      </c>
      <c r="B1045" s="1">
        <v>24.2</v>
      </c>
      <c r="C1045" s="7" t="str">
        <f t="shared" si="34"/>
        <v>0</v>
      </c>
      <c r="D1045" s="7" t="str">
        <f t="shared" si="35"/>
        <v>0</v>
      </c>
    </row>
    <row r="1046" spans="1:4" x14ac:dyDescent="0.3">
      <c r="A1046" s="3">
        <v>45557.645833333336</v>
      </c>
      <c r="B1046" s="1">
        <v>23.8</v>
      </c>
      <c r="C1046" s="7" t="str">
        <f t="shared" si="34"/>
        <v>0</v>
      </c>
      <c r="D1046" s="7" t="str">
        <f t="shared" si="35"/>
        <v>0</v>
      </c>
    </row>
    <row r="1047" spans="1:4" x14ac:dyDescent="0.3">
      <c r="A1047" s="3">
        <v>45557.666666666664</v>
      </c>
      <c r="B1047" s="1">
        <v>23.6</v>
      </c>
      <c r="C1047" s="7" t="str">
        <f t="shared" si="34"/>
        <v>0</v>
      </c>
      <c r="D1047" s="7" t="str">
        <f t="shared" si="35"/>
        <v>0</v>
      </c>
    </row>
    <row r="1048" spans="1:4" x14ac:dyDescent="0.3">
      <c r="A1048" s="3">
        <v>45557.6875</v>
      </c>
      <c r="B1048" s="1">
        <v>23.4</v>
      </c>
      <c r="C1048" s="7" t="str">
        <f t="shared" si="34"/>
        <v>0</v>
      </c>
      <c r="D1048" s="7" t="str">
        <f t="shared" si="35"/>
        <v>0</v>
      </c>
    </row>
    <row r="1049" spans="1:4" x14ac:dyDescent="0.3">
      <c r="A1049" s="3">
        <v>45557.708333333336</v>
      </c>
      <c r="B1049" s="1">
        <v>23.1</v>
      </c>
      <c r="C1049" s="7" t="str">
        <f t="shared" si="34"/>
        <v>0</v>
      </c>
      <c r="D1049" s="7" t="str">
        <f t="shared" si="35"/>
        <v>0</v>
      </c>
    </row>
    <row r="1050" spans="1:4" x14ac:dyDescent="0.3">
      <c r="A1050" s="3">
        <v>45557.729166666664</v>
      </c>
      <c r="B1050" s="1">
        <v>23</v>
      </c>
      <c r="C1050" s="7" t="str">
        <f t="shared" si="34"/>
        <v>0</v>
      </c>
      <c r="D1050" s="7" t="str">
        <f t="shared" si="35"/>
        <v>0</v>
      </c>
    </row>
    <row r="1051" spans="1:4" x14ac:dyDescent="0.3">
      <c r="A1051" s="3">
        <v>45557.75</v>
      </c>
      <c r="B1051" s="1">
        <v>22.8</v>
      </c>
      <c r="C1051" s="7" t="str">
        <f t="shared" si="34"/>
        <v>0</v>
      </c>
      <c r="D1051" s="7" t="str">
        <f t="shared" si="35"/>
        <v>0</v>
      </c>
    </row>
    <row r="1052" spans="1:4" x14ac:dyDescent="0.3">
      <c r="A1052" s="3">
        <v>45557.770833333336</v>
      </c>
      <c r="B1052" s="1">
        <v>22.6</v>
      </c>
      <c r="C1052" s="7" t="str">
        <f t="shared" si="34"/>
        <v>0</v>
      </c>
      <c r="D1052" s="7" t="str">
        <f t="shared" si="35"/>
        <v>0</v>
      </c>
    </row>
    <row r="1053" spans="1:4" x14ac:dyDescent="0.3">
      <c r="A1053" s="3">
        <v>45557.791666666664</v>
      </c>
      <c r="B1053" s="1">
        <v>22.4</v>
      </c>
      <c r="C1053" s="7" t="str">
        <f t="shared" si="34"/>
        <v>0</v>
      </c>
      <c r="D1053" s="7" t="str">
        <f t="shared" si="35"/>
        <v>0</v>
      </c>
    </row>
    <row r="1054" spans="1:4" x14ac:dyDescent="0.3">
      <c r="A1054" s="3">
        <v>45557.8125</v>
      </c>
      <c r="B1054" s="1">
        <v>22.3</v>
      </c>
      <c r="C1054" s="7" t="str">
        <f t="shared" si="34"/>
        <v>0</v>
      </c>
      <c r="D1054" s="7" t="str">
        <f t="shared" si="35"/>
        <v>0</v>
      </c>
    </row>
    <row r="1055" spans="1:4" x14ac:dyDescent="0.3">
      <c r="A1055" s="3">
        <v>45557.833333333336</v>
      </c>
      <c r="B1055" s="1">
        <v>22.2</v>
      </c>
      <c r="C1055" s="7" t="str">
        <f t="shared" si="34"/>
        <v>0</v>
      </c>
      <c r="D1055" s="7" t="str">
        <f t="shared" si="35"/>
        <v>0</v>
      </c>
    </row>
    <row r="1056" spans="1:4" x14ac:dyDescent="0.3">
      <c r="A1056" s="3">
        <v>45557.854166666664</v>
      </c>
      <c r="B1056" s="1">
        <v>22.1</v>
      </c>
      <c r="C1056" s="7" t="str">
        <f t="shared" si="34"/>
        <v>0</v>
      </c>
      <c r="D1056" s="7" t="str">
        <f t="shared" si="35"/>
        <v>0</v>
      </c>
    </row>
    <row r="1057" spans="1:4" x14ac:dyDescent="0.3">
      <c r="A1057" s="3">
        <v>45557.875</v>
      </c>
      <c r="B1057" s="1">
        <v>22</v>
      </c>
      <c r="C1057" s="7" t="str">
        <f t="shared" si="34"/>
        <v>0</v>
      </c>
      <c r="D1057" s="7" t="str">
        <f t="shared" si="35"/>
        <v>0</v>
      </c>
    </row>
    <row r="1058" spans="1:4" x14ac:dyDescent="0.3">
      <c r="A1058" s="3">
        <v>45557.895833333336</v>
      </c>
      <c r="B1058" s="1">
        <v>21.8</v>
      </c>
      <c r="C1058" s="7" t="str">
        <f t="shared" si="34"/>
        <v>0</v>
      </c>
      <c r="D1058" s="7" t="str">
        <f t="shared" si="35"/>
        <v>0</v>
      </c>
    </row>
    <row r="1059" spans="1:4" x14ac:dyDescent="0.3">
      <c r="A1059" s="3">
        <v>45557.916666666664</v>
      </c>
      <c r="B1059" s="1">
        <v>21.3</v>
      </c>
      <c r="C1059" s="7" t="str">
        <f t="shared" si="34"/>
        <v>0</v>
      </c>
      <c r="D1059" s="7" t="str">
        <f t="shared" si="35"/>
        <v>0</v>
      </c>
    </row>
    <row r="1060" spans="1:4" x14ac:dyDescent="0.3">
      <c r="A1060" s="3">
        <v>45557.9375</v>
      </c>
      <c r="B1060" s="1">
        <v>21.4</v>
      </c>
      <c r="C1060" s="7" t="str">
        <f t="shared" si="34"/>
        <v>0</v>
      </c>
      <c r="D1060" s="7" t="str">
        <f t="shared" si="35"/>
        <v>0</v>
      </c>
    </row>
    <row r="1061" spans="1:4" x14ac:dyDescent="0.3">
      <c r="A1061" s="3">
        <v>45557.958333333336</v>
      </c>
      <c r="B1061" s="1">
        <v>21.2</v>
      </c>
      <c r="C1061" s="7" t="str">
        <f t="shared" si="34"/>
        <v>0</v>
      </c>
      <c r="D1061" s="7" t="str">
        <f t="shared" si="35"/>
        <v>0</v>
      </c>
    </row>
    <row r="1062" spans="1:4" x14ac:dyDescent="0.3">
      <c r="A1062" s="3">
        <v>45557.979166666664</v>
      </c>
      <c r="B1062" s="1">
        <v>21.1</v>
      </c>
      <c r="C1062" s="7" t="str">
        <f t="shared" si="34"/>
        <v>0</v>
      </c>
      <c r="D1062" s="7" t="str">
        <f t="shared" si="35"/>
        <v>0</v>
      </c>
    </row>
    <row r="1063" spans="1:4" x14ac:dyDescent="0.3">
      <c r="A1063" s="3">
        <v>45558</v>
      </c>
      <c r="B1063" s="1">
        <v>21</v>
      </c>
      <c r="C1063" s="7" t="str">
        <f t="shared" si="34"/>
        <v>0</v>
      </c>
      <c r="D1063" s="7" t="str">
        <f t="shared" si="35"/>
        <v>0</v>
      </c>
    </row>
    <row r="1064" spans="1:4" x14ac:dyDescent="0.3">
      <c r="A1064" s="3">
        <v>45558.020833333336</v>
      </c>
      <c r="B1064" s="1">
        <v>20.7</v>
      </c>
      <c r="C1064" s="7" t="str">
        <f t="shared" si="34"/>
        <v>0</v>
      </c>
      <c r="D1064" s="7" t="str">
        <f t="shared" si="35"/>
        <v>0</v>
      </c>
    </row>
    <row r="1065" spans="1:4" x14ac:dyDescent="0.3">
      <c r="A1065" s="3">
        <v>45558.041666666664</v>
      </c>
      <c r="B1065" s="1">
        <v>20.5</v>
      </c>
      <c r="C1065" s="7" t="str">
        <f t="shared" si="34"/>
        <v>0</v>
      </c>
      <c r="D1065" s="7" t="str">
        <f t="shared" si="35"/>
        <v>0</v>
      </c>
    </row>
    <row r="1066" spans="1:4" x14ac:dyDescent="0.3">
      <c r="A1066" s="3">
        <v>45558.0625</v>
      </c>
      <c r="B1066" s="1">
        <v>20.100000000000001</v>
      </c>
      <c r="C1066" s="7" t="str">
        <f t="shared" si="34"/>
        <v>0</v>
      </c>
      <c r="D1066" s="7" t="str">
        <f t="shared" si="35"/>
        <v>0</v>
      </c>
    </row>
    <row r="1067" spans="1:4" x14ac:dyDescent="0.3">
      <c r="A1067" s="3">
        <v>45558.083333333336</v>
      </c>
      <c r="B1067" s="1">
        <v>19.399999999999999</v>
      </c>
      <c r="C1067" s="7" t="str">
        <f t="shared" si="34"/>
        <v>0</v>
      </c>
      <c r="D1067" s="7" t="str">
        <f t="shared" si="35"/>
        <v>0</v>
      </c>
    </row>
    <row r="1068" spans="1:4" x14ac:dyDescent="0.3">
      <c r="A1068" s="3">
        <v>45558.104166666664</v>
      </c>
      <c r="B1068" s="1">
        <v>19.3</v>
      </c>
      <c r="C1068" s="7" t="str">
        <f t="shared" si="34"/>
        <v>0</v>
      </c>
      <c r="D1068" s="7" t="str">
        <f t="shared" si="35"/>
        <v>0</v>
      </c>
    </row>
    <row r="1069" spans="1:4" x14ac:dyDescent="0.3">
      <c r="A1069" s="3">
        <v>45558.125</v>
      </c>
      <c r="B1069" s="1">
        <v>19</v>
      </c>
      <c r="C1069" s="7" t="str">
        <f t="shared" si="34"/>
        <v>0</v>
      </c>
      <c r="D1069" s="7" t="str">
        <f t="shared" si="35"/>
        <v>0</v>
      </c>
    </row>
    <row r="1070" spans="1:4" x14ac:dyDescent="0.3">
      <c r="A1070" s="3">
        <v>45558.145833333336</v>
      </c>
      <c r="B1070" s="1">
        <v>18.899999999999999</v>
      </c>
      <c r="C1070" s="7" t="str">
        <f t="shared" si="34"/>
        <v>0</v>
      </c>
      <c r="D1070" s="7" t="str">
        <f t="shared" si="35"/>
        <v>0</v>
      </c>
    </row>
    <row r="1071" spans="1:4" x14ac:dyDescent="0.3">
      <c r="A1071" s="3">
        <v>45558.166666666664</v>
      </c>
      <c r="B1071" s="1">
        <v>18.8</v>
      </c>
      <c r="C1071" s="7" t="str">
        <f t="shared" si="34"/>
        <v>0</v>
      </c>
      <c r="D1071" s="7" t="str">
        <f t="shared" si="35"/>
        <v>0</v>
      </c>
    </row>
    <row r="1072" spans="1:4" x14ac:dyDescent="0.3">
      <c r="A1072" s="3">
        <v>45558.1875</v>
      </c>
      <c r="B1072" s="1">
        <v>18.399999999999999</v>
      </c>
      <c r="C1072" s="7" t="str">
        <f t="shared" si="34"/>
        <v>0</v>
      </c>
      <c r="D1072" s="7" t="str">
        <f t="shared" si="35"/>
        <v>0</v>
      </c>
    </row>
    <row r="1073" spans="1:4" x14ac:dyDescent="0.3">
      <c r="A1073" s="3">
        <v>45558.208333333336</v>
      </c>
      <c r="B1073" s="1">
        <v>18.3</v>
      </c>
      <c r="C1073" s="7" t="str">
        <f t="shared" si="34"/>
        <v>0</v>
      </c>
      <c r="D1073" s="7" t="str">
        <f t="shared" si="35"/>
        <v>0</v>
      </c>
    </row>
    <row r="1074" spans="1:4" x14ac:dyDescent="0.3">
      <c r="A1074" s="3">
        <v>45558.229166666664</v>
      </c>
      <c r="B1074" s="1">
        <v>18.3</v>
      </c>
      <c r="C1074" s="7" t="str">
        <f t="shared" si="34"/>
        <v>0</v>
      </c>
      <c r="D1074" s="7" t="str">
        <f t="shared" si="35"/>
        <v>0</v>
      </c>
    </row>
    <row r="1075" spans="1:4" x14ac:dyDescent="0.3">
      <c r="A1075" s="3">
        <v>45558.25</v>
      </c>
      <c r="B1075" s="1">
        <v>18.7</v>
      </c>
      <c r="C1075" s="7" t="str">
        <f t="shared" si="34"/>
        <v>0</v>
      </c>
      <c r="D1075" s="7" t="str">
        <f t="shared" si="35"/>
        <v>0</v>
      </c>
    </row>
    <row r="1076" spans="1:4" x14ac:dyDescent="0.3">
      <c r="A1076" s="3">
        <v>45558.270833333336</v>
      </c>
      <c r="B1076" s="1">
        <v>19.100000000000001</v>
      </c>
      <c r="C1076" s="7" t="str">
        <f t="shared" si="34"/>
        <v>0</v>
      </c>
      <c r="D1076" s="7" t="str">
        <f t="shared" si="35"/>
        <v>0</v>
      </c>
    </row>
    <row r="1077" spans="1:4" x14ac:dyDescent="0.3">
      <c r="A1077" s="3">
        <v>45558.291666666664</v>
      </c>
      <c r="B1077" s="1">
        <v>19.399999999999999</v>
      </c>
      <c r="C1077" s="7" t="str">
        <f t="shared" si="34"/>
        <v>0</v>
      </c>
      <c r="D1077" s="7" t="str">
        <f t="shared" si="35"/>
        <v>0</v>
      </c>
    </row>
    <row r="1078" spans="1:4" x14ac:dyDescent="0.3">
      <c r="A1078" s="3">
        <v>45558.3125</v>
      </c>
      <c r="B1078" s="1">
        <v>20.100000000000001</v>
      </c>
      <c r="C1078" s="7" t="str">
        <f t="shared" si="34"/>
        <v>0</v>
      </c>
      <c r="D1078" s="7" t="str">
        <f t="shared" si="35"/>
        <v>0</v>
      </c>
    </row>
    <row r="1079" spans="1:4" x14ac:dyDescent="0.3">
      <c r="A1079" s="3">
        <v>45558.333333333336</v>
      </c>
      <c r="B1079" s="1">
        <v>21.5</v>
      </c>
      <c r="C1079" s="7" t="str">
        <f t="shared" si="34"/>
        <v>0</v>
      </c>
      <c r="D1079" s="7" t="str">
        <f t="shared" si="35"/>
        <v>0</v>
      </c>
    </row>
    <row r="1080" spans="1:4" x14ac:dyDescent="0.3">
      <c r="A1080" s="3">
        <v>45558.354166666664</v>
      </c>
      <c r="B1080" s="1">
        <v>22.8</v>
      </c>
      <c r="C1080" s="7" t="str">
        <f t="shared" si="34"/>
        <v>0</v>
      </c>
      <c r="D1080" s="7" t="str">
        <f t="shared" si="35"/>
        <v>0</v>
      </c>
    </row>
    <row r="1081" spans="1:4" x14ac:dyDescent="0.3">
      <c r="A1081" s="3">
        <v>45558.375</v>
      </c>
      <c r="B1081" s="1">
        <v>23.5</v>
      </c>
      <c r="C1081" s="7" t="str">
        <f t="shared" si="34"/>
        <v>0</v>
      </c>
      <c r="D1081" s="7" t="str">
        <f t="shared" si="35"/>
        <v>0</v>
      </c>
    </row>
    <row r="1082" spans="1:4" x14ac:dyDescent="0.3">
      <c r="A1082" s="3">
        <v>45558.395833333336</v>
      </c>
      <c r="B1082" s="1">
        <v>24</v>
      </c>
      <c r="C1082" s="7" t="str">
        <f t="shared" si="34"/>
        <v>0</v>
      </c>
      <c r="D1082" s="7" t="str">
        <f t="shared" si="35"/>
        <v>0</v>
      </c>
    </row>
    <row r="1083" spans="1:4" x14ac:dyDescent="0.3">
      <c r="A1083" s="3">
        <v>45558.416666666664</v>
      </c>
      <c r="B1083" s="1">
        <v>24.6</v>
      </c>
      <c r="C1083" s="7" t="str">
        <f t="shared" si="34"/>
        <v>0</v>
      </c>
      <c r="D1083" s="7" t="str">
        <f t="shared" si="35"/>
        <v>0</v>
      </c>
    </row>
    <row r="1084" spans="1:4" x14ac:dyDescent="0.3">
      <c r="A1084" s="3">
        <v>45558.4375</v>
      </c>
      <c r="B1084" s="1">
        <v>25.3</v>
      </c>
      <c r="C1084" s="7" t="str">
        <f t="shared" si="34"/>
        <v>0</v>
      </c>
      <c r="D1084" s="7" t="str">
        <f t="shared" si="35"/>
        <v>0</v>
      </c>
    </row>
    <row r="1085" spans="1:4" x14ac:dyDescent="0.3">
      <c r="A1085" s="3">
        <v>45558.458333333336</v>
      </c>
      <c r="B1085" s="1">
        <v>25.9</v>
      </c>
      <c r="C1085" s="7" t="str">
        <f t="shared" si="34"/>
        <v>0</v>
      </c>
      <c r="D1085" s="7" t="str">
        <f t="shared" si="35"/>
        <v>0</v>
      </c>
    </row>
    <row r="1086" spans="1:4" x14ac:dyDescent="0.3">
      <c r="A1086" s="3">
        <v>45558.479166666664</v>
      </c>
      <c r="B1086" s="1">
        <v>26.2</v>
      </c>
      <c r="C1086" s="7" t="str">
        <f t="shared" si="34"/>
        <v>0</v>
      </c>
      <c r="D1086" s="7" t="str">
        <f t="shared" si="35"/>
        <v>0</v>
      </c>
    </row>
    <row r="1087" spans="1:4" x14ac:dyDescent="0.3">
      <c r="A1087" s="3">
        <v>45558.5</v>
      </c>
      <c r="B1087" s="1">
        <v>26.3</v>
      </c>
      <c r="C1087" s="7" t="str">
        <f t="shared" si="34"/>
        <v>0</v>
      </c>
      <c r="D1087" s="7" t="str">
        <f t="shared" si="35"/>
        <v>0</v>
      </c>
    </row>
    <row r="1088" spans="1:4" x14ac:dyDescent="0.3">
      <c r="A1088" s="3">
        <v>45558.520833333336</v>
      </c>
      <c r="B1088" s="1">
        <v>25.3</v>
      </c>
      <c r="C1088" s="7" t="str">
        <f t="shared" si="34"/>
        <v>0</v>
      </c>
      <c r="D1088" s="7" t="str">
        <f t="shared" si="35"/>
        <v>0</v>
      </c>
    </row>
    <row r="1089" spans="1:4" x14ac:dyDescent="0.3">
      <c r="A1089" s="3">
        <v>45558.541666666664</v>
      </c>
      <c r="B1089" s="1">
        <v>25.6</v>
      </c>
      <c r="C1089" s="7" t="str">
        <f t="shared" si="34"/>
        <v>0</v>
      </c>
      <c r="D1089" s="7" t="str">
        <f t="shared" si="35"/>
        <v>0</v>
      </c>
    </row>
    <row r="1090" spans="1:4" x14ac:dyDescent="0.3">
      <c r="A1090" s="3">
        <v>45558.5625</v>
      </c>
      <c r="B1090" s="1">
        <v>26.3</v>
      </c>
      <c r="C1090" s="7" t="str">
        <f t="shared" si="34"/>
        <v>0</v>
      </c>
      <c r="D1090" s="7" t="str">
        <f t="shared" si="35"/>
        <v>0</v>
      </c>
    </row>
    <row r="1091" spans="1:4" x14ac:dyDescent="0.3">
      <c r="A1091" s="3">
        <v>45558.583333333336</v>
      </c>
      <c r="B1091" s="1">
        <v>25.5</v>
      </c>
      <c r="C1091" s="7" t="str">
        <f t="shared" ref="C1091:C1154" si="36">IF(B1091=$P$13,A1091,"0")</f>
        <v>0</v>
      </c>
      <c r="D1091" s="7" t="str">
        <f t="shared" ref="D1091:D1154" si="37">IF(B1091=$M$13,A1091,"0")</f>
        <v>0</v>
      </c>
    </row>
    <row r="1092" spans="1:4" x14ac:dyDescent="0.3">
      <c r="A1092" s="3">
        <v>45558.604166666664</v>
      </c>
      <c r="B1092" s="1">
        <v>25.3</v>
      </c>
      <c r="C1092" s="7" t="str">
        <f t="shared" si="36"/>
        <v>0</v>
      </c>
      <c r="D1092" s="7" t="str">
        <f t="shared" si="37"/>
        <v>0</v>
      </c>
    </row>
    <row r="1093" spans="1:4" x14ac:dyDescent="0.3">
      <c r="A1093" s="3">
        <v>45558.625</v>
      </c>
      <c r="B1093" s="1">
        <v>25.1</v>
      </c>
      <c r="C1093" s="7" t="str">
        <f t="shared" si="36"/>
        <v>0</v>
      </c>
      <c r="D1093" s="7" t="str">
        <f t="shared" si="37"/>
        <v>0</v>
      </c>
    </row>
    <row r="1094" spans="1:4" x14ac:dyDescent="0.3">
      <c r="A1094" s="3">
        <v>45558.645833333336</v>
      </c>
      <c r="B1094" s="1">
        <v>24.9</v>
      </c>
      <c r="C1094" s="7" t="str">
        <f t="shared" si="36"/>
        <v>0</v>
      </c>
      <c r="D1094" s="7" t="str">
        <f t="shared" si="37"/>
        <v>0</v>
      </c>
    </row>
    <row r="1095" spans="1:4" x14ac:dyDescent="0.3">
      <c r="A1095" s="3">
        <v>45558.666666666664</v>
      </c>
      <c r="B1095" s="1">
        <v>24.5</v>
      </c>
      <c r="C1095" s="7" t="str">
        <f t="shared" si="36"/>
        <v>0</v>
      </c>
      <c r="D1095" s="7" t="str">
        <f t="shared" si="37"/>
        <v>0</v>
      </c>
    </row>
    <row r="1096" spans="1:4" x14ac:dyDescent="0.3">
      <c r="A1096" s="3">
        <v>45558.6875</v>
      </c>
      <c r="B1096" s="1">
        <v>24.3</v>
      </c>
      <c r="C1096" s="7" t="str">
        <f t="shared" si="36"/>
        <v>0</v>
      </c>
      <c r="D1096" s="7" t="str">
        <f t="shared" si="37"/>
        <v>0</v>
      </c>
    </row>
    <row r="1097" spans="1:4" x14ac:dyDescent="0.3">
      <c r="A1097" s="3">
        <v>45558.708333333336</v>
      </c>
      <c r="B1097" s="1">
        <v>24</v>
      </c>
      <c r="C1097" s="7" t="str">
        <f t="shared" si="36"/>
        <v>0</v>
      </c>
      <c r="D1097" s="7" t="str">
        <f t="shared" si="37"/>
        <v>0</v>
      </c>
    </row>
    <row r="1098" spans="1:4" x14ac:dyDescent="0.3">
      <c r="A1098" s="3">
        <v>45558.729166666664</v>
      </c>
      <c r="B1098" s="1">
        <v>23.6</v>
      </c>
      <c r="C1098" s="7" t="str">
        <f t="shared" si="36"/>
        <v>0</v>
      </c>
      <c r="D1098" s="7" t="str">
        <f t="shared" si="37"/>
        <v>0</v>
      </c>
    </row>
    <row r="1099" spans="1:4" x14ac:dyDescent="0.3">
      <c r="A1099" s="3">
        <v>45558.75</v>
      </c>
      <c r="B1099" s="1">
        <v>23.1</v>
      </c>
      <c r="C1099" s="7" t="str">
        <f t="shared" si="36"/>
        <v>0</v>
      </c>
      <c r="D1099" s="7" t="str">
        <f t="shared" si="37"/>
        <v>0</v>
      </c>
    </row>
    <row r="1100" spans="1:4" x14ac:dyDescent="0.3">
      <c r="A1100" s="3">
        <v>45558.770833333336</v>
      </c>
      <c r="B1100" s="1">
        <v>22.2</v>
      </c>
      <c r="C1100" s="7" t="str">
        <f t="shared" si="36"/>
        <v>0</v>
      </c>
      <c r="D1100" s="7" t="str">
        <f t="shared" si="37"/>
        <v>0</v>
      </c>
    </row>
    <row r="1101" spans="1:4" x14ac:dyDescent="0.3">
      <c r="A1101" s="3">
        <v>45558.791666666664</v>
      </c>
      <c r="B1101" s="1">
        <v>22</v>
      </c>
      <c r="C1101" s="7" t="str">
        <f t="shared" si="36"/>
        <v>0</v>
      </c>
      <c r="D1101" s="7" t="str">
        <f t="shared" si="37"/>
        <v>0</v>
      </c>
    </row>
    <row r="1102" spans="1:4" x14ac:dyDescent="0.3">
      <c r="A1102" s="3">
        <v>45558.8125</v>
      </c>
      <c r="B1102" s="1">
        <v>22</v>
      </c>
      <c r="C1102" s="7" t="str">
        <f t="shared" si="36"/>
        <v>0</v>
      </c>
      <c r="D1102" s="7" t="str">
        <f t="shared" si="37"/>
        <v>0</v>
      </c>
    </row>
    <row r="1103" spans="1:4" x14ac:dyDescent="0.3">
      <c r="A1103" s="3">
        <v>45558.833333333336</v>
      </c>
      <c r="B1103" s="1">
        <v>22.1</v>
      </c>
      <c r="C1103" s="7" t="str">
        <f t="shared" si="36"/>
        <v>0</v>
      </c>
      <c r="D1103" s="7" t="str">
        <f t="shared" si="37"/>
        <v>0</v>
      </c>
    </row>
    <row r="1104" spans="1:4" x14ac:dyDescent="0.3">
      <c r="A1104" s="3">
        <v>45558.854166666664</v>
      </c>
      <c r="B1104" s="1">
        <v>22</v>
      </c>
      <c r="C1104" s="7" t="str">
        <f t="shared" si="36"/>
        <v>0</v>
      </c>
      <c r="D1104" s="7" t="str">
        <f t="shared" si="37"/>
        <v>0</v>
      </c>
    </row>
    <row r="1105" spans="1:4" x14ac:dyDescent="0.3">
      <c r="A1105" s="3">
        <v>45558.875</v>
      </c>
      <c r="B1105" s="1">
        <v>22</v>
      </c>
      <c r="C1105" s="7" t="str">
        <f t="shared" si="36"/>
        <v>0</v>
      </c>
      <c r="D1105" s="7" t="str">
        <f t="shared" si="37"/>
        <v>0</v>
      </c>
    </row>
    <row r="1106" spans="1:4" x14ac:dyDescent="0.3">
      <c r="A1106" s="3">
        <v>45558.895833333336</v>
      </c>
      <c r="B1106" s="1">
        <v>21.8</v>
      </c>
      <c r="C1106" s="7" t="str">
        <f t="shared" si="36"/>
        <v>0</v>
      </c>
      <c r="D1106" s="7" t="str">
        <f t="shared" si="37"/>
        <v>0</v>
      </c>
    </row>
    <row r="1107" spans="1:4" x14ac:dyDescent="0.3">
      <c r="A1107" s="3">
        <v>45558.916666666664</v>
      </c>
      <c r="B1107" s="1">
        <v>21.7</v>
      </c>
      <c r="C1107" s="7" t="str">
        <f t="shared" si="36"/>
        <v>0</v>
      </c>
      <c r="D1107" s="7" t="str">
        <f t="shared" si="37"/>
        <v>0</v>
      </c>
    </row>
    <row r="1108" spans="1:4" x14ac:dyDescent="0.3">
      <c r="A1108" s="3">
        <v>45558.9375</v>
      </c>
      <c r="B1108" s="1">
        <v>21.5</v>
      </c>
      <c r="C1108" s="7" t="str">
        <f t="shared" si="36"/>
        <v>0</v>
      </c>
      <c r="D1108" s="7" t="str">
        <f t="shared" si="37"/>
        <v>0</v>
      </c>
    </row>
    <row r="1109" spans="1:4" x14ac:dyDescent="0.3">
      <c r="A1109" s="3">
        <v>45558.958333333336</v>
      </c>
      <c r="B1109" s="1">
        <v>21.3</v>
      </c>
      <c r="C1109" s="7" t="str">
        <f t="shared" si="36"/>
        <v>0</v>
      </c>
      <c r="D1109" s="7" t="str">
        <f t="shared" si="37"/>
        <v>0</v>
      </c>
    </row>
    <row r="1110" spans="1:4" x14ac:dyDescent="0.3">
      <c r="A1110" s="3">
        <v>45558.979166666664</v>
      </c>
      <c r="B1110" s="1">
        <v>21.1</v>
      </c>
      <c r="C1110" s="7" t="str">
        <f t="shared" si="36"/>
        <v>0</v>
      </c>
      <c r="D1110" s="7" t="str">
        <f t="shared" si="37"/>
        <v>0</v>
      </c>
    </row>
    <row r="1111" spans="1:4" x14ac:dyDescent="0.3">
      <c r="A1111" s="3">
        <v>45559</v>
      </c>
      <c r="B1111" s="1">
        <v>21.1</v>
      </c>
      <c r="C1111" s="7" t="str">
        <f t="shared" si="36"/>
        <v>0</v>
      </c>
      <c r="D1111" s="7" t="str">
        <f t="shared" si="37"/>
        <v>0</v>
      </c>
    </row>
    <row r="1112" spans="1:4" x14ac:dyDescent="0.3">
      <c r="A1112" s="3">
        <v>45559.020833333336</v>
      </c>
      <c r="B1112" s="1">
        <v>20.9</v>
      </c>
      <c r="C1112" s="7" t="str">
        <f t="shared" si="36"/>
        <v>0</v>
      </c>
      <c r="D1112" s="7" t="str">
        <f t="shared" si="37"/>
        <v>0</v>
      </c>
    </row>
    <row r="1113" spans="1:4" x14ac:dyDescent="0.3">
      <c r="A1113" s="3">
        <v>45559.041666666664</v>
      </c>
      <c r="B1113" s="1">
        <v>20.7</v>
      </c>
      <c r="C1113" s="7" t="str">
        <f t="shared" si="36"/>
        <v>0</v>
      </c>
      <c r="D1113" s="7" t="str">
        <f t="shared" si="37"/>
        <v>0</v>
      </c>
    </row>
    <row r="1114" spans="1:4" x14ac:dyDescent="0.3">
      <c r="A1114" s="3">
        <v>45559.0625</v>
      </c>
      <c r="B1114" s="1">
        <v>20.5</v>
      </c>
      <c r="C1114" s="7" t="str">
        <f t="shared" si="36"/>
        <v>0</v>
      </c>
      <c r="D1114" s="7" t="str">
        <f t="shared" si="37"/>
        <v>0</v>
      </c>
    </row>
    <row r="1115" spans="1:4" x14ac:dyDescent="0.3">
      <c r="A1115" s="3">
        <v>45559.083333333336</v>
      </c>
      <c r="B1115" s="1">
        <v>20.399999999999999</v>
      </c>
      <c r="C1115" s="7" t="str">
        <f t="shared" si="36"/>
        <v>0</v>
      </c>
      <c r="D1115" s="7" t="str">
        <f t="shared" si="37"/>
        <v>0</v>
      </c>
    </row>
    <row r="1116" spans="1:4" x14ac:dyDescent="0.3">
      <c r="A1116" s="3">
        <v>45559.104166666664</v>
      </c>
      <c r="B1116" s="1">
        <v>20.2</v>
      </c>
      <c r="C1116" s="7" t="str">
        <f t="shared" si="36"/>
        <v>0</v>
      </c>
      <c r="D1116" s="7" t="str">
        <f t="shared" si="37"/>
        <v>0</v>
      </c>
    </row>
    <row r="1117" spans="1:4" x14ac:dyDescent="0.3">
      <c r="A1117" s="3">
        <v>45559.125</v>
      </c>
      <c r="B1117" s="1">
        <v>20.100000000000001</v>
      </c>
      <c r="C1117" s="7" t="str">
        <f t="shared" si="36"/>
        <v>0</v>
      </c>
      <c r="D1117" s="7" t="str">
        <f t="shared" si="37"/>
        <v>0</v>
      </c>
    </row>
    <row r="1118" spans="1:4" x14ac:dyDescent="0.3">
      <c r="A1118" s="3">
        <v>45559.145833333336</v>
      </c>
      <c r="B1118" s="1">
        <v>20.100000000000001</v>
      </c>
      <c r="C1118" s="7" t="str">
        <f t="shared" si="36"/>
        <v>0</v>
      </c>
      <c r="D1118" s="7" t="str">
        <f t="shared" si="37"/>
        <v>0</v>
      </c>
    </row>
    <row r="1119" spans="1:4" x14ac:dyDescent="0.3">
      <c r="A1119" s="3">
        <v>45559.166666666664</v>
      </c>
      <c r="B1119" s="1">
        <v>20.2</v>
      </c>
      <c r="C1119" s="7" t="str">
        <f t="shared" si="36"/>
        <v>0</v>
      </c>
      <c r="D1119" s="7" t="str">
        <f t="shared" si="37"/>
        <v>0</v>
      </c>
    </row>
    <row r="1120" spans="1:4" x14ac:dyDescent="0.3">
      <c r="A1120" s="3">
        <v>45559.1875</v>
      </c>
      <c r="B1120" s="1">
        <v>20.2</v>
      </c>
      <c r="C1120" s="7" t="str">
        <f t="shared" si="36"/>
        <v>0</v>
      </c>
      <c r="D1120" s="7" t="str">
        <f t="shared" si="37"/>
        <v>0</v>
      </c>
    </row>
    <row r="1121" spans="1:4" x14ac:dyDescent="0.3">
      <c r="A1121" s="3">
        <v>45559.208333333336</v>
      </c>
      <c r="B1121" s="1">
        <v>20.3</v>
      </c>
      <c r="C1121" s="7" t="str">
        <f t="shared" si="36"/>
        <v>0</v>
      </c>
      <c r="D1121" s="7" t="str">
        <f t="shared" si="37"/>
        <v>0</v>
      </c>
    </row>
    <row r="1122" spans="1:4" x14ac:dyDescent="0.3">
      <c r="A1122" s="3">
        <v>45559.229166666664</v>
      </c>
      <c r="B1122" s="1">
        <v>19.8</v>
      </c>
      <c r="C1122" s="7" t="str">
        <f t="shared" si="36"/>
        <v>0</v>
      </c>
      <c r="D1122" s="7" t="str">
        <f t="shared" si="37"/>
        <v>0</v>
      </c>
    </row>
    <row r="1123" spans="1:4" x14ac:dyDescent="0.3">
      <c r="A1123" s="3">
        <v>45559.25</v>
      </c>
      <c r="B1123" s="1">
        <v>20.2</v>
      </c>
      <c r="C1123" s="7" t="str">
        <f t="shared" si="36"/>
        <v>0</v>
      </c>
      <c r="D1123" s="7" t="str">
        <f t="shared" si="37"/>
        <v>0</v>
      </c>
    </row>
    <row r="1124" spans="1:4" x14ac:dyDescent="0.3">
      <c r="A1124" s="3">
        <v>45559.270833333336</v>
      </c>
      <c r="B1124" s="1">
        <v>20.9</v>
      </c>
      <c r="C1124" s="7" t="str">
        <f t="shared" si="36"/>
        <v>0</v>
      </c>
      <c r="D1124" s="7" t="str">
        <f t="shared" si="37"/>
        <v>0</v>
      </c>
    </row>
    <row r="1125" spans="1:4" x14ac:dyDescent="0.3">
      <c r="A1125" s="3">
        <v>45559.291666666664</v>
      </c>
      <c r="B1125" s="1">
        <v>21.3</v>
      </c>
      <c r="C1125" s="7" t="str">
        <f t="shared" si="36"/>
        <v>0</v>
      </c>
      <c r="D1125" s="7" t="str">
        <f t="shared" si="37"/>
        <v>0</v>
      </c>
    </row>
    <row r="1126" spans="1:4" x14ac:dyDescent="0.3">
      <c r="A1126" s="3">
        <v>45559.3125</v>
      </c>
      <c r="B1126" s="1">
        <v>21.9</v>
      </c>
      <c r="C1126" s="7" t="str">
        <f t="shared" si="36"/>
        <v>0</v>
      </c>
      <c r="D1126" s="7" t="str">
        <f t="shared" si="37"/>
        <v>0</v>
      </c>
    </row>
    <row r="1127" spans="1:4" x14ac:dyDescent="0.3">
      <c r="A1127" s="3">
        <v>45559.333333333336</v>
      </c>
      <c r="B1127" s="1">
        <v>22.4</v>
      </c>
      <c r="C1127" s="7" t="str">
        <f t="shared" si="36"/>
        <v>0</v>
      </c>
      <c r="D1127" s="7" t="str">
        <f t="shared" si="37"/>
        <v>0</v>
      </c>
    </row>
    <row r="1128" spans="1:4" x14ac:dyDescent="0.3">
      <c r="A1128" s="3">
        <v>45559.354166666664</v>
      </c>
      <c r="B1128" s="1">
        <v>23.2</v>
      </c>
      <c r="C1128" s="7" t="str">
        <f t="shared" si="36"/>
        <v>0</v>
      </c>
      <c r="D1128" s="7" t="str">
        <f t="shared" si="37"/>
        <v>0</v>
      </c>
    </row>
    <row r="1129" spans="1:4" x14ac:dyDescent="0.3">
      <c r="A1129" s="3">
        <v>45559.375</v>
      </c>
      <c r="B1129" s="1">
        <v>23.8</v>
      </c>
      <c r="C1129" s="7" t="str">
        <f t="shared" si="36"/>
        <v>0</v>
      </c>
      <c r="D1129" s="7" t="str">
        <f t="shared" si="37"/>
        <v>0</v>
      </c>
    </row>
    <row r="1130" spans="1:4" x14ac:dyDescent="0.3">
      <c r="A1130" s="3">
        <v>45559.395833333336</v>
      </c>
      <c r="B1130" s="1">
        <v>24.2</v>
      </c>
      <c r="C1130" s="7" t="str">
        <f t="shared" si="36"/>
        <v>0</v>
      </c>
      <c r="D1130" s="7" t="str">
        <f t="shared" si="37"/>
        <v>0</v>
      </c>
    </row>
    <row r="1131" spans="1:4" x14ac:dyDescent="0.3">
      <c r="A1131" s="3">
        <v>45559.416666666664</v>
      </c>
      <c r="B1131" s="1">
        <v>24.5</v>
      </c>
      <c r="C1131" s="7" t="str">
        <f t="shared" si="36"/>
        <v>0</v>
      </c>
      <c r="D1131" s="7" t="str">
        <f t="shared" si="37"/>
        <v>0</v>
      </c>
    </row>
    <row r="1132" spans="1:4" x14ac:dyDescent="0.3">
      <c r="A1132" s="3">
        <v>45559.4375</v>
      </c>
      <c r="B1132" s="1">
        <v>25.5</v>
      </c>
      <c r="C1132" s="7" t="str">
        <f t="shared" si="36"/>
        <v>0</v>
      </c>
      <c r="D1132" s="7" t="str">
        <f t="shared" si="37"/>
        <v>0</v>
      </c>
    </row>
    <row r="1133" spans="1:4" x14ac:dyDescent="0.3">
      <c r="A1133" s="3">
        <v>45559.458333333336</v>
      </c>
      <c r="B1133" s="1">
        <v>25.8</v>
      </c>
      <c r="C1133" s="7" t="str">
        <f t="shared" si="36"/>
        <v>0</v>
      </c>
      <c r="D1133" s="7" t="str">
        <f t="shared" si="37"/>
        <v>0</v>
      </c>
    </row>
    <row r="1134" spans="1:4" x14ac:dyDescent="0.3">
      <c r="A1134" s="3">
        <v>45559.479166666664</v>
      </c>
      <c r="B1134" s="1">
        <v>22.1</v>
      </c>
      <c r="C1134" s="7" t="str">
        <f t="shared" si="36"/>
        <v>0</v>
      </c>
      <c r="D1134" s="7" t="str">
        <f t="shared" si="37"/>
        <v>0</v>
      </c>
    </row>
    <row r="1135" spans="1:4" x14ac:dyDescent="0.3">
      <c r="A1135" s="3">
        <v>45559.5</v>
      </c>
      <c r="B1135" s="1">
        <v>22</v>
      </c>
      <c r="C1135" s="7" t="str">
        <f t="shared" si="36"/>
        <v>0</v>
      </c>
      <c r="D1135" s="7" t="str">
        <f t="shared" si="37"/>
        <v>0</v>
      </c>
    </row>
    <row r="1136" spans="1:4" x14ac:dyDescent="0.3">
      <c r="A1136" s="3">
        <v>45559.520833333336</v>
      </c>
      <c r="B1136" s="1">
        <v>23.2</v>
      </c>
      <c r="C1136" s="7" t="str">
        <f t="shared" si="36"/>
        <v>0</v>
      </c>
      <c r="D1136" s="7" t="str">
        <f t="shared" si="37"/>
        <v>0</v>
      </c>
    </row>
    <row r="1137" spans="1:4" x14ac:dyDescent="0.3">
      <c r="A1137" s="3">
        <v>45559.541666666664</v>
      </c>
      <c r="B1137" s="1">
        <v>23.4</v>
      </c>
      <c r="C1137" s="7" t="str">
        <f t="shared" si="36"/>
        <v>0</v>
      </c>
      <c r="D1137" s="7" t="str">
        <f t="shared" si="37"/>
        <v>0</v>
      </c>
    </row>
    <row r="1138" spans="1:4" x14ac:dyDescent="0.3">
      <c r="A1138" s="3">
        <v>45559.5625</v>
      </c>
      <c r="B1138" s="1">
        <v>23.2</v>
      </c>
      <c r="C1138" s="7" t="str">
        <f t="shared" si="36"/>
        <v>0</v>
      </c>
      <c r="D1138" s="7" t="str">
        <f t="shared" si="37"/>
        <v>0</v>
      </c>
    </row>
    <row r="1139" spans="1:4" x14ac:dyDescent="0.3">
      <c r="A1139" s="3">
        <v>45559.583333333336</v>
      </c>
      <c r="B1139" s="1">
        <v>23.3</v>
      </c>
      <c r="C1139" s="7" t="str">
        <f t="shared" si="36"/>
        <v>0</v>
      </c>
      <c r="D1139" s="7" t="str">
        <f t="shared" si="37"/>
        <v>0</v>
      </c>
    </row>
    <row r="1140" spans="1:4" x14ac:dyDescent="0.3">
      <c r="A1140" s="3">
        <v>45559.604166666664</v>
      </c>
      <c r="B1140" s="1">
        <v>23.5</v>
      </c>
      <c r="C1140" s="7" t="str">
        <f t="shared" si="36"/>
        <v>0</v>
      </c>
      <c r="D1140" s="7" t="str">
        <f t="shared" si="37"/>
        <v>0</v>
      </c>
    </row>
    <row r="1141" spans="1:4" x14ac:dyDescent="0.3">
      <c r="A1141" s="3">
        <v>45559.625</v>
      </c>
      <c r="B1141" s="1">
        <v>23.3</v>
      </c>
      <c r="C1141" s="7" t="str">
        <f t="shared" si="36"/>
        <v>0</v>
      </c>
      <c r="D1141" s="7" t="str">
        <f t="shared" si="37"/>
        <v>0</v>
      </c>
    </row>
    <row r="1142" spans="1:4" x14ac:dyDescent="0.3">
      <c r="A1142" s="3">
        <v>45559.645833333336</v>
      </c>
      <c r="B1142" s="1">
        <v>22.7</v>
      </c>
      <c r="C1142" s="7" t="str">
        <f t="shared" si="36"/>
        <v>0</v>
      </c>
      <c r="D1142" s="7" t="str">
        <f t="shared" si="37"/>
        <v>0</v>
      </c>
    </row>
    <row r="1143" spans="1:4" x14ac:dyDescent="0.3">
      <c r="A1143" s="3">
        <v>45559.666666666664</v>
      </c>
      <c r="B1143" s="1">
        <v>22.7</v>
      </c>
      <c r="C1143" s="7" t="str">
        <f t="shared" si="36"/>
        <v>0</v>
      </c>
      <c r="D1143" s="7" t="str">
        <f t="shared" si="37"/>
        <v>0</v>
      </c>
    </row>
    <row r="1144" spans="1:4" x14ac:dyDescent="0.3">
      <c r="A1144" s="3">
        <v>45559.6875</v>
      </c>
      <c r="B1144" s="1">
        <v>22.4</v>
      </c>
      <c r="C1144" s="7" t="str">
        <f t="shared" si="36"/>
        <v>0</v>
      </c>
      <c r="D1144" s="7" t="str">
        <f t="shared" si="37"/>
        <v>0</v>
      </c>
    </row>
    <row r="1145" spans="1:4" x14ac:dyDescent="0.3">
      <c r="A1145" s="3">
        <v>45559.708333333336</v>
      </c>
      <c r="B1145" s="1">
        <v>22.3</v>
      </c>
      <c r="C1145" s="7" t="str">
        <f t="shared" si="36"/>
        <v>0</v>
      </c>
      <c r="D1145" s="7" t="str">
        <f t="shared" si="37"/>
        <v>0</v>
      </c>
    </row>
    <row r="1146" spans="1:4" x14ac:dyDescent="0.3">
      <c r="A1146" s="3">
        <v>45559.729166666664</v>
      </c>
      <c r="B1146" s="1">
        <v>22.1</v>
      </c>
      <c r="C1146" s="7" t="str">
        <f t="shared" si="36"/>
        <v>0</v>
      </c>
      <c r="D1146" s="7" t="str">
        <f t="shared" si="37"/>
        <v>0</v>
      </c>
    </row>
    <row r="1147" spans="1:4" x14ac:dyDescent="0.3">
      <c r="A1147" s="3">
        <v>45559.75</v>
      </c>
      <c r="B1147" s="1">
        <v>21.9</v>
      </c>
      <c r="C1147" s="7" t="str">
        <f t="shared" si="36"/>
        <v>0</v>
      </c>
      <c r="D1147" s="7" t="str">
        <f t="shared" si="37"/>
        <v>0</v>
      </c>
    </row>
    <row r="1148" spans="1:4" x14ac:dyDescent="0.3">
      <c r="A1148" s="3">
        <v>45559.770833333336</v>
      </c>
      <c r="B1148" s="1">
        <v>21.6</v>
      </c>
      <c r="C1148" s="7" t="str">
        <f t="shared" si="36"/>
        <v>0</v>
      </c>
      <c r="D1148" s="7" t="str">
        <f t="shared" si="37"/>
        <v>0</v>
      </c>
    </row>
    <row r="1149" spans="1:4" x14ac:dyDescent="0.3">
      <c r="A1149" s="3">
        <v>45559.791666666664</v>
      </c>
      <c r="B1149" s="1">
        <v>21.2</v>
      </c>
      <c r="C1149" s="7" t="str">
        <f t="shared" si="36"/>
        <v>0</v>
      </c>
      <c r="D1149" s="7" t="str">
        <f t="shared" si="37"/>
        <v>0</v>
      </c>
    </row>
    <row r="1150" spans="1:4" x14ac:dyDescent="0.3">
      <c r="A1150" s="3">
        <v>45559.8125</v>
      </c>
      <c r="B1150" s="1">
        <v>20.9</v>
      </c>
      <c r="C1150" s="7" t="str">
        <f t="shared" si="36"/>
        <v>0</v>
      </c>
      <c r="D1150" s="7" t="str">
        <f t="shared" si="37"/>
        <v>0</v>
      </c>
    </row>
    <row r="1151" spans="1:4" x14ac:dyDescent="0.3">
      <c r="A1151" s="3">
        <v>45559.833333333336</v>
      </c>
      <c r="B1151" s="1">
        <v>20.7</v>
      </c>
      <c r="C1151" s="7" t="str">
        <f t="shared" si="36"/>
        <v>0</v>
      </c>
      <c r="D1151" s="7" t="str">
        <f t="shared" si="37"/>
        <v>0</v>
      </c>
    </row>
    <row r="1152" spans="1:4" x14ac:dyDescent="0.3">
      <c r="A1152" s="3">
        <v>45559.854166666664</v>
      </c>
      <c r="B1152" s="1">
        <v>20.6</v>
      </c>
      <c r="C1152" s="7" t="str">
        <f t="shared" si="36"/>
        <v>0</v>
      </c>
      <c r="D1152" s="7" t="str">
        <f t="shared" si="37"/>
        <v>0</v>
      </c>
    </row>
    <row r="1153" spans="1:4" x14ac:dyDescent="0.3">
      <c r="A1153" s="3">
        <v>45559.875</v>
      </c>
      <c r="B1153" s="1">
        <v>20.7</v>
      </c>
      <c r="C1153" s="7" t="str">
        <f t="shared" si="36"/>
        <v>0</v>
      </c>
      <c r="D1153" s="7" t="str">
        <f t="shared" si="37"/>
        <v>0</v>
      </c>
    </row>
    <row r="1154" spans="1:4" x14ac:dyDescent="0.3">
      <c r="A1154" s="3">
        <v>45559.895833333336</v>
      </c>
      <c r="B1154" s="1">
        <v>20.6</v>
      </c>
      <c r="C1154" s="7" t="str">
        <f t="shared" si="36"/>
        <v>0</v>
      </c>
      <c r="D1154" s="7" t="str">
        <f t="shared" si="37"/>
        <v>0</v>
      </c>
    </row>
    <row r="1155" spans="1:4" x14ac:dyDescent="0.3">
      <c r="A1155" s="3">
        <v>45559.916666666664</v>
      </c>
      <c r="B1155" s="1">
        <v>20.6</v>
      </c>
      <c r="C1155" s="7" t="str">
        <f t="shared" ref="C1155:C1218" si="38">IF(B1155=$P$13,A1155,"0")</f>
        <v>0</v>
      </c>
      <c r="D1155" s="7" t="str">
        <f t="shared" ref="D1155:D1218" si="39">IF(B1155=$M$13,A1155,"0")</f>
        <v>0</v>
      </c>
    </row>
    <row r="1156" spans="1:4" x14ac:dyDescent="0.3">
      <c r="A1156" s="3">
        <v>45559.9375</v>
      </c>
      <c r="B1156" s="1">
        <v>20.6</v>
      </c>
      <c r="C1156" s="7" t="str">
        <f t="shared" si="38"/>
        <v>0</v>
      </c>
      <c r="D1156" s="7" t="str">
        <f t="shared" si="39"/>
        <v>0</v>
      </c>
    </row>
    <row r="1157" spans="1:4" x14ac:dyDescent="0.3">
      <c r="A1157" s="3">
        <v>45559.958333333336</v>
      </c>
      <c r="B1157" s="1">
        <v>20.399999999999999</v>
      </c>
      <c r="C1157" s="7" t="str">
        <f t="shared" si="38"/>
        <v>0</v>
      </c>
      <c r="D1157" s="7" t="str">
        <f t="shared" si="39"/>
        <v>0</v>
      </c>
    </row>
    <row r="1158" spans="1:4" x14ac:dyDescent="0.3">
      <c r="A1158" s="3">
        <v>45559.979166666664</v>
      </c>
      <c r="B1158" s="1">
        <v>20</v>
      </c>
      <c r="C1158" s="7" t="str">
        <f t="shared" si="38"/>
        <v>0</v>
      </c>
      <c r="D1158" s="7" t="str">
        <f t="shared" si="39"/>
        <v>0</v>
      </c>
    </row>
    <row r="1159" spans="1:4" x14ac:dyDescent="0.3">
      <c r="A1159" s="3">
        <v>45560</v>
      </c>
      <c r="B1159" s="1">
        <v>19.7</v>
      </c>
      <c r="C1159" s="7" t="str">
        <f t="shared" si="38"/>
        <v>0</v>
      </c>
      <c r="D1159" s="7" t="str">
        <f t="shared" si="39"/>
        <v>0</v>
      </c>
    </row>
    <row r="1160" spans="1:4" x14ac:dyDescent="0.3">
      <c r="A1160" s="3">
        <v>45560.020833333336</v>
      </c>
      <c r="B1160" s="1">
        <v>19.600000000000001</v>
      </c>
      <c r="C1160" s="7" t="str">
        <f t="shared" si="38"/>
        <v>0</v>
      </c>
      <c r="D1160" s="7" t="str">
        <f t="shared" si="39"/>
        <v>0</v>
      </c>
    </row>
    <row r="1161" spans="1:4" x14ac:dyDescent="0.3">
      <c r="A1161" s="3">
        <v>45560.041666666664</v>
      </c>
      <c r="B1161" s="1">
        <v>19.5</v>
      </c>
      <c r="C1161" s="7" t="str">
        <f t="shared" si="38"/>
        <v>0</v>
      </c>
      <c r="D1161" s="7" t="str">
        <f t="shared" si="39"/>
        <v>0</v>
      </c>
    </row>
    <row r="1162" spans="1:4" x14ac:dyDescent="0.3">
      <c r="A1162" s="3">
        <v>45560.0625</v>
      </c>
      <c r="B1162" s="1">
        <v>19.2</v>
      </c>
      <c r="C1162" s="7" t="str">
        <f t="shared" si="38"/>
        <v>0</v>
      </c>
      <c r="D1162" s="7" t="str">
        <f t="shared" si="39"/>
        <v>0</v>
      </c>
    </row>
    <row r="1163" spans="1:4" x14ac:dyDescent="0.3">
      <c r="A1163" s="3">
        <v>45560.083333333336</v>
      </c>
      <c r="B1163" s="1">
        <v>19.100000000000001</v>
      </c>
      <c r="C1163" s="7" t="str">
        <f t="shared" si="38"/>
        <v>0</v>
      </c>
      <c r="D1163" s="7" t="str">
        <f t="shared" si="39"/>
        <v>0</v>
      </c>
    </row>
    <row r="1164" spans="1:4" x14ac:dyDescent="0.3">
      <c r="A1164" s="3">
        <v>45560.104166666664</v>
      </c>
      <c r="B1164" s="1">
        <v>18.3</v>
      </c>
      <c r="C1164" s="7" t="str">
        <f t="shared" si="38"/>
        <v>0</v>
      </c>
      <c r="D1164" s="7" t="str">
        <f t="shared" si="39"/>
        <v>0</v>
      </c>
    </row>
    <row r="1165" spans="1:4" x14ac:dyDescent="0.3">
      <c r="A1165" s="3">
        <v>45560.125</v>
      </c>
      <c r="B1165" s="1">
        <v>17.600000000000001</v>
      </c>
      <c r="C1165" s="7" t="str">
        <f t="shared" si="38"/>
        <v>0</v>
      </c>
      <c r="D1165" s="7" t="str">
        <f t="shared" si="39"/>
        <v>0</v>
      </c>
    </row>
    <row r="1166" spans="1:4" x14ac:dyDescent="0.3">
      <c r="A1166" s="3">
        <v>45560.145833333336</v>
      </c>
      <c r="B1166" s="1">
        <v>17.5</v>
      </c>
      <c r="C1166" s="7" t="str">
        <f t="shared" si="38"/>
        <v>0</v>
      </c>
      <c r="D1166" s="7" t="str">
        <f t="shared" si="39"/>
        <v>0</v>
      </c>
    </row>
    <row r="1167" spans="1:4" x14ac:dyDescent="0.3">
      <c r="A1167" s="3">
        <v>45560.166666666664</v>
      </c>
      <c r="B1167" s="1">
        <v>17.7</v>
      </c>
      <c r="C1167" s="7" t="str">
        <f t="shared" si="38"/>
        <v>0</v>
      </c>
      <c r="D1167" s="7" t="str">
        <f t="shared" si="39"/>
        <v>0</v>
      </c>
    </row>
    <row r="1168" spans="1:4" x14ac:dyDescent="0.3">
      <c r="A1168" s="3">
        <v>45560.1875</v>
      </c>
      <c r="B1168" s="1">
        <v>17.899999999999999</v>
      </c>
      <c r="C1168" s="7" t="str">
        <f t="shared" si="38"/>
        <v>0</v>
      </c>
      <c r="D1168" s="7" t="str">
        <f t="shared" si="39"/>
        <v>0</v>
      </c>
    </row>
    <row r="1169" spans="1:4" x14ac:dyDescent="0.3">
      <c r="A1169" s="3">
        <v>45560.208333333336</v>
      </c>
      <c r="B1169" s="1">
        <v>18.3</v>
      </c>
      <c r="C1169" s="7" t="str">
        <f t="shared" si="38"/>
        <v>0</v>
      </c>
      <c r="D1169" s="7" t="str">
        <f t="shared" si="39"/>
        <v>0</v>
      </c>
    </row>
    <row r="1170" spans="1:4" x14ac:dyDescent="0.3">
      <c r="A1170" s="3">
        <v>45560.229166666664</v>
      </c>
      <c r="B1170" s="1">
        <v>18.399999999999999</v>
      </c>
      <c r="C1170" s="7" t="str">
        <f t="shared" si="38"/>
        <v>0</v>
      </c>
      <c r="D1170" s="7" t="str">
        <f t="shared" si="39"/>
        <v>0</v>
      </c>
    </row>
    <row r="1171" spans="1:4" x14ac:dyDescent="0.3">
      <c r="A1171" s="3">
        <v>45560.25</v>
      </c>
      <c r="B1171" s="1">
        <v>18.600000000000001</v>
      </c>
      <c r="C1171" s="7" t="str">
        <f t="shared" si="38"/>
        <v>0</v>
      </c>
      <c r="D1171" s="7" t="str">
        <f t="shared" si="39"/>
        <v>0</v>
      </c>
    </row>
    <row r="1172" spans="1:4" x14ac:dyDescent="0.3">
      <c r="A1172" s="3">
        <v>45560.270833333336</v>
      </c>
      <c r="B1172" s="1">
        <v>18.8</v>
      </c>
      <c r="C1172" s="7" t="str">
        <f t="shared" si="38"/>
        <v>0</v>
      </c>
      <c r="D1172" s="7" t="str">
        <f t="shared" si="39"/>
        <v>0</v>
      </c>
    </row>
    <row r="1173" spans="1:4" x14ac:dyDescent="0.3">
      <c r="A1173" s="3">
        <v>45560.291666666664</v>
      </c>
      <c r="B1173" s="1">
        <v>19.100000000000001</v>
      </c>
      <c r="C1173" s="7" t="str">
        <f t="shared" si="38"/>
        <v>0</v>
      </c>
      <c r="D1173" s="7" t="str">
        <f t="shared" si="39"/>
        <v>0</v>
      </c>
    </row>
    <row r="1174" spans="1:4" x14ac:dyDescent="0.3">
      <c r="A1174" s="3">
        <v>45560.3125</v>
      </c>
      <c r="B1174" s="1">
        <v>19.5</v>
      </c>
      <c r="C1174" s="7" t="str">
        <f t="shared" si="38"/>
        <v>0</v>
      </c>
      <c r="D1174" s="7" t="str">
        <f t="shared" si="39"/>
        <v>0</v>
      </c>
    </row>
    <row r="1175" spans="1:4" x14ac:dyDescent="0.3">
      <c r="A1175" s="3">
        <v>45560.333333333336</v>
      </c>
      <c r="B1175" s="1">
        <v>20.2</v>
      </c>
      <c r="C1175" s="7" t="str">
        <f t="shared" si="38"/>
        <v>0</v>
      </c>
      <c r="D1175" s="7" t="str">
        <f t="shared" si="39"/>
        <v>0</v>
      </c>
    </row>
    <row r="1176" spans="1:4" x14ac:dyDescent="0.3">
      <c r="A1176" s="3">
        <v>45560.354166666664</v>
      </c>
      <c r="B1176" s="1">
        <v>20.9</v>
      </c>
      <c r="C1176" s="7" t="str">
        <f t="shared" si="38"/>
        <v>0</v>
      </c>
      <c r="D1176" s="7" t="str">
        <f t="shared" si="39"/>
        <v>0</v>
      </c>
    </row>
    <row r="1177" spans="1:4" x14ac:dyDescent="0.3">
      <c r="A1177" s="3">
        <v>45560.375</v>
      </c>
      <c r="B1177" s="1">
        <v>21.5</v>
      </c>
      <c r="C1177" s="7" t="str">
        <f t="shared" si="38"/>
        <v>0</v>
      </c>
      <c r="D1177" s="7" t="str">
        <f t="shared" si="39"/>
        <v>0</v>
      </c>
    </row>
    <row r="1178" spans="1:4" x14ac:dyDescent="0.3">
      <c r="A1178" s="3">
        <v>45560.395833333336</v>
      </c>
      <c r="B1178" s="1">
        <v>22.3</v>
      </c>
      <c r="C1178" s="7" t="str">
        <f t="shared" si="38"/>
        <v>0</v>
      </c>
      <c r="D1178" s="7" t="str">
        <f t="shared" si="39"/>
        <v>0</v>
      </c>
    </row>
    <row r="1179" spans="1:4" x14ac:dyDescent="0.3">
      <c r="A1179" s="3">
        <v>45560.416666666664</v>
      </c>
      <c r="B1179" s="1">
        <v>22.8</v>
      </c>
      <c r="C1179" s="7" t="str">
        <f t="shared" si="38"/>
        <v>0</v>
      </c>
      <c r="D1179" s="7" t="str">
        <f t="shared" si="39"/>
        <v>0</v>
      </c>
    </row>
    <row r="1180" spans="1:4" x14ac:dyDescent="0.3">
      <c r="A1180" s="3">
        <v>45560.4375</v>
      </c>
      <c r="B1180" s="1">
        <v>23.8</v>
      </c>
      <c r="C1180" s="7" t="str">
        <f t="shared" si="38"/>
        <v>0</v>
      </c>
      <c r="D1180" s="7" t="str">
        <f t="shared" si="39"/>
        <v>0</v>
      </c>
    </row>
    <row r="1181" spans="1:4" x14ac:dyDescent="0.3">
      <c r="A1181" s="3">
        <v>45560.458333333336</v>
      </c>
      <c r="B1181" s="1">
        <v>24.3</v>
      </c>
      <c r="C1181" s="7" t="str">
        <f t="shared" si="38"/>
        <v>0</v>
      </c>
      <c r="D1181" s="7" t="str">
        <f t="shared" si="39"/>
        <v>0</v>
      </c>
    </row>
    <row r="1182" spans="1:4" x14ac:dyDescent="0.3">
      <c r="A1182" s="3">
        <v>45560.479166666664</v>
      </c>
      <c r="B1182" s="1">
        <v>24.8</v>
      </c>
      <c r="C1182" s="7" t="str">
        <f t="shared" si="38"/>
        <v>0</v>
      </c>
      <c r="D1182" s="7" t="str">
        <f t="shared" si="39"/>
        <v>0</v>
      </c>
    </row>
    <row r="1183" spans="1:4" x14ac:dyDescent="0.3">
      <c r="A1183" s="3">
        <v>45560.5</v>
      </c>
      <c r="B1183" s="1">
        <v>24.6</v>
      </c>
      <c r="C1183" s="7" t="str">
        <f t="shared" si="38"/>
        <v>0</v>
      </c>
      <c r="D1183" s="7" t="str">
        <f t="shared" si="39"/>
        <v>0</v>
      </c>
    </row>
    <row r="1184" spans="1:4" x14ac:dyDescent="0.3">
      <c r="A1184" s="3">
        <v>45560.520833333336</v>
      </c>
      <c r="B1184" s="1">
        <v>25</v>
      </c>
      <c r="C1184" s="7" t="str">
        <f t="shared" si="38"/>
        <v>0</v>
      </c>
      <c r="D1184" s="7" t="str">
        <f t="shared" si="39"/>
        <v>0</v>
      </c>
    </row>
    <row r="1185" spans="1:4" x14ac:dyDescent="0.3">
      <c r="A1185" s="3">
        <v>45560.541666666664</v>
      </c>
      <c r="B1185" s="1">
        <v>25.3</v>
      </c>
      <c r="C1185" s="7" t="str">
        <f t="shared" si="38"/>
        <v>0</v>
      </c>
      <c r="D1185" s="7" t="str">
        <f t="shared" si="39"/>
        <v>0</v>
      </c>
    </row>
    <row r="1186" spans="1:4" x14ac:dyDescent="0.3">
      <c r="A1186" s="3">
        <v>45560.5625</v>
      </c>
      <c r="B1186" s="1">
        <v>25.5</v>
      </c>
      <c r="C1186" s="7" t="str">
        <f t="shared" si="38"/>
        <v>0</v>
      </c>
      <c r="D1186" s="7" t="str">
        <f t="shared" si="39"/>
        <v>0</v>
      </c>
    </row>
    <row r="1187" spans="1:4" x14ac:dyDescent="0.3">
      <c r="A1187" s="3">
        <v>45560.583333333336</v>
      </c>
      <c r="B1187" s="1">
        <v>25.1</v>
      </c>
      <c r="C1187" s="7" t="str">
        <f t="shared" si="38"/>
        <v>0</v>
      </c>
      <c r="D1187" s="7" t="str">
        <f t="shared" si="39"/>
        <v>0</v>
      </c>
    </row>
    <row r="1188" spans="1:4" x14ac:dyDescent="0.3">
      <c r="A1188" s="3">
        <v>45560.604166666664</v>
      </c>
      <c r="B1188" s="1">
        <v>25.1</v>
      </c>
      <c r="C1188" s="7" t="str">
        <f t="shared" si="38"/>
        <v>0</v>
      </c>
      <c r="D1188" s="7" t="str">
        <f t="shared" si="39"/>
        <v>0</v>
      </c>
    </row>
    <row r="1189" spans="1:4" x14ac:dyDescent="0.3">
      <c r="A1189" s="3">
        <v>45560.625</v>
      </c>
      <c r="B1189" s="1">
        <v>25.1</v>
      </c>
      <c r="C1189" s="7" t="str">
        <f t="shared" si="38"/>
        <v>0</v>
      </c>
      <c r="D1189" s="7" t="str">
        <f t="shared" si="39"/>
        <v>0</v>
      </c>
    </row>
    <row r="1190" spans="1:4" x14ac:dyDescent="0.3">
      <c r="A1190" s="3">
        <v>45560.645833333336</v>
      </c>
      <c r="B1190" s="1">
        <v>25</v>
      </c>
      <c r="C1190" s="7" t="str">
        <f t="shared" si="38"/>
        <v>0</v>
      </c>
      <c r="D1190" s="7" t="str">
        <f t="shared" si="39"/>
        <v>0</v>
      </c>
    </row>
    <row r="1191" spans="1:4" x14ac:dyDescent="0.3">
      <c r="A1191" s="3">
        <v>45560.666666666664</v>
      </c>
      <c r="B1191" s="1">
        <v>24.3</v>
      </c>
      <c r="C1191" s="7" t="str">
        <f t="shared" si="38"/>
        <v>0</v>
      </c>
      <c r="D1191" s="7" t="str">
        <f t="shared" si="39"/>
        <v>0</v>
      </c>
    </row>
    <row r="1192" spans="1:4" x14ac:dyDescent="0.3">
      <c r="A1192" s="3">
        <v>45560.6875</v>
      </c>
      <c r="B1192" s="1">
        <v>24.1</v>
      </c>
      <c r="C1192" s="7" t="str">
        <f t="shared" si="38"/>
        <v>0</v>
      </c>
      <c r="D1192" s="7" t="str">
        <f t="shared" si="39"/>
        <v>0</v>
      </c>
    </row>
    <row r="1193" spans="1:4" x14ac:dyDescent="0.3">
      <c r="A1193" s="3">
        <v>45560.708333333336</v>
      </c>
      <c r="B1193" s="1">
        <v>23.6</v>
      </c>
      <c r="C1193" s="7" t="str">
        <f t="shared" si="38"/>
        <v>0</v>
      </c>
      <c r="D1193" s="7" t="str">
        <f t="shared" si="39"/>
        <v>0</v>
      </c>
    </row>
    <row r="1194" spans="1:4" x14ac:dyDescent="0.3">
      <c r="A1194" s="3">
        <v>45560.729166666664</v>
      </c>
      <c r="B1194" s="1">
        <v>23.2</v>
      </c>
      <c r="C1194" s="7" t="str">
        <f t="shared" si="38"/>
        <v>0</v>
      </c>
      <c r="D1194" s="7" t="str">
        <f t="shared" si="39"/>
        <v>0</v>
      </c>
    </row>
    <row r="1195" spans="1:4" x14ac:dyDescent="0.3">
      <c r="A1195" s="3">
        <v>45560.75</v>
      </c>
      <c r="B1195" s="1">
        <v>22.8</v>
      </c>
      <c r="C1195" s="7" t="str">
        <f t="shared" si="38"/>
        <v>0</v>
      </c>
      <c r="D1195" s="7" t="str">
        <f t="shared" si="39"/>
        <v>0</v>
      </c>
    </row>
    <row r="1196" spans="1:4" x14ac:dyDescent="0.3">
      <c r="A1196" s="3">
        <v>45560.770833333336</v>
      </c>
      <c r="B1196" s="1">
        <v>22.6</v>
      </c>
      <c r="C1196" s="7" t="str">
        <f t="shared" si="38"/>
        <v>0</v>
      </c>
      <c r="D1196" s="7" t="str">
        <f t="shared" si="39"/>
        <v>0</v>
      </c>
    </row>
    <row r="1197" spans="1:4" x14ac:dyDescent="0.3">
      <c r="A1197" s="3">
        <v>45560.791666666664</v>
      </c>
      <c r="B1197" s="1">
        <v>22.3</v>
      </c>
      <c r="C1197" s="7" t="str">
        <f t="shared" si="38"/>
        <v>0</v>
      </c>
      <c r="D1197" s="7" t="str">
        <f t="shared" si="39"/>
        <v>0</v>
      </c>
    </row>
    <row r="1198" spans="1:4" x14ac:dyDescent="0.3">
      <c r="A1198" s="3">
        <v>45560.8125</v>
      </c>
      <c r="B1198" s="1">
        <v>22.1</v>
      </c>
      <c r="C1198" s="7" t="str">
        <f t="shared" si="38"/>
        <v>0</v>
      </c>
      <c r="D1198" s="7" t="str">
        <f t="shared" si="39"/>
        <v>0</v>
      </c>
    </row>
    <row r="1199" spans="1:4" x14ac:dyDescent="0.3">
      <c r="A1199" s="3">
        <v>45560.833333333336</v>
      </c>
      <c r="B1199" s="1">
        <v>21.9</v>
      </c>
      <c r="C1199" s="7" t="str">
        <f t="shared" si="38"/>
        <v>0</v>
      </c>
      <c r="D1199" s="7" t="str">
        <f t="shared" si="39"/>
        <v>0</v>
      </c>
    </row>
    <row r="1200" spans="1:4" x14ac:dyDescent="0.3">
      <c r="A1200" s="3">
        <v>45560.854166666664</v>
      </c>
      <c r="B1200" s="1">
        <v>21.8</v>
      </c>
      <c r="C1200" s="7" t="str">
        <f t="shared" si="38"/>
        <v>0</v>
      </c>
      <c r="D1200" s="7" t="str">
        <f t="shared" si="39"/>
        <v>0</v>
      </c>
    </row>
    <row r="1201" spans="1:4" x14ac:dyDescent="0.3">
      <c r="A1201" s="3">
        <v>45560.875</v>
      </c>
      <c r="B1201" s="1">
        <v>21.5</v>
      </c>
      <c r="C1201" s="7" t="str">
        <f t="shared" si="38"/>
        <v>0</v>
      </c>
      <c r="D1201" s="7" t="str">
        <f t="shared" si="39"/>
        <v>0</v>
      </c>
    </row>
    <row r="1202" spans="1:4" x14ac:dyDescent="0.3">
      <c r="A1202" s="3">
        <v>45560.895833333336</v>
      </c>
      <c r="B1202" s="1">
        <v>21.4</v>
      </c>
      <c r="C1202" s="7" t="str">
        <f t="shared" si="38"/>
        <v>0</v>
      </c>
      <c r="D1202" s="7" t="str">
        <f t="shared" si="39"/>
        <v>0</v>
      </c>
    </row>
    <row r="1203" spans="1:4" x14ac:dyDescent="0.3">
      <c r="A1203" s="3">
        <v>45560.916666666664</v>
      </c>
      <c r="B1203" s="1">
        <v>21.3</v>
      </c>
      <c r="C1203" s="7" t="str">
        <f t="shared" si="38"/>
        <v>0</v>
      </c>
      <c r="D1203" s="7" t="str">
        <f t="shared" si="39"/>
        <v>0</v>
      </c>
    </row>
    <row r="1204" spans="1:4" x14ac:dyDescent="0.3">
      <c r="A1204" s="3">
        <v>45560.9375</v>
      </c>
      <c r="B1204" s="1">
        <v>21</v>
      </c>
      <c r="C1204" s="7" t="str">
        <f t="shared" si="38"/>
        <v>0</v>
      </c>
      <c r="D1204" s="7" t="str">
        <f t="shared" si="39"/>
        <v>0</v>
      </c>
    </row>
    <row r="1205" spans="1:4" x14ac:dyDescent="0.3">
      <c r="A1205" s="3">
        <v>45560.958333333336</v>
      </c>
      <c r="B1205" s="1">
        <v>20.8</v>
      </c>
      <c r="C1205" s="7" t="str">
        <f t="shared" si="38"/>
        <v>0</v>
      </c>
      <c r="D1205" s="7" t="str">
        <f t="shared" si="39"/>
        <v>0</v>
      </c>
    </row>
    <row r="1206" spans="1:4" x14ac:dyDescent="0.3">
      <c r="A1206" s="3">
        <v>45560.979166666664</v>
      </c>
      <c r="B1206" s="1">
        <v>20.399999999999999</v>
      </c>
      <c r="C1206" s="7" t="str">
        <f t="shared" si="38"/>
        <v>0</v>
      </c>
      <c r="D1206" s="7" t="str">
        <f t="shared" si="39"/>
        <v>0</v>
      </c>
    </row>
    <row r="1207" spans="1:4" x14ac:dyDescent="0.3">
      <c r="A1207" s="3">
        <v>45561</v>
      </c>
      <c r="B1207" s="1">
        <v>20.2</v>
      </c>
      <c r="C1207" s="7" t="str">
        <f t="shared" si="38"/>
        <v>0</v>
      </c>
      <c r="D1207" s="7" t="str">
        <f t="shared" si="39"/>
        <v>0</v>
      </c>
    </row>
    <row r="1208" spans="1:4" x14ac:dyDescent="0.3">
      <c r="A1208" s="3">
        <v>45561.020833333336</v>
      </c>
      <c r="B1208" s="1">
        <v>20.2</v>
      </c>
      <c r="C1208" s="7" t="str">
        <f t="shared" si="38"/>
        <v>0</v>
      </c>
      <c r="D1208" s="7" t="str">
        <f t="shared" si="39"/>
        <v>0</v>
      </c>
    </row>
    <row r="1209" spans="1:4" x14ac:dyDescent="0.3">
      <c r="A1209" s="3">
        <v>45561.041666666664</v>
      </c>
      <c r="B1209" s="1">
        <v>20.2</v>
      </c>
      <c r="C1209" s="7" t="str">
        <f t="shared" si="38"/>
        <v>0</v>
      </c>
      <c r="D1209" s="7" t="str">
        <f t="shared" si="39"/>
        <v>0</v>
      </c>
    </row>
    <row r="1210" spans="1:4" x14ac:dyDescent="0.3">
      <c r="A1210" s="3">
        <v>45561.0625</v>
      </c>
      <c r="B1210" s="1">
        <v>20.100000000000001</v>
      </c>
      <c r="C1210" s="7" t="str">
        <f t="shared" si="38"/>
        <v>0</v>
      </c>
      <c r="D1210" s="7" t="str">
        <f t="shared" si="39"/>
        <v>0</v>
      </c>
    </row>
    <row r="1211" spans="1:4" x14ac:dyDescent="0.3">
      <c r="A1211" s="3">
        <v>45561.083333333336</v>
      </c>
      <c r="B1211" s="1">
        <v>19.899999999999999</v>
      </c>
      <c r="C1211" s="7" t="str">
        <f t="shared" si="38"/>
        <v>0</v>
      </c>
      <c r="D1211" s="7" t="str">
        <f t="shared" si="39"/>
        <v>0</v>
      </c>
    </row>
    <row r="1212" spans="1:4" x14ac:dyDescent="0.3">
      <c r="A1212" s="3">
        <v>45561.104166666664</v>
      </c>
      <c r="B1212" s="1">
        <v>19.600000000000001</v>
      </c>
      <c r="C1212" s="7" t="str">
        <f t="shared" si="38"/>
        <v>0</v>
      </c>
      <c r="D1212" s="7" t="str">
        <f t="shared" si="39"/>
        <v>0</v>
      </c>
    </row>
    <row r="1213" spans="1:4" x14ac:dyDescent="0.3">
      <c r="A1213" s="3">
        <v>45561.125</v>
      </c>
      <c r="B1213" s="1">
        <v>19.5</v>
      </c>
      <c r="C1213" s="7" t="str">
        <f t="shared" si="38"/>
        <v>0</v>
      </c>
      <c r="D1213" s="7" t="str">
        <f t="shared" si="39"/>
        <v>0</v>
      </c>
    </row>
    <row r="1214" spans="1:4" x14ac:dyDescent="0.3">
      <c r="A1214" s="3">
        <v>45561.145833333336</v>
      </c>
      <c r="B1214" s="1">
        <v>19.600000000000001</v>
      </c>
      <c r="C1214" s="7" t="str">
        <f t="shared" si="38"/>
        <v>0</v>
      </c>
      <c r="D1214" s="7" t="str">
        <f t="shared" si="39"/>
        <v>0</v>
      </c>
    </row>
    <row r="1215" spans="1:4" x14ac:dyDescent="0.3">
      <c r="A1215" s="3">
        <v>45561.166666666664</v>
      </c>
      <c r="B1215" s="1">
        <v>19.3</v>
      </c>
      <c r="C1215" s="7" t="str">
        <f t="shared" si="38"/>
        <v>0</v>
      </c>
      <c r="D1215" s="7" t="str">
        <f t="shared" si="39"/>
        <v>0</v>
      </c>
    </row>
    <row r="1216" spans="1:4" x14ac:dyDescent="0.3">
      <c r="A1216" s="3">
        <v>45561.1875</v>
      </c>
      <c r="B1216" s="1">
        <v>19.2</v>
      </c>
      <c r="C1216" s="7" t="str">
        <f t="shared" si="38"/>
        <v>0</v>
      </c>
      <c r="D1216" s="7" t="str">
        <f t="shared" si="39"/>
        <v>0</v>
      </c>
    </row>
    <row r="1217" spans="1:4" x14ac:dyDescent="0.3">
      <c r="A1217" s="3">
        <v>45561.208333333336</v>
      </c>
      <c r="B1217" s="1">
        <v>19.100000000000001</v>
      </c>
      <c r="C1217" s="7" t="str">
        <f t="shared" si="38"/>
        <v>0</v>
      </c>
      <c r="D1217" s="7" t="str">
        <f t="shared" si="39"/>
        <v>0</v>
      </c>
    </row>
    <row r="1218" spans="1:4" x14ac:dyDescent="0.3">
      <c r="A1218" s="3">
        <v>45561.229166666664</v>
      </c>
      <c r="B1218" s="1">
        <v>19.399999999999999</v>
      </c>
      <c r="C1218" s="7" t="str">
        <f t="shared" si="38"/>
        <v>0</v>
      </c>
      <c r="D1218" s="7" t="str">
        <f t="shared" si="39"/>
        <v>0</v>
      </c>
    </row>
    <row r="1219" spans="1:4" x14ac:dyDescent="0.3">
      <c r="A1219" s="3">
        <v>45561.25</v>
      </c>
      <c r="B1219" s="1">
        <v>19.8</v>
      </c>
      <c r="C1219" s="7" t="str">
        <f t="shared" ref="C1219:C1282" si="40">IF(B1219=$P$13,A1219,"0")</f>
        <v>0</v>
      </c>
      <c r="D1219" s="7" t="str">
        <f t="shared" ref="D1219:D1282" si="41">IF(B1219=$M$13,A1219,"0")</f>
        <v>0</v>
      </c>
    </row>
    <row r="1220" spans="1:4" x14ac:dyDescent="0.3">
      <c r="A1220" s="3">
        <v>45561.270833333336</v>
      </c>
      <c r="B1220" s="1">
        <v>20.5</v>
      </c>
      <c r="C1220" s="7" t="str">
        <f t="shared" si="40"/>
        <v>0</v>
      </c>
      <c r="D1220" s="7" t="str">
        <f t="shared" si="41"/>
        <v>0</v>
      </c>
    </row>
    <row r="1221" spans="1:4" x14ac:dyDescent="0.3">
      <c r="A1221" s="3">
        <v>45561.291666666664</v>
      </c>
      <c r="B1221" s="1">
        <v>21.4</v>
      </c>
      <c r="C1221" s="7" t="str">
        <f t="shared" si="40"/>
        <v>0</v>
      </c>
      <c r="D1221" s="7" t="str">
        <f t="shared" si="41"/>
        <v>0</v>
      </c>
    </row>
    <row r="1222" spans="1:4" x14ac:dyDescent="0.3">
      <c r="A1222" s="3">
        <v>45561.3125</v>
      </c>
      <c r="B1222" s="1">
        <v>22.5</v>
      </c>
      <c r="C1222" s="7" t="str">
        <f t="shared" si="40"/>
        <v>0</v>
      </c>
      <c r="D1222" s="7" t="str">
        <f t="shared" si="41"/>
        <v>0</v>
      </c>
    </row>
    <row r="1223" spans="1:4" x14ac:dyDescent="0.3">
      <c r="A1223" s="3">
        <v>45561.333333333336</v>
      </c>
      <c r="B1223" s="1">
        <v>23.2</v>
      </c>
      <c r="C1223" s="7" t="str">
        <f t="shared" si="40"/>
        <v>0</v>
      </c>
      <c r="D1223" s="7" t="str">
        <f t="shared" si="41"/>
        <v>0</v>
      </c>
    </row>
    <row r="1224" spans="1:4" x14ac:dyDescent="0.3">
      <c r="A1224" s="3">
        <v>45561.354166666664</v>
      </c>
      <c r="B1224" s="1">
        <v>23.7</v>
      </c>
      <c r="C1224" s="7" t="str">
        <f t="shared" si="40"/>
        <v>0</v>
      </c>
      <c r="D1224" s="7" t="str">
        <f t="shared" si="41"/>
        <v>0</v>
      </c>
    </row>
    <row r="1225" spans="1:4" x14ac:dyDescent="0.3">
      <c r="A1225" s="3">
        <v>45561.375</v>
      </c>
      <c r="B1225" s="1">
        <v>24.2</v>
      </c>
      <c r="C1225" s="7" t="str">
        <f t="shared" si="40"/>
        <v>0</v>
      </c>
      <c r="D1225" s="7" t="str">
        <f t="shared" si="41"/>
        <v>0</v>
      </c>
    </row>
    <row r="1226" spans="1:4" x14ac:dyDescent="0.3">
      <c r="A1226" s="3">
        <v>45561.395833333336</v>
      </c>
      <c r="B1226" s="1">
        <v>24.5</v>
      </c>
      <c r="C1226" s="7" t="str">
        <f t="shared" si="40"/>
        <v>0</v>
      </c>
      <c r="D1226" s="7" t="str">
        <f t="shared" si="41"/>
        <v>0</v>
      </c>
    </row>
    <row r="1227" spans="1:4" x14ac:dyDescent="0.3">
      <c r="A1227" s="3">
        <v>45561.416666666664</v>
      </c>
      <c r="B1227" s="1">
        <v>25.1</v>
      </c>
      <c r="C1227" s="7" t="str">
        <f t="shared" si="40"/>
        <v>0</v>
      </c>
      <c r="D1227" s="7" t="str">
        <f t="shared" si="41"/>
        <v>0</v>
      </c>
    </row>
    <row r="1228" spans="1:4" x14ac:dyDescent="0.3">
      <c r="A1228" s="3">
        <v>45561.4375</v>
      </c>
      <c r="B1228" s="1">
        <v>25.2</v>
      </c>
      <c r="C1228" s="7" t="str">
        <f t="shared" si="40"/>
        <v>0</v>
      </c>
      <c r="D1228" s="7" t="str">
        <f t="shared" si="41"/>
        <v>0</v>
      </c>
    </row>
    <row r="1229" spans="1:4" x14ac:dyDescent="0.3">
      <c r="A1229" s="3">
        <v>45561.458333333336</v>
      </c>
      <c r="B1229" s="1">
        <v>25.7</v>
      </c>
      <c r="C1229" s="7" t="str">
        <f t="shared" si="40"/>
        <v>0</v>
      </c>
      <c r="D1229" s="7" t="str">
        <f t="shared" si="41"/>
        <v>0</v>
      </c>
    </row>
    <row r="1230" spans="1:4" x14ac:dyDescent="0.3">
      <c r="A1230" s="3">
        <v>45561.479166666664</v>
      </c>
      <c r="B1230" s="1">
        <v>25.8</v>
      </c>
      <c r="C1230" s="7" t="str">
        <f t="shared" si="40"/>
        <v>0</v>
      </c>
      <c r="D1230" s="7" t="str">
        <f t="shared" si="41"/>
        <v>0</v>
      </c>
    </row>
    <row r="1231" spans="1:4" x14ac:dyDescent="0.3">
      <c r="A1231" s="3">
        <v>45561.5</v>
      </c>
      <c r="B1231" s="1">
        <v>25.9</v>
      </c>
      <c r="C1231" s="7" t="str">
        <f t="shared" si="40"/>
        <v>0</v>
      </c>
      <c r="D1231" s="7" t="str">
        <f t="shared" si="41"/>
        <v>0</v>
      </c>
    </row>
    <row r="1232" spans="1:4" x14ac:dyDescent="0.3">
      <c r="A1232" s="3">
        <v>45561.520833333336</v>
      </c>
      <c r="B1232" s="1">
        <v>26.1</v>
      </c>
      <c r="C1232" s="7" t="str">
        <f t="shared" si="40"/>
        <v>0</v>
      </c>
      <c r="D1232" s="7" t="str">
        <f t="shared" si="41"/>
        <v>0</v>
      </c>
    </row>
    <row r="1233" spans="1:4" x14ac:dyDescent="0.3">
      <c r="A1233" s="3">
        <v>45561.541666666664</v>
      </c>
      <c r="B1233" s="1">
        <v>25.8</v>
      </c>
      <c r="C1233" s="7" t="str">
        <f t="shared" si="40"/>
        <v>0</v>
      </c>
      <c r="D1233" s="7" t="str">
        <f t="shared" si="41"/>
        <v>0</v>
      </c>
    </row>
    <row r="1234" spans="1:4" x14ac:dyDescent="0.3">
      <c r="A1234" s="3">
        <v>45561.5625</v>
      </c>
      <c r="B1234" s="1">
        <v>25.7</v>
      </c>
      <c r="C1234" s="7" t="str">
        <f t="shared" si="40"/>
        <v>0</v>
      </c>
      <c r="D1234" s="7" t="str">
        <f t="shared" si="41"/>
        <v>0</v>
      </c>
    </row>
    <row r="1235" spans="1:4" x14ac:dyDescent="0.3">
      <c r="A1235" s="3">
        <v>45561.583333333336</v>
      </c>
      <c r="B1235" s="1">
        <v>26.1</v>
      </c>
      <c r="C1235" s="7" t="str">
        <f t="shared" si="40"/>
        <v>0</v>
      </c>
      <c r="D1235" s="7" t="str">
        <f t="shared" si="41"/>
        <v>0</v>
      </c>
    </row>
    <row r="1236" spans="1:4" x14ac:dyDescent="0.3">
      <c r="A1236" s="3">
        <v>45561.604166666664</v>
      </c>
      <c r="B1236" s="1">
        <v>26.3</v>
      </c>
      <c r="C1236" s="7" t="str">
        <f t="shared" si="40"/>
        <v>0</v>
      </c>
      <c r="D1236" s="7" t="str">
        <f t="shared" si="41"/>
        <v>0</v>
      </c>
    </row>
    <row r="1237" spans="1:4" x14ac:dyDescent="0.3">
      <c r="A1237" s="3">
        <v>45561.625</v>
      </c>
      <c r="B1237" s="1">
        <v>26.3</v>
      </c>
      <c r="C1237" s="7" t="str">
        <f t="shared" si="40"/>
        <v>0</v>
      </c>
      <c r="D1237" s="7" t="str">
        <f t="shared" si="41"/>
        <v>0</v>
      </c>
    </row>
    <row r="1238" spans="1:4" x14ac:dyDescent="0.3">
      <c r="A1238" s="3">
        <v>45561.645833333336</v>
      </c>
      <c r="B1238" s="1">
        <v>25.9</v>
      </c>
      <c r="C1238" s="7" t="str">
        <f t="shared" si="40"/>
        <v>0</v>
      </c>
      <c r="D1238" s="7" t="str">
        <f t="shared" si="41"/>
        <v>0</v>
      </c>
    </row>
    <row r="1239" spans="1:4" x14ac:dyDescent="0.3">
      <c r="A1239" s="3">
        <v>45561.666666666664</v>
      </c>
      <c r="B1239" s="1">
        <v>25.5</v>
      </c>
      <c r="C1239" s="7" t="str">
        <f t="shared" si="40"/>
        <v>0</v>
      </c>
      <c r="D1239" s="7" t="str">
        <f t="shared" si="41"/>
        <v>0</v>
      </c>
    </row>
    <row r="1240" spans="1:4" x14ac:dyDescent="0.3">
      <c r="A1240" s="3">
        <v>45561.6875</v>
      </c>
      <c r="B1240" s="1">
        <v>24.8</v>
      </c>
      <c r="C1240" s="7" t="str">
        <f t="shared" si="40"/>
        <v>0</v>
      </c>
      <c r="D1240" s="7" t="str">
        <f t="shared" si="41"/>
        <v>0</v>
      </c>
    </row>
    <row r="1241" spans="1:4" x14ac:dyDescent="0.3">
      <c r="A1241" s="3">
        <v>45561.708333333336</v>
      </c>
      <c r="B1241" s="1">
        <v>24.1</v>
      </c>
      <c r="C1241" s="7" t="str">
        <f t="shared" si="40"/>
        <v>0</v>
      </c>
      <c r="D1241" s="7" t="str">
        <f t="shared" si="41"/>
        <v>0</v>
      </c>
    </row>
    <row r="1242" spans="1:4" x14ac:dyDescent="0.3">
      <c r="A1242" s="3">
        <v>45561.729166666664</v>
      </c>
      <c r="B1242" s="1">
        <v>23.7</v>
      </c>
      <c r="C1242" s="7" t="str">
        <f t="shared" si="40"/>
        <v>0</v>
      </c>
      <c r="D1242" s="7" t="str">
        <f t="shared" si="41"/>
        <v>0</v>
      </c>
    </row>
    <row r="1243" spans="1:4" x14ac:dyDescent="0.3">
      <c r="A1243" s="3">
        <v>45561.75</v>
      </c>
      <c r="B1243" s="1">
        <v>23.3</v>
      </c>
      <c r="C1243" s="7" t="str">
        <f t="shared" si="40"/>
        <v>0</v>
      </c>
      <c r="D1243" s="7" t="str">
        <f t="shared" si="41"/>
        <v>0</v>
      </c>
    </row>
    <row r="1244" spans="1:4" x14ac:dyDescent="0.3">
      <c r="A1244" s="3">
        <v>45561.770833333336</v>
      </c>
      <c r="B1244" s="1">
        <v>23</v>
      </c>
      <c r="C1244" s="7" t="str">
        <f t="shared" si="40"/>
        <v>0</v>
      </c>
      <c r="D1244" s="7" t="str">
        <f t="shared" si="41"/>
        <v>0</v>
      </c>
    </row>
    <row r="1245" spans="1:4" x14ac:dyDescent="0.3">
      <c r="A1245" s="3">
        <v>45561.791666666664</v>
      </c>
      <c r="B1245" s="1">
        <v>22.8</v>
      </c>
      <c r="C1245" s="7" t="str">
        <f t="shared" si="40"/>
        <v>0</v>
      </c>
      <c r="D1245" s="7" t="str">
        <f t="shared" si="41"/>
        <v>0</v>
      </c>
    </row>
    <row r="1246" spans="1:4" x14ac:dyDescent="0.3">
      <c r="A1246" s="3">
        <v>45561.8125</v>
      </c>
      <c r="B1246" s="1">
        <v>22.6</v>
      </c>
      <c r="C1246" s="7" t="str">
        <f t="shared" si="40"/>
        <v>0</v>
      </c>
      <c r="D1246" s="7" t="str">
        <f t="shared" si="41"/>
        <v>0</v>
      </c>
    </row>
    <row r="1247" spans="1:4" x14ac:dyDescent="0.3">
      <c r="A1247" s="3">
        <v>45561.833333333336</v>
      </c>
      <c r="B1247" s="1">
        <v>22.5</v>
      </c>
      <c r="C1247" s="7" t="str">
        <f t="shared" si="40"/>
        <v>0</v>
      </c>
      <c r="D1247" s="7" t="str">
        <f t="shared" si="41"/>
        <v>0</v>
      </c>
    </row>
    <row r="1248" spans="1:4" x14ac:dyDescent="0.3">
      <c r="A1248" s="3">
        <v>45561.854166666664</v>
      </c>
      <c r="B1248" s="1">
        <v>22.4</v>
      </c>
      <c r="C1248" s="7" t="str">
        <f t="shared" si="40"/>
        <v>0</v>
      </c>
      <c r="D1248" s="7" t="str">
        <f t="shared" si="41"/>
        <v>0</v>
      </c>
    </row>
    <row r="1249" spans="1:4" x14ac:dyDescent="0.3">
      <c r="A1249" s="3">
        <v>45561.875</v>
      </c>
      <c r="B1249" s="1">
        <v>22.2</v>
      </c>
      <c r="C1249" s="7" t="str">
        <f t="shared" si="40"/>
        <v>0</v>
      </c>
      <c r="D1249" s="7" t="str">
        <f t="shared" si="41"/>
        <v>0</v>
      </c>
    </row>
    <row r="1250" spans="1:4" x14ac:dyDescent="0.3">
      <c r="A1250" s="3">
        <v>45561.895833333336</v>
      </c>
      <c r="B1250" s="1">
        <v>22.1</v>
      </c>
      <c r="C1250" s="7" t="str">
        <f t="shared" si="40"/>
        <v>0</v>
      </c>
      <c r="D1250" s="7" t="str">
        <f t="shared" si="41"/>
        <v>0</v>
      </c>
    </row>
    <row r="1251" spans="1:4" x14ac:dyDescent="0.3">
      <c r="A1251" s="3">
        <v>45561.916666666664</v>
      </c>
      <c r="B1251" s="1">
        <v>22.1</v>
      </c>
      <c r="C1251" s="7" t="str">
        <f t="shared" si="40"/>
        <v>0</v>
      </c>
      <c r="D1251" s="7" t="str">
        <f t="shared" si="41"/>
        <v>0</v>
      </c>
    </row>
    <row r="1252" spans="1:4" x14ac:dyDescent="0.3">
      <c r="A1252" s="3">
        <v>45561.9375</v>
      </c>
      <c r="B1252" s="1">
        <v>22</v>
      </c>
      <c r="C1252" s="7" t="str">
        <f t="shared" si="40"/>
        <v>0</v>
      </c>
      <c r="D1252" s="7" t="str">
        <f t="shared" si="41"/>
        <v>0</v>
      </c>
    </row>
    <row r="1253" spans="1:4" x14ac:dyDescent="0.3">
      <c r="A1253" s="3">
        <v>45561.958333333336</v>
      </c>
      <c r="B1253" s="1">
        <v>22</v>
      </c>
      <c r="C1253" s="7" t="str">
        <f t="shared" si="40"/>
        <v>0</v>
      </c>
      <c r="D1253" s="7" t="str">
        <f t="shared" si="41"/>
        <v>0</v>
      </c>
    </row>
    <row r="1254" spans="1:4" x14ac:dyDescent="0.3">
      <c r="A1254" s="3">
        <v>45561.979166666664</v>
      </c>
      <c r="B1254" s="1">
        <v>22</v>
      </c>
      <c r="C1254" s="7" t="str">
        <f t="shared" si="40"/>
        <v>0</v>
      </c>
      <c r="D1254" s="7" t="str">
        <f t="shared" si="41"/>
        <v>0</v>
      </c>
    </row>
    <row r="1255" spans="1:4" x14ac:dyDescent="0.3">
      <c r="A1255" s="3">
        <v>45562</v>
      </c>
      <c r="B1255" s="1">
        <v>22.1</v>
      </c>
      <c r="C1255" s="7" t="str">
        <f t="shared" si="40"/>
        <v>0</v>
      </c>
      <c r="D1255" s="7" t="str">
        <f t="shared" si="41"/>
        <v>0</v>
      </c>
    </row>
    <row r="1256" spans="1:4" x14ac:dyDescent="0.3">
      <c r="A1256" s="3">
        <v>45562.020833333336</v>
      </c>
      <c r="B1256" s="1">
        <v>22.1</v>
      </c>
      <c r="C1256" s="7" t="str">
        <f t="shared" si="40"/>
        <v>0</v>
      </c>
      <c r="D1256" s="7" t="str">
        <f t="shared" si="41"/>
        <v>0</v>
      </c>
    </row>
    <row r="1257" spans="1:4" x14ac:dyDescent="0.3">
      <c r="A1257" s="3">
        <v>45562.041666666664</v>
      </c>
      <c r="B1257" s="1">
        <v>22</v>
      </c>
      <c r="C1257" s="7" t="str">
        <f t="shared" si="40"/>
        <v>0</v>
      </c>
      <c r="D1257" s="7" t="str">
        <f t="shared" si="41"/>
        <v>0</v>
      </c>
    </row>
    <row r="1258" spans="1:4" x14ac:dyDescent="0.3">
      <c r="A1258" s="3">
        <v>45562.0625</v>
      </c>
      <c r="B1258" s="1">
        <v>22</v>
      </c>
      <c r="C1258" s="7" t="str">
        <f t="shared" si="40"/>
        <v>0</v>
      </c>
      <c r="D1258" s="7" t="str">
        <f t="shared" si="41"/>
        <v>0</v>
      </c>
    </row>
    <row r="1259" spans="1:4" x14ac:dyDescent="0.3">
      <c r="A1259" s="3">
        <v>45562.083333333336</v>
      </c>
      <c r="B1259" s="1">
        <v>22.1</v>
      </c>
      <c r="C1259" s="7" t="str">
        <f t="shared" si="40"/>
        <v>0</v>
      </c>
      <c r="D1259" s="7" t="str">
        <f t="shared" si="41"/>
        <v>0</v>
      </c>
    </row>
    <row r="1260" spans="1:4" x14ac:dyDescent="0.3">
      <c r="A1260" s="3">
        <v>45562.104166666664</v>
      </c>
      <c r="B1260" s="1">
        <v>22.2</v>
      </c>
      <c r="C1260" s="7" t="str">
        <f t="shared" si="40"/>
        <v>0</v>
      </c>
      <c r="D1260" s="7" t="str">
        <f t="shared" si="41"/>
        <v>0</v>
      </c>
    </row>
    <row r="1261" spans="1:4" x14ac:dyDescent="0.3">
      <c r="A1261" s="3">
        <v>45562.125</v>
      </c>
      <c r="B1261" s="1">
        <v>22.2</v>
      </c>
      <c r="C1261" s="7" t="str">
        <f t="shared" si="40"/>
        <v>0</v>
      </c>
      <c r="D1261" s="7" t="str">
        <f t="shared" si="41"/>
        <v>0</v>
      </c>
    </row>
    <row r="1262" spans="1:4" x14ac:dyDescent="0.3">
      <c r="A1262" s="3">
        <v>45562.145833333336</v>
      </c>
      <c r="B1262" s="1">
        <v>22.3</v>
      </c>
      <c r="C1262" s="7" t="str">
        <f t="shared" si="40"/>
        <v>0</v>
      </c>
      <c r="D1262" s="7" t="str">
        <f t="shared" si="41"/>
        <v>0</v>
      </c>
    </row>
    <row r="1263" spans="1:4" x14ac:dyDescent="0.3">
      <c r="A1263" s="3">
        <v>45562.166666666664</v>
      </c>
      <c r="B1263" s="1">
        <v>22.3</v>
      </c>
      <c r="C1263" s="7" t="str">
        <f t="shared" si="40"/>
        <v>0</v>
      </c>
      <c r="D1263" s="7" t="str">
        <f t="shared" si="41"/>
        <v>0</v>
      </c>
    </row>
    <row r="1264" spans="1:4" x14ac:dyDescent="0.3">
      <c r="A1264" s="3">
        <v>45562.1875</v>
      </c>
      <c r="B1264" s="1">
        <v>22.4</v>
      </c>
      <c r="C1264" s="7" t="str">
        <f t="shared" si="40"/>
        <v>0</v>
      </c>
      <c r="D1264" s="7" t="str">
        <f t="shared" si="41"/>
        <v>0</v>
      </c>
    </row>
    <row r="1265" spans="1:4" x14ac:dyDescent="0.3">
      <c r="A1265" s="3">
        <v>45562.208333333336</v>
      </c>
      <c r="B1265" s="1">
        <v>22.4</v>
      </c>
      <c r="C1265" s="7" t="str">
        <f t="shared" si="40"/>
        <v>0</v>
      </c>
      <c r="D1265" s="7" t="str">
        <f t="shared" si="41"/>
        <v>0</v>
      </c>
    </row>
    <row r="1266" spans="1:4" x14ac:dyDescent="0.3">
      <c r="A1266" s="3">
        <v>45562.229166666664</v>
      </c>
      <c r="B1266" s="1">
        <v>22.6</v>
      </c>
      <c r="C1266" s="7" t="str">
        <f t="shared" si="40"/>
        <v>0</v>
      </c>
      <c r="D1266" s="7" t="str">
        <f t="shared" si="41"/>
        <v>0</v>
      </c>
    </row>
    <row r="1267" spans="1:4" x14ac:dyDescent="0.3">
      <c r="A1267" s="3">
        <v>45562.25</v>
      </c>
      <c r="B1267" s="1">
        <v>22.8</v>
      </c>
      <c r="C1267" s="7" t="str">
        <f t="shared" si="40"/>
        <v>0</v>
      </c>
      <c r="D1267" s="7" t="str">
        <f t="shared" si="41"/>
        <v>0</v>
      </c>
    </row>
    <row r="1268" spans="1:4" x14ac:dyDescent="0.3">
      <c r="A1268" s="3">
        <v>45562.270833333336</v>
      </c>
      <c r="B1268" s="1">
        <v>23.2</v>
      </c>
      <c r="C1268" s="7" t="str">
        <f t="shared" si="40"/>
        <v>0</v>
      </c>
      <c r="D1268" s="7" t="str">
        <f t="shared" si="41"/>
        <v>0</v>
      </c>
    </row>
    <row r="1269" spans="1:4" x14ac:dyDescent="0.3">
      <c r="A1269" s="3">
        <v>45562.291666666664</v>
      </c>
      <c r="B1269" s="1">
        <v>23.8</v>
      </c>
      <c r="C1269" s="7" t="str">
        <f t="shared" si="40"/>
        <v>0</v>
      </c>
      <c r="D1269" s="7" t="str">
        <f t="shared" si="41"/>
        <v>0</v>
      </c>
    </row>
    <row r="1270" spans="1:4" x14ac:dyDescent="0.3">
      <c r="A1270" s="3">
        <v>45562.3125</v>
      </c>
      <c r="B1270" s="1">
        <v>24.2</v>
      </c>
      <c r="C1270" s="7" t="str">
        <f t="shared" si="40"/>
        <v>0</v>
      </c>
      <c r="D1270" s="7" t="str">
        <f t="shared" si="41"/>
        <v>0</v>
      </c>
    </row>
    <row r="1271" spans="1:4" x14ac:dyDescent="0.3">
      <c r="A1271" s="3">
        <v>45562.333333333336</v>
      </c>
      <c r="B1271" s="1">
        <v>24.6</v>
      </c>
      <c r="C1271" s="7" t="str">
        <f t="shared" si="40"/>
        <v>0</v>
      </c>
      <c r="D1271" s="7" t="str">
        <f t="shared" si="41"/>
        <v>0</v>
      </c>
    </row>
    <row r="1272" spans="1:4" x14ac:dyDescent="0.3">
      <c r="A1272" s="3">
        <v>45562.354166666664</v>
      </c>
      <c r="B1272" s="1">
        <v>25.1</v>
      </c>
      <c r="C1272" s="7" t="str">
        <f t="shared" si="40"/>
        <v>0</v>
      </c>
      <c r="D1272" s="7" t="str">
        <f t="shared" si="41"/>
        <v>0</v>
      </c>
    </row>
    <row r="1273" spans="1:4" x14ac:dyDescent="0.3">
      <c r="A1273" s="3">
        <v>45562.375</v>
      </c>
      <c r="B1273" s="1">
        <v>25.7</v>
      </c>
      <c r="C1273" s="7" t="str">
        <f t="shared" si="40"/>
        <v>0</v>
      </c>
      <c r="D1273" s="7" t="str">
        <f t="shared" si="41"/>
        <v>0</v>
      </c>
    </row>
    <row r="1274" spans="1:4" x14ac:dyDescent="0.3">
      <c r="A1274" s="3">
        <v>45562.395833333336</v>
      </c>
      <c r="B1274" s="1">
        <v>26.3</v>
      </c>
      <c r="C1274" s="7" t="str">
        <f t="shared" si="40"/>
        <v>0</v>
      </c>
      <c r="D1274" s="7" t="str">
        <f t="shared" si="41"/>
        <v>0</v>
      </c>
    </row>
    <row r="1275" spans="1:4" x14ac:dyDescent="0.3">
      <c r="A1275" s="3">
        <v>45562.416666666664</v>
      </c>
      <c r="B1275" s="1">
        <v>26.3</v>
      </c>
      <c r="C1275" s="7" t="str">
        <f t="shared" si="40"/>
        <v>0</v>
      </c>
      <c r="D1275" s="7" t="str">
        <f t="shared" si="41"/>
        <v>0</v>
      </c>
    </row>
    <row r="1276" spans="1:4" x14ac:dyDescent="0.3">
      <c r="A1276" s="3">
        <v>45562.4375</v>
      </c>
      <c r="B1276" s="1">
        <v>26.6</v>
      </c>
      <c r="C1276" s="7" t="str">
        <f t="shared" si="40"/>
        <v>0</v>
      </c>
      <c r="D1276" s="7" t="str">
        <f t="shared" si="41"/>
        <v>0</v>
      </c>
    </row>
    <row r="1277" spans="1:4" x14ac:dyDescent="0.3">
      <c r="A1277" s="3">
        <v>45562.458333333336</v>
      </c>
      <c r="B1277" s="1">
        <v>27</v>
      </c>
      <c r="C1277" s="7" t="str">
        <f t="shared" si="40"/>
        <v>0</v>
      </c>
      <c r="D1277" s="7" t="str">
        <f t="shared" si="41"/>
        <v>0</v>
      </c>
    </row>
    <row r="1278" spans="1:4" x14ac:dyDescent="0.3">
      <c r="A1278" s="3">
        <v>45562.479166666664</v>
      </c>
      <c r="B1278" s="1">
        <v>27.3</v>
      </c>
      <c r="C1278" s="7" t="str">
        <f t="shared" si="40"/>
        <v>0</v>
      </c>
      <c r="D1278" s="7" t="str">
        <f t="shared" si="41"/>
        <v>0</v>
      </c>
    </row>
    <row r="1279" spans="1:4" x14ac:dyDescent="0.3">
      <c r="A1279" s="3">
        <v>45562.5</v>
      </c>
      <c r="B1279" s="1">
        <v>27.8</v>
      </c>
      <c r="C1279" s="7" t="str">
        <f t="shared" si="40"/>
        <v>0</v>
      </c>
      <c r="D1279" s="7" t="str">
        <f t="shared" si="41"/>
        <v>0</v>
      </c>
    </row>
    <row r="1280" spans="1:4" x14ac:dyDescent="0.3">
      <c r="A1280" s="3">
        <v>45562.520833333336</v>
      </c>
      <c r="B1280" s="1">
        <v>28</v>
      </c>
      <c r="C1280" s="7" t="str">
        <f t="shared" si="40"/>
        <v>0</v>
      </c>
      <c r="D1280" s="7" t="str">
        <f t="shared" si="41"/>
        <v>0</v>
      </c>
    </row>
    <row r="1281" spans="1:4" x14ac:dyDescent="0.3">
      <c r="A1281" s="3">
        <v>45562.541666666664</v>
      </c>
      <c r="B1281" s="1">
        <v>27.8</v>
      </c>
      <c r="C1281" s="7" t="str">
        <f t="shared" si="40"/>
        <v>0</v>
      </c>
      <c r="D1281" s="7" t="str">
        <f t="shared" si="41"/>
        <v>0</v>
      </c>
    </row>
    <row r="1282" spans="1:4" x14ac:dyDescent="0.3">
      <c r="A1282" s="3">
        <v>45562.5625</v>
      </c>
      <c r="B1282" s="1">
        <v>27.9</v>
      </c>
      <c r="C1282" s="7" t="str">
        <f t="shared" si="40"/>
        <v>0</v>
      </c>
      <c r="D1282" s="7" t="str">
        <f t="shared" si="41"/>
        <v>0</v>
      </c>
    </row>
    <row r="1283" spans="1:4" x14ac:dyDescent="0.3">
      <c r="A1283" s="3">
        <v>45562.583333333336</v>
      </c>
      <c r="B1283" s="1">
        <v>28.3</v>
      </c>
      <c r="C1283" s="7" t="str">
        <f t="shared" ref="C1283:C1346" si="42">IF(B1283=$P$13,A1283,"0")</f>
        <v>0</v>
      </c>
      <c r="D1283" s="7" t="str">
        <f t="shared" ref="D1283:D1346" si="43">IF(B1283=$M$13,A1283,"0")</f>
        <v>0</v>
      </c>
    </row>
    <row r="1284" spans="1:4" x14ac:dyDescent="0.3">
      <c r="A1284" s="3">
        <v>45562.604166666664</v>
      </c>
      <c r="B1284" s="1">
        <v>28.1</v>
      </c>
      <c r="C1284" s="7" t="str">
        <f t="shared" si="42"/>
        <v>0</v>
      </c>
      <c r="D1284" s="7" t="str">
        <f t="shared" si="43"/>
        <v>0</v>
      </c>
    </row>
    <row r="1285" spans="1:4" x14ac:dyDescent="0.3">
      <c r="A1285" s="3">
        <v>45562.625</v>
      </c>
      <c r="B1285" s="1">
        <v>28.2</v>
      </c>
      <c r="C1285" s="7" t="str">
        <f t="shared" si="42"/>
        <v>0</v>
      </c>
      <c r="D1285" s="7" t="str">
        <f t="shared" si="43"/>
        <v>0</v>
      </c>
    </row>
    <row r="1286" spans="1:4" x14ac:dyDescent="0.3">
      <c r="A1286" s="3">
        <v>45562.645833333336</v>
      </c>
      <c r="B1286" s="1">
        <v>28.1</v>
      </c>
      <c r="C1286" s="7" t="str">
        <f t="shared" si="42"/>
        <v>0</v>
      </c>
      <c r="D1286" s="7" t="str">
        <f t="shared" si="43"/>
        <v>0</v>
      </c>
    </row>
    <row r="1287" spans="1:4" x14ac:dyDescent="0.3">
      <c r="A1287" s="3">
        <v>45562.666666666664</v>
      </c>
      <c r="B1287" s="1">
        <v>27.4</v>
      </c>
      <c r="C1287" s="7" t="str">
        <f t="shared" si="42"/>
        <v>0</v>
      </c>
      <c r="D1287" s="7" t="str">
        <f t="shared" si="43"/>
        <v>0</v>
      </c>
    </row>
    <row r="1288" spans="1:4" x14ac:dyDescent="0.3">
      <c r="A1288" s="3">
        <v>45562.6875</v>
      </c>
      <c r="B1288" s="1">
        <v>26.7</v>
      </c>
      <c r="C1288" s="7" t="str">
        <f t="shared" si="42"/>
        <v>0</v>
      </c>
      <c r="D1288" s="7" t="str">
        <f t="shared" si="43"/>
        <v>0</v>
      </c>
    </row>
    <row r="1289" spans="1:4" x14ac:dyDescent="0.3">
      <c r="A1289" s="3">
        <v>45562.708333333336</v>
      </c>
      <c r="B1289" s="1">
        <v>25.9</v>
      </c>
      <c r="C1289" s="7" t="str">
        <f t="shared" si="42"/>
        <v>0</v>
      </c>
      <c r="D1289" s="7" t="str">
        <f t="shared" si="43"/>
        <v>0</v>
      </c>
    </row>
    <row r="1290" spans="1:4" x14ac:dyDescent="0.3">
      <c r="A1290" s="3">
        <v>45562.729166666664</v>
      </c>
      <c r="B1290" s="1">
        <v>25.2</v>
      </c>
      <c r="C1290" s="7" t="str">
        <f t="shared" si="42"/>
        <v>0</v>
      </c>
      <c r="D1290" s="7" t="str">
        <f t="shared" si="43"/>
        <v>0</v>
      </c>
    </row>
    <row r="1291" spans="1:4" x14ac:dyDescent="0.3">
      <c r="A1291" s="3">
        <v>45562.75</v>
      </c>
      <c r="B1291" s="1">
        <v>24.8</v>
      </c>
      <c r="C1291" s="7" t="str">
        <f t="shared" si="42"/>
        <v>0</v>
      </c>
      <c r="D1291" s="7" t="str">
        <f t="shared" si="43"/>
        <v>0</v>
      </c>
    </row>
    <row r="1292" spans="1:4" x14ac:dyDescent="0.3">
      <c r="A1292" s="3">
        <v>45562.770833333336</v>
      </c>
      <c r="B1292" s="1">
        <v>24.5</v>
      </c>
      <c r="C1292" s="7" t="str">
        <f t="shared" si="42"/>
        <v>0</v>
      </c>
      <c r="D1292" s="7" t="str">
        <f t="shared" si="43"/>
        <v>0</v>
      </c>
    </row>
    <row r="1293" spans="1:4" x14ac:dyDescent="0.3">
      <c r="A1293" s="3">
        <v>45562.791666666664</v>
      </c>
      <c r="B1293" s="1">
        <v>24.3</v>
      </c>
      <c r="C1293" s="7" t="str">
        <f t="shared" si="42"/>
        <v>0</v>
      </c>
      <c r="D1293" s="7" t="str">
        <f t="shared" si="43"/>
        <v>0</v>
      </c>
    </row>
    <row r="1294" spans="1:4" x14ac:dyDescent="0.3">
      <c r="A1294" s="3">
        <v>45562.8125</v>
      </c>
      <c r="B1294" s="1">
        <v>24.1</v>
      </c>
      <c r="C1294" s="7" t="str">
        <f t="shared" si="42"/>
        <v>0</v>
      </c>
      <c r="D1294" s="7" t="str">
        <f t="shared" si="43"/>
        <v>0</v>
      </c>
    </row>
    <row r="1295" spans="1:4" x14ac:dyDescent="0.3">
      <c r="A1295" s="3">
        <v>45562.833333333336</v>
      </c>
      <c r="B1295" s="1">
        <v>24</v>
      </c>
      <c r="C1295" s="7" t="str">
        <f t="shared" si="42"/>
        <v>0</v>
      </c>
      <c r="D1295" s="7" t="str">
        <f t="shared" si="43"/>
        <v>0</v>
      </c>
    </row>
    <row r="1296" spans="1:4" x14ac:dyDescent="0.3">
      <c r="A1296" s="3">
        <v>45562.854166666664</v>
      </c>
      <c r="B1296" s="1">
        <v>23.8</v>
      </c>
      <c r="C1296" s="7" t="str">
        <f t="shared" si="42"/>
        <v>0</v>
      </c>
      <c r="D1296" s="7" t="str">
        <f t="shared" si="43"/>
        <v>0</v>
      </c>
    </row>
    <row r="1297" spans="1:4" x14ac:dyDescent="0.3">
      <c r="A1297" s="3">
        <v>45562.875</v>
      </c>
      <c r="B1297" s="1">
        <v>23.6</v>
      </c>
      <c r="C1297" s="7" t="str">
        <f t="shared" si="42"/>
        <v>0</v>
      </c>
      <c r="D1297" s="7" t="str">
        <f t="shared" si="43"/>
        <v>0</v>
      </c>
    </row>
    <row r="1298" spans="1:4" x14ac:dyDescent="0.3">
      <c r="A1298" s="3">
        <v>45562.895833333336</v>
      </c>
      <c r="B1298" s="1">
        <v>23.5</v>
      </c>
      <c r="C1298" s="7" t="str">
        <f t="shared" si="42"/>
        <v>0</v>
      </c>
      <c r="D1298" s="7" t="str">
        <f t="shared" si="43"/>
        <v>0</v>
      </c>
    </row>
    <row r="1299" spans="1:4" x14ac:dyDescent="0.3">
      <c r="A1299" s="3">
        <v>45562.916666666664</v>
      </c>
      <c r="B1299" s="1">
        <v>23.5</v>
      </c>
      <c r="C1299" s="7" t="str">
        <f t="shared" si="42"/>
        <v>0</v>
      </c>
      <c r="D1299" s="7" t="str">
        <f t="shared" si="43"/>
        <v>0</v>
      </c>
    </row>
    <row r="1300" spans="1:4" x14ac:dyDescent="0.3">
      <c r="A1300" s="3">
        <v>45562.9375</v>
      </c>
      <c r="B1300" s="1">
        <v>23.3</v>
      </c>
      <c r="C1300" s="7" t="str">
        <f t="shared" si="42"/>
        <v>0</v>
      </c>
      <c r="D1300" s="7" t="str">
        <f t="shared" si="43"/>
        <v>0</v>
      </c>
    </row>
    <row r="1301" spans="1:4" x14ac:dyDescent="0.3">
      <c r="A1301" s="3">
        <v>45562.958333333336</v>
      </c>
      <c r="B1301" s="1">
        <v>23.2</v>
      </c>
      <c r="C1301" s="7" t="str">
        <f t="shared" si="42"/>
        <v>0</v>
      </c>
      <c r="D1301" s="7" t="str">
        <f t="shared" si="43"/>
        <v>0</v>
      </c>
    </row>
    <row r="1302" spans="1:4" x14ac:dyDescent="0.3">
      <c r="A1302" s="3">
        <v>45562.979166666664</v>
      </c>
      <c r="B1302" s="1">
        <v>23.1</v>
      </c>
      <c r="C1302" s="7" t="str">
        <f t="shared" si="42"/>
        <v>0</v>
      </c>
      <c r="D1302" s="7" t="str">
        <f t="shared" si="43"/>
        <v>0</v>
      </c>
    </row>
    <row r="1303" spans="1:4" x14ac:dyDescent="0.3">
      <c r="A1303" s="3">
        <v>45563</v>
      </c>
      <c r="B1303" s="1">
        <v>23.1</v>
      </c>
      <c r="C1303" s="7" t="str">
        <f t="shared" si="42"/>
        <v>0</v>
      </c>
      <c r="D1303" s="7" t="str">
        <f t="shared" si="43"/>
        <v>0</v>
      </c>
    </row>
    <row r="1304" spans="1:4" x14ac:dyDescent="0.3">
      <c r="A1304" s="3">
        <v>45563.020833333336</v>
      </c>
      <c r="B1304" s="1">
        <v>23</v>
      </c>
      <c r="C1304" s="7" t="str">
        <f t="shared" si="42"/>
        <v>0</v>
      </c>
      <c r="D1304" s="7" t="str">
        <f t="shared" si="43"/>
        <v>0</v>
      </c>
    </row>
    <row r="1305" spans="1:4" x14ac:dyDescent="0.3">
      <c r="A1305" s="3">
        <v>45563.041666666664</v>
      </c>
      <c r="B1305" s="1">
        <v>23</v>
      </c>
      <c r="C1305" s="7" t="str">
        <f t="shared" si="42"/>
        <v>0</v>
      </c>
      <c r="D1305" s="7" t="str">
        <f t="shared" si="43"/>
        <v>0</v>
      </c>
    </row>
    <row r="1306" spans="1:4" x14ac:dyDescent="0.3">
      <c r="A1306" s="3">
        <v>45563.0625</v>
      </c>
      <c r="B1306" s="1">
        <v>22.9</v>
      </c>
      <c r="C1306" s="7" t="str">
        <f t="shared" si="42"/>
        <v>0</v>
      </c>
      <c r="D1306" s="7" t="str">
        <f t="shared" si="43"/>
        <v>0</v>
      </c>
    </row>
    <row r="1307" spans="1:4" x14ac:dyDescent="0.3">
      <c r="A1307" s="3">
        <v>45563.083333333336</v>
      </c>
      <c r="B1307" s="1">
        <v>22.9</v>
      </c>
      <c r="C1307" s="7" t="str">
        <f t="shared" si="42"/>
        <v>0</v>
      </c>
      <c r="D1307" s="7" t="str">
        <f t="shared" si="43"/>
        <v>0</v>
      </c>
    </row>
    <row r="1308" spans="1:4" x14ac:dyDescent="0.3">
      <c r="A1308" s="3">
        <v>45563.104166666664</v>
      </c>
      <c r="B1308" s="1">
        <v>23</v>
      </c>
      <c r="C1308" s="7" t="str">
        <f t="shared" si="42"/>
        <v>0</v>
      </c>
      <c r="D1308" s="7" t="str">
        <f t="shared" si="43"/>
        <v>0</v>
      </c>
    </row>
    <row r="1309" spans="1:4" x14ac:dyDescent="0.3">
      <c r="A1309" s="3">
        <v>45563.125</v>
      </c>
      <c r="B1309" s="1">
        <v>22.9</v>
      </c>
      <c r="C1309" s="7" t="str">
        <f t="shared" si="42"/>
        <v>0</v>
      </c>
      <c r="D1309" s="7" t="str">
        <f t="shared" si="43"/>
        <v>0</v>
      </c>
    </row>
    <row r="1310" spans="1:4" x14ac:dyDescent="0.3">
      <c r="A1310" s="3">
        <v>45563.145833333336</v>
      </c>
      <c r="B1310" s="1">
        <v>22.8</v>
      </c>
      <c r="C1310" s="7" t="str">
        <f t="shared" si="42"/>
        <v>0</v>
      </c>
      <c r="D1310" s="7" t="str">
        <f t="shared" si="43"/>
        <v>0</v>
      </c>
    </row>
    <row r="1311" spans="1:4" x14ac:dyDescent="0.3">
      <c r="A1311" s="3">
        <v>45563.166666666664</v>
      </c>
      <c r="B1311" s="1">
        <v>22.8</v>
      </c>
      <c r="C1311" s="7" t="str">
        <f t="shared" si="42"/>
        <v>0</v>
      </c>
      <c r="D1311" s="7" t="str">
        <f t="shared" si="43"/>
        <v>0</v>
      </c>
    </row>
    <row r="1312" spans="1:4" x14ac:dyDescent="0.3">
      <c r="A1312" s="3">
        <v>45563.1875</v>
      </c>
      <c r="B1312" s="1">
        <v>22.8</v>
      </c>
      <c r="C1312" s="7" t="str">
        <f t="shared" si="42"/>
        <v>0</v>
      </c>
      <c r="D1312" s="7" t="str">
        <f t="shared" si="43"/>
        <v>0</v>
      </c>
    </row>
    <row r="1313" spans="1:4" x14ac:dyDescent="0.3">
      <c r="A1313" s="3">
        <v>45563.208333333336</v>
      </c>
      <c r="B1313" s="1">
        <v>22.5</v>
      </c>
      <c r="C1313" s="7" t="str">
        <f t="shared" si="42"/>
        <v>0</v>
      </c>
      <c r="D1313" s="7" t="str">
        <f t="shared" si="43"/>
        <v>0</v>
      </c>
    </row>
    <row r="1314" spans="1:4" x14ac:dyDescent="0.3">
      <c r="A1314" s="3">
        <v>45563.229166666664</v>
      </c>
      <c r="B1314" s="1">
        <v>22.2</v>
      </c>
      <c r="C1314" s="7" t="str">
        <f t="shared" si="42"/>
        <v>0</v>
      </c>
      <c r="D1314" s="7" t="str">
        <f t="shared" si="43"/>
        <v>0</v>
      </c>
    </row>
    <row r="1315" spans="1:4" x14ac:dyDescent="0.3">
      <c r="A1315" s="3">
        <v>45563.25</v>
      </c>
      <c r="B1315" s="1">
        <v>22.3</v>
      </c>
      <c r="C1315" s="7" t="str">
        <f t="shared" si="42"/>
        <v>0</v>
      </c>
      <c r="D1315" s="7" t="str">
        <f t="shared" si="43"/>
        <v>0</v>
      </c>
    </row>
    <row r="1316" spans="1:4" x14ac:dyDescent="0.3">
      <c r="A1316" s="3">
        <v>45563.270833333336</v>
      </c>
      <c r="B1316" s="1">
        <v>22.4</v>
      </c>
      <c r="C1316" s="7" t="str">
        <f t="shared" si="42"/>
        <v>0</v>
      </c>
      <c r="D1316" s="7" t="str">
        <f t="shared" si="43"/>
        <v>0</v>
      </c>
    </row>
    <row r="1317" spans="1:4" x14ac:dyDescent="0.3">
      <c r="A1317" s="3">
        <v>45563.291666666664</v>
      </c>
      <c r="B1317" s="1">
        <v>22.5</v>
      </c>
      <c r="C1317" s="7" t="str">
        <f t="shared" si="42"/>
        <v>0</v>
      </c>
      <c r="D1317" s="7" t="str">
        <f t="shared" si="43"/>
        <v>0</v>
      </c>
    </row>
    <row r="1318" spans="1:4" x14ac:dyDescent="0.3">
      <c r="A1318" s="3">
        <v>45563.3125</v>
      </c>
      <c r="B1318" s="1">
        <v>22.7</v>
      </c>
      <c r="C1318" s="7" t="str">
        <f t="shared" si="42"/>
        <v>0</v>
      </c>
      <c r="D1318" s="7" t="str">
        <f t="shared" si="43"/>
        <v>0</v>
      </c>
    </row>
    <row r="1319" spans="1:4" x14ac:dyDescent="0.3">
      <c r="A1319" s="3">
        <v>45563.333333333336</v>
      </c>
      <c r="B1319" s="1">
        <v>22.7</v>
      </c>
      <c r="C1319" s="7" t="str">
        <f t="shared" si="42"/>
        <v>0</v>
      </c>
      <c r="D1319" s="7" t="str">
        <f t="shared" si="43"/>
        <v>0</v>
      </c>
    </row>
    <row r="1320" spans="1:4" x14ac:dyDescent="0.3">
      <c r="A1320" s="3">
        <v>45563.354166666664</v>
      </c>
      <c r="B1320" s="1">
        <v>23.1</v>
      </c>
      <c r="C1320" s="7" t="str">
        <f t="shared" si="42"/>
        <v>0</v>
      </c>
      <c r="D1320" s="7" t="str">
        <f t="shared" si="43"/>
        <v>0</v>
      </c>
    </row>
    <row r="1321" spans="1:4" x14ac:dyDescent="0.3">
      <c r="A1321" s="3">
        <v>45563.375</v>
      </c>
      <c r="B1321" s="1">
        <v>22.8</v>
      </c>
      <c r="C1321" s="7" t="str">
        <f t="shared" si="42"/>
        <v>0</v>
      </c>
      <c r="D1321" s="7" t="str">
        <f t="shared" si="43"/>
        <v>0</v>
      </c>
    </row>
    <row r="1322" spans="1:4" x14ac:dyDescent="0.3">
      <c r="A1322" s="3">
        <v>45563.395833333336</v>
      </c>
      <c r="B1322" s="1">
        <v>23.1</v>
      </c>
      <c r="C1322" s="7" t="str">
        <f t="shared" si="42"/>
        <v>0</v>
      </c>
      <c r="D1322" s="7" t="str">
        <f t="shared" si="43"/>
        <v>0</v>
      </c>
    </row>
    <row r="1323" spans="1:4" x14ac:dyDescent="0.3">
      <c r="A1323" s="3">
        <v>45563.416666666664</v>
      </c>
      <c r="B1323" s="1">
        <v>23.5</v>
      </c>
      <c r="C1323" s="7" t="str">
        <f t="shared" si="42"/>
        <v>0</v>
      </c>
      <c r="D1323" s="7" t="str">
        <f t="shared" si="43"/>
        <v>0</v>
      </c>
    </row>
    <row r="1324" spans="1:4" x14ac:dyDescent="0.3">
      <c r="A1324" s="3">
        <v>45563.4375</v>
      </c>
      <c r="B1324" s="1">
        <v>23.8</v>
      </c>
      <c r="C1324" s="7" t="str">
        <f t="shared" si="42"/>
        <v>0</v>
      </c>
      <c r="D1324" s="7" t="str">
        <f t="shared" si="43"/>
        <v>0</v>
      </c>
    </row>
    <row r="1325" spans="1:4" x14ac:dyDescent="0.3">
      <c r="A1325" s="3">
        <v>45563.458333333336</v>
      </c>
      <c r="B1325" s="1">
        <v>24.1</v>
      </c>
      <c r="C1325" s="7" t="str">
        <f t="shared" si="42"/>
        <v>0</v>
      </c>
      <c r="D1325" s="7" t="str">
        <f t="shared" si="43"/>
        <v>0</v>
      </c>
    </row>
    <row r="1326" spans="1:4" x14ac:dyDescent="0.3">
      <c r="A1326" s="3">
        <v>45563.479166666664</v>
      </c>
      <c r="B1326" s="1">
        <v>23.9</v>
      </c>
      <c r="C1326" s="7" t="str">
        <f t="shared" si="42"/>
        <v>0</v>
      </c>
      <c r="D1326" s="7" t="str">
        <f t="shared" si="43"/>
        <v>0</v>
      </c>
    </row>
    <row r="1327" spans="1:4" x14ac:dyDescent="0.3">
      <c r="A1327" s="3">
        <v>45563.5</v>
      </c>
      <c r="B1327" s="1">
        <v>23.8</v>
      </c>
      <c r="C1327" s="7" t="str">
        <f t="shared" si="42"/>
        <v>0</v>
      </c>
      <c r="D1327" s="7" t="str">
        <f t="shared" si="43"/>
        <v>0</v>
      </c>
    </row>
    <row r="1328" spans="1:4" x14ac:dyDescent="0.3">
      <c r="A1328" s="3">
        <v>45563.520833333336</v>
      </c>
      <c r="B1328" s="1">
        <v>23.6</v>
      </c>
      <c r="C1328" s="7" t="str">
        <f t="shared" si="42"/>
        <v>0</v>
      </c>
      <c r="D1328" s="7" t="str">
        <f t="shared" si="43"/>
        <v>0</v>
      </c>
    </row>
    <row r="1329" spans="1:4" x14ac:dyDescent="0.3">
      <c r="A1329" s="3">
        <v>45563.541666666664</v>
      </c>
      <c r="B1329" s="1">
        <v>23.4</v>
      </c>
      <c r="C1329" s="7" t="str">
        <f t="shared" si="42"/>
        <v>0</v>
      </c>
      <c r="D1329" s="7" t="str">
        <f t="shared" si="43"/>
        <v>0</v>
      </c>
    </row>
    <row r="1330" spans="1:4" x14ac:dyDescent="0.3">
      <c r="A1330" s="3">
        <v>45563.5625</v>
      </c>
      <c r="B1330" s="1">
        <v>23.1</v>
      </c>
      <c r="C1330" s="7" t="str">
        <f t="shared" si="42"/>
        <v>0</v>
      </c>
      <c r="D1330" s="7" t="str">
        <f t="shared" si="43"/>
        <v>0</v>
      </c>
    </row>
    <row r="1331" spans="1:4" x14ac:dyDescent="0.3">
      <c r="A1331" s="3">
        <v>45563.583333333336</v>
      </c>
      <c r="B1331" s="1">
        <v>23.6</v>
      </c>
      <c r="C1331" s="7" t="str">
        <f t="shared" si="42"/>
        <v>0</v>
      </c>
      <c r="D1331" s="7" t="str">
        <f t="shared" si="43"/>
        <v>0</v>
      </c>
    </row>
    <row r="1332" spans="1:4" x14ac:dyDescent="0.3">
      <c r="A1332" s="3">
        <v>45563.604166666664</v>
      </c>
      <c r="B1332" s="1">
        <v>23.6</v>
      </c>
      <c r="C1332" s="7" t="str">
        <f t="shared" si="42"/>
        <v>0</v>
      </c>
      <c r="D1332" s="7" t="str">
        <f t="shared" si="43"/>
        <v>0</v>
      </c>
    </row>
    <row r="1333" spans="1:4" x14ac:dyDescent="0.3">
      <c r="A1333" s="3">
        <v>45563.625</v>
      </c>
      <c r="B1333" s="1">
        <v>23.7</v>
      </c>
      <c r="C1333" s="7" t="str">
        <f t="shared" si="42"/>
        <v>0</v>
      </c>
      <c r="D1333" s="7" t="str">
        <f t="shared" si="43"/>
        <v>0</v>
      </c>
    </row>
    <row r="1334" spans="1:4" x14ac:dyDescent="0.3">
      <c r="A1334" s="3">
        <v>45563.645833333336</v>
      </c>
      <c r="B1334" s="1">
        <v>23.4</v>
      </c>
      <c r="C1334" s="7" t="str">
        <f t="shared" si="42"/>
        <v>0</v>
      </c>
      <c r="D1334" s="7" t="str">
        <f t="shared" si="43"/>
        <v>0</v>
      </c>
    </row>
    <row r="1335" spans="1:4" x14ac:dyDescent="0.3">
      <c r="A1335" s="3">
        <v>45563.666666666664</v>
      </c>
      <c r="B1335" s="1">
        <v>22.4</v>
      </c>
      <c r="C1335" s="7" t="str">
        <f t="shared" si="42"/>
        <v>0</v>
      </c>
      <c r="D1335" s="7" t="str">
        <f t="shared" si="43"/>
        <v>0</v>
      </c>
    </row>
    <row r="1336" spans="1:4" x14ac:dyDescent="0.3">
      <c r="A1336" s="3">
        <v>45563.6875</v>
      </c>
      <c r="B1336" s="1">
        <v>21.9</v>
      </c>
      <c r="C1336" s="7" t="str">
        <f t="shared" si="42"/>
        <v>0</v>
      </c>
      <c r="D1336" s="7" t="str">
        <f t="shared" si="43"/>
        <v>0</v>
      </c>
    </row>
    <row r="1337" spans="1:4" x14ac:dyDescent="0.3">
      <c r="A1337" s="3">
        <v>45563.708333333336</v>
      </c>
      <c r="B1337" s="1">
        <v>21.4</v>
      </c>
      <c r="C1337" s="7" t="str">
        <f t="shared" si="42"/>
        <v>0</v>
      </c>
      <c r="D1337" s="7" t="str">
        <f t="shared" si="43"/>
        <v>0</v>
      </c>
    </row>
    <row r="1338" spans="1:4" x14ac:dyDescent="0.3">
      <c r="A1338" s="3">
        <v>45563.729166666664</v>
      </c>
      <c r="B1338" s="1">
        <v>21.5</v>
      </c>
      <c r="C1338" s="7" t="str">
        <f t="shared" si="42"/>
        <v>0</v>
      </c>
      <c r="D1338" s="7" t="str">
        <f t="shared" si="43"/>
        <v>0</v>
      </c>
    </row>
    <row r="1339" spans="1:4" x14ac:dyDescent="0.3">
      <c r="A1339" s="3">
        <v>45563.75</v>
      </c>
      <c r="B1339" s="1">
        <v>21.5</v>
      </c>
      <c r="C1339" s="7" t="str">
        <f t="shared" si="42"/>
        <v>0</v>
      </c>
      <c r="D1339" s="7" t="str">
        <f t="shared" si="43"/>
        <v>0</v>
      </c>
    </row>
    <row r="1340" spans="1:4" x14ac:dyDescent="0.3">
      <c r="A1340" s="3">
        <v>45563.770833333336</v>
      </c>
      <c r="B1340" s="1">
        <v>21.4</v>
      </c>
      <c r="C1340" s="7" t="str">
        <f t="shared" si="42"/>
        <v>0</v>
      </c>
      <c r="D1340" s="7" t="str">
        <f t="shared" si="43"/>
        <v>0</v>
      </c>
    </row>
    <row r="1341" spans="1:4" x14ac:dyDescent="0.3">
      <c r="A1341" s="3">
        <v>45563.791666666664</v>
      </c>
      <c r="B1341" s="1">
        <v>21.4</v>
      </c>
      <c r="C1341" s="7" t="str">
        <f t="shared" si="42"/>
        <v>0</v>
      </c>
      <c r="D1341" s="7" t="str">
        <f t="shared" si="43"/>
        <v>0</v>
      </c>
    </row>
    <row r="1342" spans="1:4" x14ac:dyDescent="0.3">
      <c r="A1342" s="3">
        <v>45563.8125</v>
      </c>
      <c r="B1342" s="1">
        <v>21.4</v>
      </c>
      <c r="C1342" s="7" t="str">
        <f t="shared" si="42"/>
        <v>0</v>
      </c>
      <c r="D1342" s="7" t="str">
        <f t="shared" si="43"/>
        <v>0</v>
      </c>
    </row>
    <row r="1343" spans="1:4" x14ac:dyDescent="0.3">
      <c r="A1343" s="3">
        <v>45563.833333333336</v>
      </c>
      <c r="B1343" s="1">
        <v>20.6</v>
      </c>
      <c r="C1343" s="7" t="str">
        <f t="shared" si="42"/>
        <v>0</v>
      </c>
      <c r="D1343" s="7" t="str">
        <f t="shared" si="43"/>
        <v>0</v>
      </c>
    </row>
    <row r="1344" spans="1:4" x14ac:dyDescent="0.3">
      <c r="A1344" s="3">
        <v>45563.854166666664</v>
      </c>
      <c r="B1344" s="1">
        <v>19.3</v>
      </c>
      <c r="C1344" s="7" t="str">
        <f t="shared" si="42"/>
        <v>0</v>
      </c>
      <c r="D1344" s="7" t="str">
        <f t="shared" si="43"/>
        <v>0</v>
      </c>
    </row>
    <row r="1345" spans="1:4" x14ac:dyDescent="0.3">
      <c r="A1345" s="3">
        <v>45563.875</v>
      </c>
      <c r="B1345" s="1">
        <v>18.7</v>
      </c>
      <c r="C1345" s="7" t="str">
        <f t="shared" si="42"/>
        <v>0</v>
      </c>
      <c r="D1345" s="7" t="str">
        <f t="shared" si="43"/>
        <v>0</v>
      </c>
    </row>
    <row r="1346" spans="1:4" x14ac:dyDescent="0.3">
      <c r="A1346" s="3">
        <v>45563.895833333336</v>
      </c>
      <c r="B1346" s="1">
        <v>18.399999999999999</v>
      </c>
      <c r="C1346" s="7" t="str">
        <f t="shared" si="42"/>
        <v>0</v>
      </c>
      <c r="D1346" s="7" t="str">
        <f t="shared" si="43"/>
        <v>0</v>
      </c>
    </row>
    <row r="1347" spans="1:4" x14ac:dyDescent="0.3">
      <c r="A1347" s="3">
        <v>45563.916666666664</v>
      </c>
      <c r="B1347" s="1">
        <v>18.2</v>
      </c>
      <c r="C1347" s="7" t="str">
        <f t="shared" ref="C1347:C1410" si="44">IF(B1347=$P$13,A1347,"0")</f>
        <v>0</v>
      </c>
      <c r="D1347" s="7" t="str">
        <f t="shared" ref="D1347:D1410" si="45">IF(B1347=$M$13,A1347,"0")</f>
        <v>0</v>
      </c>
    </row>
    <row r="1348" spans="1:4" x14ac:dyDescent="0.3">
      <c r="A1348" s="3">
        <v>45563.9375</v>
      </c>
      <c r="B1348" s="1">
        <v>17.899999999999999</v>
      </c>
      <c r="C1348" s="7" t="str">
        <f t="shared" si="44"/>
        <v>0</v>
      </c>
      <c r="D1348" s="7" t="str">
        <f t="shared" si="45"/>
        <v>0</v>
      </c>
    </row>
    <row r="1349" spans="1:4" x14ac:dyDescent="0.3">
      <c r="A1349" s="3">
        <v>45563.958333333336</v>
      </c>
      <c r="B1349" s="1">
        <v>17.7</v>
      </c>
      <c r="C1349" s="7" t="str">
        <f t="shared" si="44"/>
        <v>0</v>
      </c>
      <c r="D1349" s="7" t="str">
        <f t="shared" si="45"/>
        <v>0</v>
      </c>
    </row>
    <row r="1350" spans="1:4" x14ac:dyDescent="0.3">
      <c r="A1350" s="3">
        <v>45563.979166666664</v>
      </c>
      <c r="B1350" s="1">
        <v>17.5</v>
      </c>
      <c r="C1350" s="7" t="str">
        <f t="shared" si="44"/>
        <v>0</v>
      </c>
      <c r="D1350" s="7" t="str">
        <f t="shared" si="45"/>
        <v>0</v>
      </c>
    </row>
    <row r="1351" spans="1:4" x14ac:dyDescent="0.3">
      <c r="A1351" s="3">
        <v>45564</v>
      </c>
      <c r="B1351" s="1">
        <v>17.600000000000001</v>
      </c>
      <c r="C1351" s="7" t="str">
        <f t="shared" si="44"/>
        <v>0</v>
      </c>
      <c r="D1351" s="7" t="str">
        <f t="shared" si="45"/>
        <v>0</v>
      </c>
    </row>
    <row r="1352" spans="1:4" x14ac:dyDescent="0.3">
      <c r="A1352" s="3">
        <v>45564.020833333336</v>
      </c>
      <c r="B1352" s="1">
        <v>16.8</v>
      </c>
      <c r="C1352" s="7" t="str">
        <f t="shared" si="44"/>
        <v>0</v>
      </c>
      <c r="D1352" s="7" t="str">
        <f t="shared" si="45"/>
        <v>0</v>
      </c>
    </row>
    <row r="1353" spans="1:4" x14ac:dyDescent="0.3">
      <c r="A1353" s="3">
        <v>45564.041666666664</v>
      </c>
      <c r="B1353" s="1">
        <v>16.600000000000001</v>
      </c>
      <c r="C1353" s="7" t="str">
        <f t="shared" si="44"/>
        <v>0</v>
      </c>
      <c r="D1353" s="7" t="str">
        <f t="shared" si="45"/>
        <v>0</v>
      </c>
    </row>
    <row r="1354" spans="1:4" x14ac:dyDescent="0.3">
      <c r="A1354" s="3">
        <v>45564.0625</v>
      </c>
      <c r="B1354" s="1">
        <v>16.399999999999999</v>
      </c>
      <c r="C1354" s="7" t="str">
        <f t="shared" si="44"/>
        <v>0</v>
      </c>
      <c r="D1354" s="7" t="str">
        <f t="shared" si="45"/>
        <v>0</v>
      </c>
    </row>
    <row r="1355" spans="1:4" x14ac:dyDescent="0.3">
      <c r="A1355" s="3">
        <v>45564.083333333336</v>
      </c>
      <c r="B1355" s="1">
        <v>16</v>
      </c>
      <c r="C1355" s="7" t="str">
        <f t="shared" si="44"/>
        <v>0</v>
      </c>
      <c r="D1355" s="7" t="str">
        <f t="shared" si="45"/>
        <v>0</v>
      </c>
    </row>
    <row r="1356" spans="1:4" x14ac:dyDescent="0.3">
      <c r="A1356" s="3">
        <v>45564.104166666664</v>
      </c>
      <c r="B1356" s="1">
        <v>15.9</v>
      </c>
      <c r="C1356" s="7" t="str">
        <f t="shared" si="44"/>
        <v>0</v>
      </c>
      <c r="D1356" s="7" t="str">
        <f t="shared" si="45"/>
        <v>0</v>
      </c>
    </row>
    <row r="1357" spans="1:4" x14ac:dyDescent="0.3">
      <c r="A1357" s="3">
        <v>45564.125</v>
      </c>
      <c r="B1357" s="1">
        <v>15.7</v>
      </c>
      <c r="C1357" s="7" t="str">
        <f t="shared" si="44"/>
        <v>0</v>
      </c>
      <c r="D1357" s="7" t="str">
        <f t="shared" si="45"/>
        <v>0</v>
      </c>
    </row>
    <row r="1358" spans="1:4" x14ac:dyDescent="0.3">
      <c r="A1358" s="3">
        <v>45564.145833333336</v>
      </c>
      <c r="B1358" s="1">
        <v>15.6</v>
      </c>
      <c r="C1358" s="7" t="str">
        <f t="shared" si="44"/>
        <v>0</v>
      </c>
      <c r="D1358" s="7" t="str">
        <f t="shared" si="45"/>
        <v>0</v>
      </c>
    </row>
    <row r="1359" spans="1:4" x14ac:dyDescent="0.3">
      <c r="A1359" s="3">
        <v>45564.166666666664</v>
      </c>
      <c r="B1359" s="1">
        <v>15.5</v>
      </c>
      <c r="C1359" s="7" t="str">
        <f t="shared" si="44"/>
        <v>0</v>
      </c>
      <c r="D1359" s="7" t="str">
        <f t="shared" si="45"/>
        <v>0</v>
      </c>
    </row>
    <row r="1360" spans="1:4" x14ac:dyDescent="0.3">
      <c r="A1360" s="3">
        <v>45564.1875</v>
      </c>
      <c r="B1360" s="1">
        <v>15.2</v>
      </c>
      <c r="C1360" s="7" t="str">
        <f t="shared" si="44"/>
        <v>0</v>
      </c>
      <c r="D1360" s="7" t="str">
        <f t="shared" si="45"/>
        <v>0</v>
      </c>
    </row>
    <row r="1361" spans="1:4" x14ac:dyDescent="0.3">
      <c r="A1361" s="3">
        <v>45564.208333333336</v>
      </c>
      <c r="B1361" s="1">
        <v>15.1</v>
      </c>
      <c r="C1361" s="7" t="str">
        <f t="shared" si="44"/>
        <v>0</v>
      </c>
      <c r="D1361" s="7" t="str">
        <f t="shared" si="45"/>
        <v>0</v>
      </c>
    </row>
    <row r="1362" spans="1:4" x14ac:dyDescent="0.3">
      <c r="A1362" s="3">
        <v>45564.229166666664</v>
      </c>
      <c r="B1362" s="1">
        <v>15</v>
      </c>
      <c r="C1362" s="7" t="str">
        <f t="shared" si="44"/>
        <v>0</v>
      </c>
      <c r="D1362" s="7" t="str">
        <f t="shared" si="45"/>
        <v>0</v>
      </c>
    </row>
    <row r="1363" spans="1:4" x14ac:dyDescent="0.3">
      <c r="A1363" s="3">
        <v>45564.25</v>
      </c>
      <c r="B1363" s="1">
        <v>15.3</v>
      </c>
      <c r="C1363" s="7" t="str">
        <f t="shared" si="44"/>
        <v>0</v>
      </c>
      <c r="D1363" s="7" t="str">
        <f t="shared" si="45"/>
        <v>0</v>
      </c>
    </row>
    <row r="1364" spans="1:4" x14ac:dyDescent="0.3">
      <c r="A1364" s="3">
        <v>45564.270833333336</v>
      </c>
      <c r="B1364" s="1">
        <v>15.7</v>
      </c>
      <c r="C1364" s="7" t="str">
        <f t="shared" si="44"/>
        <v>0</v>
      </c>
      <c r="D1364" s="7" t="str">
        <f t="shared" si="45"/>
        <v>0</v>
      </c>
    </row>
    <row r="1365" spans="1:4" x14ac:dyDescent="0.3">
      <c r="A1365" s="3">
        <v>45564.291666666664</v>
      </c>
      <c r="B1365" s="1">
        <v>15.8</v>
      </c>
      <c r="C1365" s="7" t="str">
        <f t="shared" si="44"/>
        <v>0</v>
      </c>
      <c r="D1365" s="7" t="str">
        <f t="shared" si="45"/>
        <v>0</v>
      </c>
    </row>
    <row r="1366" spans="1:4" x14ac:dyDescent="0.3">
      <c r="A1366" s="3">
        <v>45564.3125</v>
      </c>
      <c r="B1366" s="1">
        <v>16.5</v>
      </c>
      <c r="C1366" s="7" t="str">
        <f t="shared" si="44"/>
        <v>0</v>
      </c>
      <c r="D1366" s="7" t="str">
        <f t="shared" si="45"/>
        <v>0</v>
      </c>
    </row>
    <row r="1367" spans="1:4" x14ac:dyDescent="0.3">
      <c r="A1367" s="3">
        <v>45564.333333333336</v>
      </c>
      <c r="B1367" s="1">
        <v>17.399999999999999</v>
      </c>
      <c r="C1367" s="7" t="str">
        <f t="shared" si="44"/>
        <v>0</v>
      </c>
      <c r="D1367" s="7" t="str">
        <f t="shared" si="45"/>
        <v>0</v>
      </c>
    </row>
    <row r="1368" spans="1:4" x14ac:dyDescent="0.3">
      <c r="A1368" s="3">
        <v>45564.354166666664</v>
      </c>
      <c r="B1368" s="1">
        <v>18.399999999999999</v>
      </c>
      <c r="C1368" s="7" t="str">
        <f t="shared" si="44"/>
        <v>0</v>
      </c>
      <c r="D1368" s="7" t="str">
        <f t="shared" si="45"/>
        <v>0</v>
      </c>
    </row>
    <row r="1369" spans="1:4" x14ac:dyDescent="0.3">
      <c r="A1369" s="3">
        <v>45564.375</v>
      </c>
      <c r="B1369" s="1">
        <v>19.3</v>
      </c>
      <c r="C1369" s="7" t="str">
        <f t="shared" si="44"/>
        <v>0</v>
      </c>
      <c r="D1369" s="7" t="str">
        <f t="shared" si="45"/>
        <v>0</v>
      </c>
    </row>
    <row r="1370" spans="1:4" x14ac:dyDescent="0.3">
      <c r="A1370" s="3">
        <v>45564.395833333336</v>
      </c>
      <c r="B1370" s="1">
        <v>20.2</v>
      </c>
      <c r="C1370" s="7" t="str">
        <f t="shared" si="44"/>
        <v>0</v>
      </c>
      <c r="D1370" s="7" t="str">
        <f t="shared" si="45"/>
        <v>0</v>
      </c>
    </row>
    <row r="1371" spans="1:4" x14ac:dyDescent="0.3">
      <c r="A1371" s="3">
        <v>45564.416666666664</v>
      </c>
      <c r="B1371" s="1">
        <v>21.1</v>
      </c>
      <c r="C1371" s="7" t="str">
        <f t="shared" si="44"/>
        <v>0</v>
      </c>
      <c r="D1371" s="7" t="str">
        <f t="shared" si="45"/>
        <v>0</v>
      </c>
    </row>
    <row r="1372" spans="1:4" x14ac:dyDescent="0.3">
      <c r="A1372" s="3">
        <v>45564.4375</v>
      </c>
      <c r="B1372" s="1">
        <v>21.9</v>
      </c>
      <c r="C1372" s="7" t="str">
        <f t="shared" si="44"/>
        <v>0</v>
      </c>
      <c r="D1372" s="7" t="str">
        <f t="shared" si="45"/>
        <v>0</v>
      </c>
    </row>
    <row r="1373" spans="1:4" x14ac:dyDescent="0.3">
      <c r="A1373" s="3">
        <v>45564.458333333336</v>
      </c>
      <c r="B1373" s="1">
        <v>22.5</v>
      </c>
      <c r="C1373" s="7" t="str">
        <f t="shared" si="44"/>
        <v>0</v>
      </c>
      <c r="D1373" s="7" t="str">
        <f t="shared" si="45"/>
        <v>0</v>
      </c>
    </row>
    <row r="1374" spans="1:4" x14ac:dyDescent="0.3">
      <c r="A1374" s="3">
        <v>45564.479166666664</v>
      </c>
      <c r="B1374" s="1">
        <v>22.7</v>
      </c>
      <c r="C1374" s="7" t="str">
        <f t="shared" si="44"/>
        <v>0</v>
      </c>
      <c r="D1374" s="7" t="str">
        <f t="shared" si="45"/>
        <v>0</v>
      </c>
    </row>
    <row r="1375" spans="1:4" x14ac:dyDescent="0.3">
      <c r="A1375" s="3">
        <v>45564.5</v>
      </c>
      <c r="B1375" s="1">
        <v>23.3</v>
      </c>
      <c r="C1375" s="7" t="str">
        <f t="shared" si="44"/>
        <v>0</v>
      </c>
      <c r="D1375" s="7" t="str">
        <f t="shared" si="45"/>
        <v>0</v>
      </c>
    </row>
    <row r="1376" spans="1:4" x14ac:dyDescent="0.3">
      <c r="A1376" s="3">
        <v>45564.520833333336</v>
      </c>
      <c r="B1376" s="1">
        <v>23.6</v>
      </c>
      <c r="C1376" s="7" t="str">
        <f t="shared" si="44"/>
        <v>0</v>
      </c>
      <c r="D1376" s="7" t="str">
        <f t="shared" si="45"/>
        <v>0</v>
      </c>
    </row>
    <row r="1377" spans="1:4" x14ac:dyDescent="0.3">
      <c r="A1377" s="3">
        <v>45564.541666666664</v>
      </c>
      <c r="B1377" s="1">
        <v>23.9</v>
      </c>
      <c r="C1377" s="7" t="str">
        <f t="shared" si="44"/>
        <v>0</v>
      </c>
      <c r="D1377" s="7" t="str">
        <f t="shared" si="45"/>
        <v>0</v>
      </c>
    </row>
    <row r="1378" spans="1:4" x14ac:dyDescent="0.3">
      <c r="A1378" s="3">
        <v>45564.5625</v>
      </c>
      <c r="B1378" s="1">
        <v>24.2</v>
      </c>
      <c r="C1378" s="7" t="str">
        <f t="shared" si="44"/>
        <v>0</v>
      </c>
      <c r="D1378" s="7" t="str">
        <f t="shared" si="45"/>
        <v>0</v>
      </c>
    </row>
    <row r="1379" spans="1:4" x14ac:dyDescent="0.3">
      <c r="A1379" s="3">
        <v>45564.583333333336</v>
      </c>
      <c r="B1379" s="1">
        <v>24.4</v>
      </c>
      <c r="C1379" s="7" t="str">
        <f t="shared" si="44"/>
        <v>0</v>
      </c>
      <c r="D1379" s="7" t="str">
        <f t="shared" si="45"/>
        <v>0</v>
      </c>
    </row>
    <row r="1380" spans="1:4" x14ac:dyDescent="0.3">
      <c r="A1380" s="3">
        <v>45564.604166666664</v>
      </c>
      <c r="B1380" s="1">
        <v>24.6</v>
      </c>
      <c r="C1380" s="7" t="str">
        <f t="shared" si="44"/>
        <v>0</v>
      </c>
      <c r="D1380" s="7" t="str">
        <f t="shared" si="45"/>
        <v>0</v>
      </c>
    </row>
    <row r="1381" spans="1:4" x14ac:dyDescent="0.3">
      <c r="A1381" s="3">
        <v>45564.625</v>
      </c>
      <c r="B1381" s="1">
        <v>24.7</v>
      </c>
      <c r="C1381" s="7" t="str">
        <f t="shared" si="44"/>
        <v>0</v>
      </c>
      <c r="D1381" s="7" t="str">
        <f t="shared" si="45"/>
        <v>0</v>
      </c>
    </row>
    <row r="1382" spans="1:4" x14ac:dyDescent="0.3">
      <c r="A1382" s="3">
        <v>45564.645833333336</v>
      </c>
      <c r="B1382" s="1">
        <v>24.2</v>
      </c>
      <c r="C1382" s="7" t="str">
        <f t="shared" si="44"/>
        <v>0</v>
      </c>
      <c r="D1382" s="7" t="str">
        <f t="shared" si="45"/>
        <v>0</v>
      </c>
    </row>
    <row r="1383" spans="1:4" x14ac:dyDescent="0.3">
      <c r="A1383" s="3">
        <v>45564.666666666664</v>
      </c>
      <c r="B1383" s="1">
        <v>23.8</v>
      </c>
      <c r="C1383" s="7" t="str">
        <f t="shared" si="44"/>
        <v>0</v>
      </c>
      <c r="D1383" s="7" t="str">
        <f t="shared" si="45"/>
        <v>0</v>
      </c>
    </row>
    <row r="1384" spans="1:4" x14ac:dyDescent="0.3">
      <c r="A1384" s="3">
        <v>45564.6875</v>
      </c>
      <c r="B1384" s="1">
        <v>23.4</v>
      </c>
      <c r="C1384" s="7" t="str">
        <f t="shared" si="44"/>
        <v>0</v>
      </c>
      <c r="D1384" s="7" t="str">
        <f t="shared" si="45"/>
        <v>0</v>
      </c>
    </row>
    <row r="1385" spans="1:4" x14ac:dyDescent="0.3">
      <c r="A1385" s="3">
        <v>45564.708333333336</v>
      </c>
      <c r="B1385" s="1">
        <v>22.7</v>
      </c>
      <c r="C1385" s="7" t="str">
        <f t="shared" si="44"/>
        <v>0</v>
      </c>
      <c r="D1385" s="7" t="str">
        <f t="shared" si="45"/>
        <v>0</v>
      </c>
    </row>
    <row r="1386" spans="1:4" x14ac:dyDescent="0.3">
      <c r="A1386" s="3">
        <v>45564.729166666664</v>
      </c>
      <c r="B1386" s="1">
        <v>22.1</v>
      </c>
      <c r="C1386" s="7" t="str">
        <f t="shared" si="44"/>
        <v>0</v>
      </c>
      <c r="D1386" s="7" t="str">
        <f t="shared" si="45"/>
        <v>0</v>
      </c>
    </row>
    <row r="1387" spans="1:4" x14ac:dyDescent="0.3">
      <c r="A1387" s="3">
        <v>45564.75</v>
      </c>
      <c r="B1387" s="1">
        <v>21.5</v>
      </c>
      <c r="C1387" s="7" t="str">
        <f t="shared" si="44"/>
        <v>0</v>
      </c>
      <c r="D1387" s="7" t="str">
        <f t="shared" si="45"/>
        <v>0</v>
      </c>
    </row>
    <row r="1388" spans="1:4" x14ac:dyDescent="0.3">
      <c r="A1388" s="3">
        <v>45564.770833333336</v>
      </c>
      <c r="B1388" s="1">
        <v>21</v>
      </c>
      <c r="C1388" s="7" t="str">
        <f t="shared" si="44"/>
        <v>0</v>
      </c>
      <c r="D1388" s="7" t="str">
        <f t="shared" si="45"/>
        <v>0</v>
      </c>
    </row>
    <row r="1389" spans="1:4" x14ac:dyDescent="0.3">
      <c r="A1389" s="3">
        <v>45564.791666666664</v>
      </c>
      <c r="B1389" s="1">
        <v>20.5</v>
      </c>
      <c r="C1389" s="7" t="str">
        <f t="shared" si="44"/>
        <v>0</v>
      </c>
      <c r="D1389" s="7" t="str">
        <f t="shared" si="45"/>
        <v>0</v>
      </c>
    </row>
    <row r="1390" spans="1:4" x14ac:dyDescent="0.3">
      <c r="A1390" s="3">
        <v>45564.8125</v>
      </c>
      <c r="B1390" s="1">
        <v>19.899999999999999</v>
      </c>
      <c r="C1390" s="7" t="str">
        <f t="shared" si="44"/>
        <v>0</v>
      </c>
      <c r="D1390" s="7" t="str">
        <f t="shared" si="45"/>
        <v>0</v>
      </c>
    </row>
    <row r="1391" spans="1:4" x14ac:dyDescent="0.3">
      <c r="A1391" s="3">
        <v>45564.833333333336</v>
      </c>
      <c r="B1391" s="1">
        <v>19.399999999999999</v>
      </c>
      <c r="C1391" s="7" t="str">
        <f t="shared" si="44"/>
        <v>0</v>
      </c>
      <c r="D1391" s="7" t="str">
        <f t="shared" si="45"/>
        <v>0</v>
      </c>
    </row>
    <row r="1392" spans="1:4" x14ac:dyDescent="0.3">
      <c r="A1392" s="3">
        <v>45564.854166666664</v>
      </c>
      <c r="B1392" s="1">
        <v>19.100000000000001</v>
      </c>
      <c r="C1392" s="7" t="str">
        <f t="shared" si="44"/>
        <v>0</v>
      </c>
      <c r="D1392" s="7" t="str">
        <f t="shared" si="45"/>
        <v>0</v>
      </c>
    </row>
    <row r="1393" spans="1:4" x14ac:dyDescent="0.3">
      <c r="A1393" s="3">
        <v>45564.875</v>
      </c>
      <c r="B1393" s="1">
        <v>18.600000000000001</v>
      </c>
      <c r="C1393" s="7" t="str">
        <f t="shared" si="44"/>
        <v>0</v>
      </c>
      <c r="D1393" s="7" t="str">
        <f t="shared" si="45"/>
        <v>0</v>
      </c>
    </row>
    <row r="1394" spans="1:4" x14ac:dyDescent="0.3">
      <c r="A1394" s="3">
        <v>45564.895833333336</v>
      </c>
      <c r="B1394" s="1">
        <v>18.2</v>
      </c>
      <c r="C1394" s="7" t="str">
        <f t="shared" si="44"/>
        <v>0</v>
      </c>
      <c r="D1394" s="7" t="str">
        <f t="shared" si="45"/>
        <v>0</v>
      </c>
    </row>
    <row r="1395" spans="1:4" x14ac:dyDescent="0.3">
      <c r="A1395" s="3">
        <v>45564.916666666664</v>
      </c>
      <c r="B1395" s="1">
        <v>18.100000000000001</v>
      </c>
      <c r="C1395" s="7" t="str">
        <f t="shared" si="44"/>
        <v>0</v>
      </c>
      <c r="D1395" s="7" t="str">
        <f t="shared" si="45"/>
        <v>0</v>
      </c>
    </row>
    <row r="1396" spans="1:4" x14ac:dyDescent="0.3">
      <c r="A1396" s="3">
        <v>45564.9375</v>
      </c>
      <c r="B1396" s="1">
        <v>17.7</v>
      </c>
      <c r="C1396" s="7" t="str">
        <f t="shared" si="44"/>
        <v>0</v>
      </c>
      <c r="D1396" s="7" t="str">
        <f t="shared" si="45"/>
        <v>0</v>
      </c>
    </row>
    <row r="1397" spans="1:4" x14ac:dyDescent="0.3">
      <c r="A1397" s="3">
        <v>45564.958333333336</v>
      </c>
      <c r="B1397" s="1">
        <v>17.399999999999999</v>
      </c>
      <c r="C1397" s="7" t="str">
        <f t="shared" si="44"/>
        <v>0</v>
      </c>
      <c r="D1397" s="7" t="str">
        <f t="shared" si="45"/>
        <v>0</v>
      </c>
    </row>
    <row r="1398" spans="1:4" x14ac:dyDescent="0.3">
      <c r="A1398" s="3">
        <v>45564.979166666664</v>
      </c>
      <c r="B1398" s="1">
        <v>17</v>
      </c>
      <c r="C1398" s="7" t="str">
        <f t="shared" si="44"/>
        <v>0</v>
      </c>
      <c r="D1398" s="7" t="str">
        <f t="shared" si="45"/>
        <v>0</v>
      </c>
    </row>
    <row r="1399" spans="1:4" x14ac:dyDescent="0.3">
      <c r="A1399" s="3">
        <v>45565</v>
      </c>
      <c r="B1399" s="1">
        <v>16.7</v>
      </c>
      <c r="C1399" s="7" t="str">
        <f t="shared" si="44"/>
        <v>0</v>
      </c>
      <c r="D1399" s="7" t="str">
        <f t="shared" si="45"/>
        <v>0</v>
      </c>
    </row>
    <row r="1400" spans="1:4" x14ac:dyDescent="0.3">
      <c r="A1400" s="3">
        <v>45565.020833333336</v>
      </c>
      <c r="B1400" s="1">
        <v>16.7</v>
      </c>
      <c r="C1400" s="7" t="str">
        <f t="shared" si="44"/>
        <v>0</v>
      </c>
      <c r="D1400" s="7" t="str">
        <f t="shared" si="45"/>
        <v>0</v>
      </c>
    </row>
    <row r="1401" spans="1:4" x14ac:dyDescent="0.3">
      <c r="A1401" s="3">
        <v>45565.041666666664</v>
      </c>
      <c r="B1401" s="1">
        <v>16.600000000000001</v>
      </c>
      <c r="C1401" s="7" t="str">
        <f t="shared" si="44"/>
        <v>0</v>
      </c>
      <c r="D1401" s="7" t="str">
        <f t="shared" si="45"/>
        <v>0</v>
      </c>
    </row>
    <row r="1402" spans="1:4" x14ac:dyDescent="0.3">
      <c r="A1402" s="3">
        <v>45565.0625</v>
      </c>
      <c r="B1402" s="1">
        <v>15.9</v>
      </c>
      <c r="C1402" s="7" t="str">
        <f t="shared" si="44"/>
        <v>0</v>
      </c>
      <c r="D1402" s="7" t="str">
        <f t="shared" si="45"/>
        <v>0</v>
      </c>
    </row>
    <row r="1403" spans="1:4" x14ac:dyDescent="0.3">
      <c r="A1403" s="3">
        <v>45565.083333333336</v>
      </c>
      <c r="B1403" s="1">
        <v>15.5</v>
      </c>
      <c r="C1403" s="7" t="str">
        <f t="shared" si="44"/>
        <v>0</v>
      </c>
      <c r="D1403" s="7" t="str">
        <f t="shared" si="45"/>
        <v>0</v>
      </c>
    </row>
    <row r="1404" spans="1:4" x14ac:dyDescent="0.3">
      <c r="A1404" s="3">
        <v>45565.104166666664</v>
      </c>
      <c r="B1404" s="1">
        <v>15</v>
      </c>
      <c r="C1404" s="7" t="str">
        <f t="shared" si="44"/>
        <v>0</v>
      </c>
      <c r="D1404" s="7" t="str">
        <f t="shared" si="45"/>
        <v>0</v>
      </c>
    </row>
    <row r="1405" spans="1:4" x14ac:dyDescent="0.3">
      <c r="A1405" s="3">
        <v>45565.125</v>
      </c>
      <c r="B1405" s="1">
        <v>14.6</v>
      </c>
      <c r="C1405" s="7" t="str">
        <f t="shared" si="44"/>
        <v>0</v>
      </c>
      <c r="D1405" s="7" t="str">
        <f t="shared" si="45"/>
        <v>0</v>
      </c>
    </row>
    <row r="1406" spans="1:4" x14ac:dyDescent="0.3">
      <c r="A1406" s="3">
        <v>45565.145833333336</v>
      </c>
      <c r="B1406" s="1">
        <v>14.1</v>
      </c>
      <c r="C1406" s="7" t="str">
        <f t="shared" si="44"/>
        <v>0</v>
      </c>
      <c r="D1406" s="7" t="str">
        <f t="shared" si="45"/>
        <v>0</v>
      </c>
    </row>
    <row r="1407" spans="1:4" x14ac:dyDescent="0.3">
      <c r="A1407" s="3">
        <v>45565.166666666664</v>
      </c>
      <c r="B1407" s="1">
        <v>14.2</v>
      </c>
      <c r="C1407" s="7" t="str">
        <f t="shared" si="44"/>
        <v>0</v>
      </c>
      <c r="D1407" s="7" t="str">
        <f t="shared" si="45"/>
        <v>0</v>
      </c>
    </row>
    <row r="1408" spans="1:4" x14ac:dyDescent="0.3">
      <c r="A1408" s="3">
        <v>45565.1875</v>
      </c>
      <c r="B1408" s="1">
        <v>13.8</v>
      </c>
      <c r="C1408" s="7" t="str">
        <f t="shared" si="44"/>
        <v>0</v>
      </c>
      <c r="D1408" s="7" t="str">
        <f t="shared" si="45"/>
        <v>0</v>
      </c>
    </row>
    <row r="1409" spans="1:4" x14ac:dyDescent="0.3">
      <c r="A1409" s="3">
        <v>45565.208333333336</v>
      </c>
      <c r="B1409" s="1">
        <v>14</v>
      </c>
      <c r="C1409" s="7" t="str">
        <f t="shared" si="44"/>
        <v>0</v>
      </c>
      <c r="D1409" s="7" t="str">
        <f t="shared" si="45"/>
        <v>0</v>
      </c>
    </row>
    <row r="1410" spans="1:4" x14ac:dyDescent="0.3">
      <c r="A1410" s="3">
        <v>45565.229166666664</v>
      </c>
      <c r="B1410" s="1">
        <v>14</v>
      </c>
      <c r="C1410" s="7" t="str">
        <f t="shared" si="44"/>
        <v>0</v>
      </c>
      <c r="D1410" s="7" t="str">
        <f t="shared" si="45"/>
        <v>0</v>
      </c>
    </row>
    <row r="1411" spans="1:4" x14ac:dyDescent="0.3">
      <c r="A1411" s="3">
        <v>45565.25</v>
      </c>
      <c r="B1411" s="1">
        <v>14.3</v>
      </c>
      <c r="C1411" s="7" t="str">
        <f t="shared" ref="C1411:C1446" si="46">IF(B1411=$P$13,A1411,"0")</f>
        <v>0</v>
      </c>
      <c r="D1411" s="7" t="str">
        <f t="shared" ref="D1411:D1446" si="47">IF(B1411=$M$13,A1411,"0")</f>
        <v>0</v>
      </c>
    </row>
    <row r="1412" spans="1:4" x14ac:dyDescent="0.3">
      <c r="A1412" s="3">
        <v>45565.270833333336</v>
      </c>
      <c r="B1412" s="1">
        <v>14.6</v>
      </c>
      <c r="C1412" s="7" t="str">
        <f t="shared" si="46"/>
        <v>0</v>
      </c>
      <c r="D1412" s="7" t="str">
        <f t="shared" si="47"/>
        <v>0</v>
      </c>
    </row>
    <row r="1413" spans="1:4" x14ac:dyDescent="0.3">
      <c r="A1413" s="3">
        <v>45565.291666666664</v>
      </c>
      <c r="B1413" s="1">
        <v>15.2</v>
      </c>
      <c r="C1413" s="7" t="str">
        <f t="shared" si="46"/>
        <v>0</v>
      </c>
      <c r="D1413" s="7" t="str">
        <f t="shared" si="47"/>
        <v>0</v>
      </c>
    </row>
    <row r="1414" spans="1:4" x14ac:dyDescent="0.3">
      <c r="A1414" s="3">
        <v>45565.3125</v>
      </c>
      <c r="B1414" s="1">
        <v>16</v>
      </c>
      <c r="C1414" s="7" t="str">
        <f t="shared" si="46"/>
        <v>0</v>
      </c>
      <c r="D1414" s="7" t="str">
        <f t="shared" si="47"/>
        <v>0</v>
      </c>
    </row>
    <row r="1415" spans="1:4" x14ac:dyDescent="0.3">
      <c r="A1415" s="3">
        <v>45565.333333333336</v>
      </c>
      <c r="B1415" s="1">
        <v>16.600000000000001</v>
      </c>
      <c r="C1415" s="7" t="str">
        <f t="shared" si="46"/>
        <v>0</v>
      </c>
      <c r="D1415" s="7" t="str">
        <f t="shared" si="47"/>
        <v>0</v>
      </c>
    </row>
    <row r="1416" spans="1:4" x14ac:dyDescent="0.3">
      <c r="A1416" s="3">
        <v>45565.354166666664</v>
      </c>
      <c r="B1416" s="1">
        <v>17.5</v>
      </c>
      <c r="C1416" s="7" t="str">
        <f t="shared" si="46"/>
        <v>0</v>
      </c>
      <c r="D1416" s="7" t="str">
        <f t="shared" si="47"/>
        <v>0</v>
      </c>
    </row>
    <row r="1417" spans="1:4" x14ac:dyDescent="0.3">
      <c r="A1417" s="3">
        <v>45565.375</v>
      </c>
      <c r="B1417" s="1">
        <v>18.5</v>
      </c>
      <c r="C1417" s="7" t="str">
        <f t="shared" si="46"/>
        <v>0</v>
      </c>
      <c r="D1417" s="7" t="str">
        <f t="shared" si="47"/>
        <v>0</v>
      </c>
    </row>
    <row r="1418" spans="1:4" x14ac:dyDescent="0.3">
      <c r="A1418" s="3">
        <v>45565.395833333336</v>
      </c>
      <c r="B1418" s="1">
        <v>19.600000000000001</v>
      </c>
      <c r="C1418" s="7" t="str">
        <f t="shared" si="46"/>
        <v>0</v>
      </c>
      <c r="D1418" s="7" t="str">
        <f t="shared" si="47"/>
        <v>0</v>
      </c>
    </row>
    <row r="1419" spans="1:4" x14ac:dyDescent="0.3">
      <c r="A1419" s="3">
        <v>45565.416666666664</v>
      </c>
      <c r="B1419" s="1">
        <v>20.399999999999999</v>
      </c>
      <c r="C1419" s="7" t="str">
        <f t="shared" si="46"/>
        <v>0</v>
      </c>
      <c r="D1419" s="7" t="str">
        <f t="shared" si="47"/>
        <v>0</v>
      </c>
    </row>
    <row r="1420" spans="1:4" x14ac:dyDescent="0.3">
      <c r="A1420" s="3">
        <v>45565.4375</v>
      </c>
      <c r="B1420" s="1">
        <v>21.2</v>
      </c>
      <c r="C1420" s="7" t="str">
        <f t="shared" si="46"/>
        <v>0</v>
      </c>
      <c r="D1420" s="7" t="str">
        <f t="shared" si="47"/>
        <v>0</v>
      </c>
    </row>
    <row r="1421" spans="1:4" x14ac:dyDescent="0.3">
      <c r="A1421" s="3">
        <v>45565.458333333336</v>
      </c>
      <c r="B1421" s="1">
        <v>21.9</v>
      </c>
      <c r="C1421" s="7" t="str">
        <f t="shared" si="46"/>
        <v>0</v>
      </c>
      <c r="D1421" s="7" t="str">
        <f t="shared" si="47"/>
        <v>0</v>
      </c>
    </row>
    <row r="1422" spans="1:4" x14ac:dyDescent="0.3">
      <c r="A1422" s="3">
        <v>45565.479166666664</v>
      </c>
      <c r="B1422" s="1">
        <v>22.3</v>
      </c>
      <c r="C1422" s="7" t="str">
        <f t="shared" si="46"/>
        <v>0</v>
      </c>
      <c r="D1422" s="7" t="str">
        <f t="shared" si="47"/>
        <v>0</v>
      </c>
    </row>
    <row r="1423" spans="1:4" x14ac:dyDescent="0.3">
      <c r="A1423" s="3">
        <v>45565.5</v>
      </c>
      <c r="B1423" s="1">
        <v>22.7</v>
      </c>
      <c r="C1423" s="7" t="str">
        <f t="shared" si="46"/>
        <v>0</v>
      </c>
      <c r="D1423" s="7" t="str">
        <f t="shared" si="47"/>
        <v>0</v>
      </c>
    </row>
    <row r="1424" spans="1:4" x14ac:dyDescent="0.3">
      <c r="A1424" s="3">
        <v>45565.520833333336</v>
      </c>
      <c r="B1424" s="1">
        <v>22.9</v>
      </c>
      <c r="C1424" s="7" t="str">
        <f t="shared" si="46"/>
        <v>0</v>
      </c>
      <c r="D1424" s="7" t="str">
        <f t="shared" si="47"/>
        <v>0</v>
      </c>
    </row>
    <row r="1425" spans="1:4" x14ac:dyDescent="0.3">
      <c r="A1425" s="3">
        <v>45565.541666666664</v>
      </c>
      <c r="B1425" s="1">
        <v>23.9</v>
      </c>
      <c r="C1425" s="7" t="str">
        <f t="shared" si="46"/>
        <v>0</v>
      </c>
      <c r="D1425" s="7" t="str">
        <f t="shared" si="47"/>
        <v>0</v>
      </c>
    </row>
    <row r="1426" spans="1:4" x14ac:dyDescent="0.3">
      <c r="A1426" s="3">
        <v>45565.5625</v>
      </c>
      <c r="B1426" s="1">
        <v>24.2</v>
      </c>
      <c r="C1426" s="7" t="str">
        <f t="shared" si="46"/>
        <v>0</v>
      </c>
      <c r="D1426" s="7" t="str">
        <f t="shared" si="47"/>
        <v>0</v>
      </c>
    </row>
    <row r="1427" spans="1:4" x14ac:dyDescent="0.3">
      <c r="A1427" s="3">
        <v>45565.583333333336</v>
      </c>
      <c r="B1427" s="1">
        <v>23.9</v>
      </c>
      <c r="C1427" s="7" t="str">
        <f t="shared" si="46"/>
        <v>0</v>
      </c>
      <c r="D1427" s="7" t="str">
        <f t="shared" si="47"/>
        <v>0</v>
      </c>
    </row>
    <row r="1428" spans="1:4" x14ac:dyDescent="0.3">
      <c r="A1428" s="3">
        <v>45565.604166666664</v>
      </c>
      <c r="B1428" s="1">
        <v>23.7</v>
      </c>
      <c r="C1428" s="7" t="str">
        <f t="shared" si="46"/>
        <v>0</v>
      </c>
      <c r="D1428" s="7" t="str">
        <f t="shared" si="47"/>
        <v>0</v>
      </c>
    </row>
    <row r="1429" spans="1:4" x14ac:dyDescent="0.3">
      <c r="A1429" s="3">
        <v>45565.625</v>
      </c>
      <c r="B1429" s="1">
        <v>23.6</v>
      </c>
      <c r="C1429" s="7" t="str">
        <f t="shared" si="46"/>
        <v>0</v>
      </c>
      <c r="D1429" s="7" t="str">
        <f t="shared" si="47"/>
        <v>0</v>
      </c>
    </row>
    <row r="1430" spans="1:4" x14ac:dyDescent="0.3">
      <c r="A1430" s="3">
        <v>45565.645833333336</v>
      </c>
      <c r="B1430" s="1">
        <v>22.8</v>
      </c>
      <c r="C1430" s="7" t="str">
        <f t="shared" si="46"/>
        <v>0</v>
      </c>
      <c r="D1430" s="7" t="str">
        <f t="shared" si="47"/>
        <v>0</v>
      </c>
    </row>
    <row r="1431" spans="1:4" x14ac:dyDescent="0.3">
      <c r="A1431" s="3">
        <v>45565.666666666664</v>
      </c>
      <c r="B1431" s="1">
        <v>22.4</v>
      </c>
      <c r="C1431" s="7" t="str">
        <f t="shared" si="46"/>
        <v>0</v>
      </c>
      <c r="D1431" s="7" t="str">
        <f t="shared" si="47"/>
        <v>0</v>
      </c>
    </row>
    <row r="1432" spans="1:4" x14ac:dyDescent="0.3">
      <c r="A1432" s="3">
        <v>45565.6875</v>
      </c>
      <c r="B1432" s="1">
        <v>22</v>
      </c>
      <c r="C1432" s="7" t="str">
        <f t="shared" si="46"/>
        <v>0</v>
      </c>
      <c r="D1432" s="7" t="str">
        <f t="shared" si="47"/>
        <v>0</v>
      </c>
    </row>
    <row r="1433" spans="1:4" x14ac:dyDescent="0.3">
      <c r="A1433" s="3">
        <v>45565.708333333336</v>
      </c>
      <c r="B1433" s="1">
        <v>21.3</v>
      </c>
      <c r="C1433" s="7" t="str">
        <f t="shared" si="46"/>
        <v>0</v>
      </c>
      <c r="D1433" s="7" t="str">
        <f t="shared" si="47"/>
        <v>0</v>
      </c>
    </row>
    <row r="1434" spans="1:4" x14ac:dyDescent="0.3">
      <c r="A1434" s="3">
        <v>45565.729166666664</v>
      </c>
      <c r="B1434" s="1">
        <v>20.9</v>
      </c>
      <c r="C1434" s="7" t="str">
        <f t="shared" si="46"/>
        <v>0</v>
      </c>
      <c r="D1434" s="7" t="str">
        <f t="shared" si="47"/>
        <v>0</v>
      </c>
    </row>
    <row r="1435" spans="1:4" x14ac:dyDescent="0.3">
      <c r="A1435" s="3">
        <v>45565.75</v>
      </c>
      <c r="B1435" s="1">
        <v>20.5</v>
      </c>
      <c r="C1435" s="7" t="str">
        <f t="shared" si="46"/>
        <v>0</v>
      </c>
      <c r="D1435" s="7" t="str">
        <f t="shared" si="47"/>
        <v>0</v>
      </c>
    </row>
    <row r="1436" spans="1:4" x14ac:dyDescent="0.3">
      <c r="A1436" s="3">
        <v>45565.770833333336</v>
      </c>
      <c r="B1436" s="1">
        <v>20.3</v>
      </c>
      <c r="C1436" s="7" t="str">
        <f t="shared" si="46"/>
        <v>0</v>
      </c>
      <c r="D1436" s="7" t="str">
        <f t="shared" si="47"/>
        <v>0</v>
      </c>
    </row>
    <row r="1437" spans="1:4" x14ac:dyDescent="0.3">
      <c r="A1437" s="3">
        <v>45565.791666666664</v>
      </c>
      <c r="B1437" s="1">
        <v>20.100000000000001</v>
      </c>
      <c r="C1437" s="7" t="str">
        <f t="shared" si="46"/>
        <v>0</v>
      </c>
      <c r="D1437" s="7" t="str">
        <f t="shared" si="47"/>
        <v>0</v>
      </c>
    </row>
    <row r="1438" spans="1:4" x14ac:dyDescent="0.3">
      <c r="A1438" s="3">
        <v>45565.8125</v>
      </c>
      <c r="B1438" s="1">
        <v>19.899999999999999</v>
      </c>
      <c r="C1438" s="7" t="str">
        <f t="shared" si="46"/>
        <v>0</v>
      </c>
      <c r="D1438" s="7" t="str">
        <f t="shared" si="47"/>
        <v>0</v>
      </c>
    </row>
    <row r="1439" spans="1:4" x14ac:dyDescent="0.3">
      <c r="A1439" s="3">
        <v>45565.833333333336</v>
      </c>
      <c r="B1439" s="1">
        <v>19.899999999999999</v>
      </c>
      <c r="C1439" s="7" t="str">
        <f t="shared" si="46"/>
        <v>0</v>
      </c>
      <c r="D1439" s="7" t="str">
        <f t="shared" si="47"/>
        <v>0</v>
      </c>
    </row>
    <row r="1440" spans="1:4" x14ac:dyDescent="0.3">
      <c r="A1440" s="3">
        <v>45565.854166666664</v>
      </c>
      <c r="B1440" s="1">
        <v>19.600000000000001</v>
      </c>
      <c r="C1440" s="7" t="str">
        <f t="shared" si="46"/>
        <v>0</v>
      </c>
      <c r="D1440" s="7" t="str">
        <f t="shared" si="47"/>
        <v>0</v>
      </c>
    </row>
    <row r="1441" spans="1:4" x14ac:dyDescent="0.3">
      <c r="A1441" s="3">
        <v>45565.875</v>
      </c>
      <c r="B1441" s="1">
        <v>19.3</v>
      </c>
      <c r="C1441" s="7" t="str">
        <f t="shared" si="46"/>
        <v>0</v>
      </c>
      <c r="D1441" s="7" t="str">
        <f t="shared" si="47"/>
        <v>0</v>
      </c>
    </row>
    <row r="1442" spans="1:4" x14ac:dyDescent="0.3">
      <c r="A1442" s="3">
        <v>45565.895833333336</v>
      </c>
      <c r="B1442" s="1">
        <v>19</v>
      </c>
      <c r="C1442" s="7" t="str">
        <f t="shared" si="46"/>
        <v>0</v>
      </c>
      <c r="D1442" s="7" t="str">
        <f t="shared" si="47"/>
        <v>0</v>
      </c>
    </row>
    <row r="1443" spans="1:4" x14ac:dyDescent="0.3">
      <c r="A1443" s="3">
        <v>45565.916666666664</v>
      </c>
      <c r="B1443" s="1">
        <v>18.100000000000001</v>
      </c>
      <c r="C1443" s="7" t="str">
        <f t="shared" si="46"/>
        <v>0</v>
      </c>
      <c r="D1443" s="7" t="str">
        <f t="shared" si="47"/>
        <v>0</v>
      </c>
    </row>
    <row r="1444" spans="1:4" x14ac:dyDescent="0.3">
      <c r="A1444" s="3">
        <v>45565.9375</v>
      </c>
      <c r="B1444" s="1">
        <v>17.7</v>
      </c>
      <c r="C1444" s="7" t="str">
        <f t="shared" si="46"/>
        <v>0</v>
      </c>
      <c r="D1444" s="7" t="str">
        <f t="shared" si="47"/>
        <v>0</v>
      </c>
    </row>
    <row r="1445" spans="1:4" x14ac:dyDescent="0.3">
      <c r="A1445" s="3">
        <v>45565.958333333336</v>
      </c>
      <c r="B1445" s="1">
        <v>17.899999999999999</v>
      </c>
      <c r="C1445" s="7" t="str">
        <f t="shared" si="46"/>
        <v>0</v>
      </c>
      <c r="D1445" s="7" t="str">
        <f t="shared" si="47"/>
        <v>0</v>
      </c>
    </row>
    <row r="1446" spans="1:4" x14ac:dyDescent="0.3">
      <c r="A1446" s="3">
        <v>45565.979166666664</v>
      </c>
      <c r="B1446" s="1">
        <v>17.5</v>
      </c>
      <c r="C1446" s="7" t="str">
        <f t="shared" si="46"/>
        <v>0</v>
      </c>
      <c r="D1446" s="7" t="str">
        <f t="shared" si="47"/>
        <v>0</v>
      </c>
    </row>
    <row r="1490" spans="13:13" x14ac:dyDescent="0.3">
      <c r="M1490" s="24"/>
    </row>
    <row r="1491" spans="13:13" x14ac:dyDescent="0.3">
      <c r="M1491" s="25"/>
    </row>
  </sheetData>
  <mergeCells count="6">
    <mergeCell ref="M11:N11"/>
    <mergeCell ref="F1:G1"/>
    <mergeCell ref="H1:K1"/>
    <mergeCell ref="M4:N4"/>
    <mergeCell ref="M5:N5"/>
    <mergeCell ref="M6:N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4C5AF-FAF2-4CC2-AD75-55A13F6BAF2B}">
  <dimension ref="A1:Q1446"/>
  <sheetViews>
    <sheetView tabSelected="1" workbookViewId="0">
      <selection activeCell="O19" sqref="O19"/>
    </sheetView>
  </sheetViews>
  <sheetFormatPr defaultRowHeight="14.4" x14ac:dyDescent="0.3"/>
  <cols>
    <col min="1" max="1" width="15.33203125" bestFit="1" customWidth="1"/>
    <col min="2" max="2" width="19" bestFit="1" customWidth="1"/>
    <col min="3" max="3" width="6" customWidth="1"/>
    <col min="4" max="4" width="10.77734375" customWidth="1"/>
    <col min="7" max="7" width="9" customWidth="1"/>
    <col min="8" max="8" width="7.6640625" customWidth="1"/>
    <col min="10" max="10" width="12.44140625" customWidth="1"/>
    <col min="11" max="11" width="13.5546875" bestFit="1" customWidth="1"/>
    <col min="12" max="12" width="2" customWidth="1"/>
    <col min="14" max="14" width="12.77734375" customWidth="1"/>
    <col min="15" max="15" width="31.6640625" bestFit="1" customWidth="1"/>
  </cols>
  <sheetData>
    <row r="1" spans="1:17" ht="22.8" thickBot="1" x14ac:dyDescent="0.35">
      <c r="A1" s="46" t="s">
        <v>33</v>
      </c>
      <c r="B1" s="47" t="s">
        <v>34</v>
      </c>
      <c r="C1" s="48"/>
      <c r="G1" s="51" t="s">
        <v>35</v>
      </c>
      <c r="H1" s="52"/>
    </row>
    <row r="2" spans="1:17" x14ac:dyDescent="0.3">
      <c r="A2" s="3">
        <v>45536</v>
      </c>
      <c r="B2" s="1">
        <v>27.3</v>
      </c>
      <c r="D2" s="53" t="s">
        <v>36</v>
      </c>
      <c r="E2" s="53" t="s">
        <v>37</v>
      </c>
      <c r="F2" s="53" t="s">
        <v>38</v>
      </c>
      <c r="G2" s="54" t="s">
        <v>39</v>
      </c>
      <c r="H2" s="54" t="s">
        <v>40</v>
      </c>
    </row>
    <row r="3" spans="1:17" ht="15" thickBot="1" x14ac:dyDescent="0.35">
      <c r="A3" s="3">
        <v>45536.020833333336</v>
      </c>
      <c r="B3" s="1">
        <v>26.3</v>
      </c>
      <c r="D3" s="9">
        <v>45536</v>
      </c>
      <c r="E3" s="73">
        <v>29.366666666666664</v>
      </c>
      <c r="F3" s="50">
        <v>1409.6</v>
      </c>
      <c r="G3" s="55">
        <v>34</v>
      </c>
      <c r="H3" s="55">
        <v>24.9</v>
      </c>
    </row>
    <row r="4" spans="1:17" x14ac:dyDescent="0.3">
      <c r="A4" s="3">
        <v>45536.041666666664</v>
      </c>
      <c r="B4" s="1">
        <v>26</v>
      </c>
      <c r="D4" s="9">
        <v>45537</v>
      </c>
      <c r="E4" s="50">
        <v>27.916326530612245</v>
      </c>
      <c r="F4" s="50">
        <v>1367.9</v>
      </c>
      <c r="G4" s="55">
        <v>33.200000000000003</v>
      </c>
      <c r="H4" s="55">
        <v>23.4</v>
      </c>
      <c r="J4" s="40" t="s">
        <v>28</v>
      </c>
      <c r="K4" s="41"/>
      <c r="O4" s="56"/>
    </row>
    <row r="5" spans="1:17" ht="15" thickBot="1" x14ac:dyDescent="0.35">
      <c r="A5" s="3">
        <v>45536.0625</v>
      </c>
      <c r="B5" s="1">
        <v>25.6</v>
      </c>
      <c r="D5" s="9">
        <v>45538</v>
      </c>
      <c r="E5" s="50">
        <v>25.379166666666666</v>
      </c>
      <c r="F5" s="50">
        <v>1218.2</v>
      </c>
      <c r="G5" s="55">
        <v>30.1</v>
      </c>
      <c r="H5" s="55">
        <v>21.9</v>
      </c>
      <c r="J5" s="42" t="s">
        <v>20</v>
      </c>
      <c r="K5" s="43"/>
      <c r="O5" s="57"/>
    </row>
    <row r="6" spans="1:17" ht="15" thickBot="1" x14ac:dyDescent="0.35">
      <c r="A6" s="3">
        <v>45536.083333333336</v>
      </c>
      <c r="B6" s="1">
        <v>25.9</v>
      </c>
      <c r="D6" s="9">
        <v>45539</v>
      </c>
      <c r="E6" s="50">
        <v>25.75</v>
      </c>
      <c r="F6" s="50">
        <v>1236</v>
      </c>
      <c r="G6" s="55">
        <v>30.2</v>
      </c>
      <c r="H6" s="55">
        <v>20.8</v>
      </c>
      <c r="J6" s="44" t="s">
        <v>22</v>
      </c>
      <c r="K6" s="45"/>
      <c r="O6" s="57"/>
    </row>
    <row r="7" spans="1:17" x14ac:dyDescent="0.3">
      <c r="A7" s="3">
        <v>45536.104166666664</v>
      </c>
      <c r="B7" s="1">
        <v>26.1</v>
      </c>
      <c r="D7" s="9">
        <v>45540</v>
      </c>
      <c r="E7" s="50">
        <v>25.906249999999996</v>
      </c>
      <c r="F7" s="50">
        <v>1243.4999999999998</v>
      </c>
      <c r="G7" s="55">
        <v>30.6</v>
      </c>
      <c r="H7" s="55">
        <v>22.3</v>
      </c>
      <c r="J7" s="13" t="s">
        <v>5</v>
      </c>
      <c r="K7" s="14">
        <v>29.366666666666664</v>
      </c>
      <c r="N7" s="33">
        <v>26.963333333333335</v>
      </c>
      <c r="O7" s="34" t="s">
        <v>29</v>
      </c>
    </row>
    <row r="8" spans="1:17" ht="15" thickBot="1" x14ac:dyDescent="0.35">
      <c r="A8" s="3">
        <v>45536.125</v>
      </c>
      <c r="B8" s="1">
        <v>26.5</v>
      </c>
      <c r="D8" s="9">
        <v>45541</v>
      </c>
      <c r="E8" s="50">
        <v>26.504166666666663</v>
      </c>
      <c r="F8" s="50">
        <v>1272.1999999999998</v>
      </c>
      <c r="G8" s="55">
        <v>30.8</v>
      </c>
      <c r="H8" s="55">
        <v>22</v>
      </c>
      <c r="J8" s="9" t="s">
        <v>6</v>
      </c>
      <c r="K8" s="10">
        <v>16.84791666666667</v>
      </c>
      <c r="N8" s="35">
        <v>18.696666666666662</v>
      </c>
      <c r="O8" s="36" t="s">
        <v>30</v>
      </c>
    </row>
    <row r="9" spans="1:17" x14ac:dyDescent="0.3">
      <c r="A9" s="3">
        <v>45536.145833333336</v>
      </c>
      <c r="B9" s="1">
        <v>26</v>
      </c>
      <c r="D9" s="9">
        <v>45542</v>
      </c>
      <c r="E9" s="50">
        <v>27.343749999999989</v>
      </c>
      <c r="F9" s="50">
        <v>1312.4999999999995</v>
      </c>
      <c r="G9" s="55">
        <v>32.5</v>
      </c>
      <c r="H9" s="55">
        <v>21.9</v>
      </c>
      <c r="J9" s="15" t="s">
        <v>7</v>
      </c>
      <c r="K9" s="58">
        <v>22.656124567474002</v>
      </c>
      <c r="O9" s="5"/>
    </row>
    <row r="10" spans="1:17" ht="15" thickBot="1" x14ac:dyDescent="0.35">
      <c r="A10" s="3">
        <v>45536.166666666664</v>
      </c>
      <c r="B10" s="1">
        <v>25.4</v>
      </c>
      <c r="D10" s="9">
        <v>45543</v>
      </c>
      <c r="E10" s="50">
        <v>28.587500000000002</v>
      </c>
      <c r="F10" s="50">
        <v>1372.2</v>
      </c>
      <c r="G10" s="75">
        <v>34.200000000000003</v>
      </c>
      <c r="H10" s="55">
        <v>23.9</v>
      </c>
    </row>
    <row r="11" spans="1:17" ht="15" thickBot="1" x14ac:dyDescent="0.35">
      <c r="A11" s="3">
        <v>45536.1875</v>
      </c>
      <c r="B11" s="1">
        <v>25.2</v>
      </c>
      <c r="D11" s="9">
        <v>45544</v>
      </c>
      <c r="E11" s="50">
        <v>25.069387755102042</v>
      </c>
      <c r="F11" s="50">
        <v>1228.4000000000001</v>
      </c>
      <c r="G11" s="55">
        <v>28.9</v>
      </c>
      <c r="H11" s="55">
        <v>22.3</v>
      </c>
      <c r="J11" s="44" t="s">
        <v>8</v>
      </c>
      <c r="K11" s="59"/>
      <c r="L11" s="59"/>
      <c r="M11" s="59"/>
      <c r="N11" s="45"/>
      <c r="O11" s="60"/>
      <c r="P11" s="60"/>
      <c r="Q11" s="60"/>
    </row>
    <row r="12" spans="1:17" x14ac:dyDescent="0.3">
      <c r="A12" s="3">
        <v>45536.208333333336</v>
      </c>
      <c r="B12" s="1">
        <v>25</v>
      </c>
      <c r="D12" s="9">
        <v>45545</v>
      </c>
      <c r="E12" s="50">
        <v>25.122448979591837</v>
      </c>
      <c r="F12" s="50">
        <v>1231</v>
      </c>
      <c r="G12" s="55">
        <v>31.3</v>
      </c>
      <c r="H12" s="55">
        <v>20.6</v>
      </c>
      <c r="J12" s="61" t="s">
        <v>9</v>
      </c>
      <c r="K12" s="62" t="s">
        <v>31</v>
      </c>
      <c r="M12" s="63" t="s">
        <v>11</v>
      </c>
      <c r="N12" s="64" t="s">
        <v>32</v>
      </c>
      <c r="O12" s="65"/>
      <c r="Q12" s="66"/>
    </row>
    <row r="13" spans="1:17" ht="15.6" x14ac:dyDescent="0.3">
      <c r="A13" s="3">
        <v>45536.229166666664</v>
      </c>
      <c r="B13" s="1">
        <v>24.9</v>
      </c>
      <c r="D13" s="9">
        <v>45546</v>
      </c>
      <c r="E13" s="50">
        <v>24.306000000000004</v>
      </c>
      <c r="F13" s="50">
        <v>1215.3000000000002</v>
      </c>
      <c r="G13" s="55">
        <v>28.1</v>
      </c>
      <c r="H13" s="55">
        <v>20.100000000000001</v>
      </c>
      <c r="J13" s="67">
        <v>34.200000000000003</v>
      </c>
      <c r="K13" s="68">
        <v>45543.5625</v>
      </c>
      <c r="L13" s="69"/>
      <c r="M13" s="70">
        <v>12.2</v>
      </c>
      <c r="N13" s="68">
        <v>45549.208333333336</v>
      </c>
      <c r="O13" s="71"/>
      <c r="P13" s="69"/>
      <c r="Q13" s="72"/>
    </row>
    <row r="14" spans="1:17" x14ac:dyDescent="0.3">
      <c r="A14" s="3">
        <v>45536.25</v>
      </c>
      <c r="B14" s="1">
        <v>25.2</v>
      </c>
      <c r="D14" s="9">
        <v>45547</v>
      </c>
      <c r="E14" s="50">
        <v>23.133333333333329</v>
      </c>
      <c r="F14" s="50">
        <v>1110.3999999999999</v>
      </c>
      <c r="G14" s="55">
        <v>26.7</v>
      </c>
      <c r="H14" s="55">
        <v>20.100000000000001</v>
      </c>
    </row>
    <row r="15" spans="1:17" x14ac:dyDescent="0.3">
      <c r="A15" s="3">
        <v>45536.270833333336</v>
      </c>
      <c r="B15" s="1">
        <v>25.9</v>
      </c>
      <c r="D15" s="9">
        <v>45548</v>
      </c>
      <c r="E15" s="50">
        <v>17.577083333333331</v>
      </c>
      <c r="F15" s="50">
        <v>843.69999999999993</v>
      </c>
      <c r="G15" s="55">
        <v>21.2</v>
      </c>
      <c r="H15" s="55">
        <v>13.4</v>
      </c>
    </row>
    <row r="16" spans="1:17" x14ac:dyDescent="0.3">
      <c r="A16" s="3">
        <v>45536.291666666664</v>
      </c>
      <c r="B16" s="1">
        <v>26.9</v>
      </c>
      <c r="D16" s="9">
        <v>45549</v>
      </c>
      <c r="E16" s="50">
        <v>17.737500000000001</v>
      </c>
      <c r="F16" s="50">
        <v>851.40000000000009</v>
      </c>
      <c r="G16" s="55">
        <v>22.1</v>
      </c>
      <c r="H16" s="76">
        <v>12.2</v>
      </c>
    </row>
    <row r="17" spans="1:8" x14ac:dyDescent="0.3">
      <c r="A17" s="3">
        <v>45536.3125</v>
      </c>
      <c r="B17" s="1">
        <v>27.5</v>
      </c>
      <c r="D17" s="9">
        <v>45550</v>
      </c>
      <c r="E17" s="50">
        <v>19.910416666666666</v>
      </c>
      <c r="F17" s="50">
        <v>955.69999999999993</v>
      </c>
      <c r="G17" s="55">
        <v>24.5</v>
      </c>
      <c r="H17" s="55">
        <v>15</v>
      </c>
    </row>
    <row r="18" spans="1:8" x14ac:dyDescent="0.3">
      <c r="A18" s="3">
        <v>45536.333333333336</v>
      </c>
      <c r="B18" s="1">
        <v>28.2</v>
      </c>
      <c r="D18" s="9">
        <v>45551</v>
      </c>
      <c r="E18" s="50">
        <v>20.258333333333329</v>
      </c>
      <c r="F18" s="50">
        <v>972.39999999999975</v>
      </c>
      <c r="G18" s="55">
        <v>24.7</v>
      </c>
      <c r="H18" s="55">
        <v>16.5</v>
      </c>
    </row>
    <row r="19" spans="1:8" x14ac:dyDescent="0.3">
      <c r="A19" s="3">
        <v>45536.354166666664</v>
      </c>
      <c r="B19" s="1">
        <v>29.3</v>
      </c>
      <c r="D19" s="9">
        <v>45552</v>
      </c>
      <c r="E19" s="74">
        <v>16.84791666666667</v>
      </c>
      <c r="F19" s="50">
        <v>808.70000000000016</v>
      </c>
      <c r="G19" s="55">
        <v>18.899999999999999</v>
      </c>
      <c r="H19" s="55">
        <v>15.5</v>
      </c>
    </row>
    <row r="20" spans="1:8" x14ac:dyDescent="0.3">
      <c r="A20" s="3">
        <v>45536.375</v>
      </c>
      <c r="B20" s="1">
        <v>30.3</v>
      </c>
      <c r="D20" s="9">
        <v>45553</v>
      </c>
      <c r="E20" s="50">
        <v>18.295833333333331</v>
      </c>
      <c r="F20" s="50">
        <v>878.19999999999993</v>
      </c>
      <c r="G20" s="55">
        <v>22.7</v>
      </c>
      <c r="H20" s="55">
        <v>15.4</v>
      </c>
    </row>
    <row r="21" spans="1:8" x14ac:dyDescent="0.3">
      <c r="A21" s="3">
        <v>45536.395833333336</v>
      </c>
      <c r="B21" s="1">
        <v>30.9</v>
      </c>
      <c r="D21" s="9">
        <v>45554</v>
      </c>
      <c r="E21" s="50">
        <v>18.674999999999997</v>
      </c>
      <c r="F21" s="50">
        <v>896.39999999999986</v>
      </c>
      <c r="G21" s="55">
        <v>23</v>
      </c>
      <c r="H21" s="55">
        <v>15.2</v>
      </c>
    </row>
    <row r="22" spans="1:8" x14ac:dyDescent="0.3">
      <c r="A22" s="3">
        <v>45536.416666666664</v>
      </c>
      <c r="B22" s="1">
        <v>31.3</v>
      </c>
      <c r="D22" s="9">
        <v>45555</v>
      </c>
      <c r="E22" s="50">
        <v>19.820833333333329</v>
      </c>
      <c r="F22" s="50">
        <v>951.39999999999986</v>
      </c>
      <c r="G22" s="55">
        <v>24.7</v>
      </c>
      <c r="H22" s="55">
        <v>15</v>
      </c>
    </row>
    <row r="23" spans="1:8" x14ac:dyDescent="0.3">
      <c r="A23" s="3">
        <v>45536.4375</v>
      </c>
      <c r="B23" s="1">
        <v>32.700000000000003</v>
      </c>
      <c r="D23" s="9">
        <v>45556</v>
      </c>
      <c r="E23" s="50">
        <v>21.260416666666664</v>
      </c>
      <c r="F23" s="50">
        <v>1020.4999999999999</v>
      </c>
      <c r="G23" s="55">
        <v>25.6</v>
      </c>
      <c r="H23" s="55">
        <v>17.7</v>
      </c>
    </row>
    <row r="24" spans="1:8" x14ac:dyDescent="0.3">
      <c r="A24" s="3">
        <v>45536.458333333336</v>
      </c>
      <c r="B24" s="1">
        <v>32.700000000000003</v>
      </c>
      <c r="D24" s="9">
        <v>45557</v>
      </c>
      <c r="E24" s="50">
        <v>21.3125</v>
      </c>
      <c r="F24" s="50">
        <v>1023</v>
      </c>
      <c r="G24" s="55">
        <v>25.7</v>
      </c>
      <c r="H24" s="55">
        <v>17.8</v>
      </c>
    </row>
    <row r="25" spans="1:8" x14ac:dyDescent="0.3">
      <c r="A25" s="3">
        <v>45536.479166666664</v>
      </c>
      <c r="B25" s="1">
        <v>33</v>
      </c>
      <c r="D25" s="9">
        <v>45558</v>
      </c>
      <c r="E25" s="50">
        <v>22.235416666666666</v>
      </c>
      <c r="F25" s="50">
        <v>1067.3</v>
      </c>
      <c r="G25" s="55">
        <v>26.3</v>
      </c>
      <c r="H25" s="55">
        <v>18.3</v>
      </c>
    </row>
    <row r="26" spans="1:8" x14ac:dyDescent="0.3">
      <c r="A26" s="3">
        <v>45536.5</v>
      </c>
      <c r="B26" s="1">
        <v>33.4</v>
      </c>
      <c r="D26" s="9">
        <v>45559</v>
      </c>
      <c r="E26" s="50">
        <v>21.754166666666674</v>
      </c>
      <c r="F26" s="50">
        <v>1044.2000000000003</v>
      </c>
      <c r="G26" s="55">
        <v>25.8</v>
      </c>
      <c r="H26" s="55">
        <v>19.8</v>
      </c>
    </row>
    <row r="27" spans="1:8" x14ac:dyDescent="0.3">
      <c r="A27" s="3">
        <v>45536.520833333336</v>
      </c>
      <c r="B27" s="1">
        <v>33.4</v>
      </c>
      <c r="D27" s="9">
        <v>45560</v>
      </c>
      <c r="E27" s="50">
        <v>21.566666666666663</v>
      </c>
      <c r="F27" s="50">
        <v>1035.1999999999998</v>
      </c>
      <c r="G27" s="55">
        <v>25.5</v>
      </c>
      <c r="H27" s="55">
        <v>17.5</v>
      </c>
    </row>
    <row r="28" spans="1:8" x14ac:dyDescent="0.3">
      <c r="A28" s="3">
        <v>45536.541666666664</v>
      </c>
      <c r="B28" s="1">
        <v>33.6</v>
      </c>
      <c r="D28" s="9">
        <v>45561</v>
      </c>
      <c r="E28" s="50">
        <v>22.77291666666666</v>
      </c>
      <c r="F28" s="50">
        <v>1093.0999999999997</v>
      </c>
      <c r="G28" s="55">
        <v>26.3</v>
      </c>
      <c r="H28" s="55">
        <v>19.100000000000001</v>
      </c>
    </row>
    <row r="29" spans="1:8" x14ac:dyDescent="0.3">
      <c r="A29" s="3">
        <v>45536.5625</v>
      </c>
      <c r="B29" s="1">
        <v>33.1</v>
      </c>
      <c r="D29" s="9">
        <v>45562</v>
      </c>
      <c r="E29" s="50">
        <v>24.681249999999995</v>
      </c>
      <c r="F29" s="50">
        <v>1184.6999999999998</v>
      </c>
      <c r="G29" s="55">
        <v>28.3</v>
      </c>
      <c r="H29" s="55">
        <v>22</v>
      </c>
    </row>
    <row r="30" spans="1:8" x14ac:dyDescent="0.3">
      <c r="A30" s="3">
        <v>45536.583333333336</v>
      </c>
      <c r="B30" s="1">
        <v>33.799999999999997</v>
      </c>
      <c r="D30" s="9">
        <v>45563</v>
      </c>
      <c r="E30" s="50">
        <v>22.087500000000002</v>
      </c>
      <c r="F30" s="50">
        <v>1060.2</v>
      </c>
      <c r="G30" s="55">
        <v>24.1</v>
      </c>
      <c r="H30" s="55">
        <v>17.5</v>
      </c>
    </row>
    <row r="31" spans="1:8" x14ac:dyDescent="0.3">
      <c r="A31" s="3">
        <v>45536.604166666664</v>
      </c>
      <c r="B31" s="1">
        <v>34</v>
      </c>
      <c r="D31" s="9">
        <v>45564</v>
      </c>
      <c r="E31" s="50">
        <v>19.406250000000004</v>
      </c>
      <c r="F31" s="50">
        <v>931.50000000000023</v>
      </c>
      <c r="G31" s="55">
        <v>24.7</v>
      </c>
      <c r="H31" s="55">
        <v>15</v>
      </c>
    </row>
    <row r="32" spans="1:8" x14ac:dyDescent="0.3">
      <c r="A32" s="3">
        <v>45536.625</v>
      </c>
      <c r="B32" s="1">
        <v>33.299999999999997</v>
      </c>
      <c r="D32" s="9">
        <v>45565</v>
      </c>
      <c r="E32" s="50">
        <v>18.818749999999998</v>
      </c>
      <c r="F32" s="50">
        <v>903.29999999999984</v>
      </c>
      <c r="G32" s="55">
        <v>24.2</v>
      </c>
      <c r="H32" s="55">
        <v>13.8</v>
      </c>
    </row>
    <row r="33" spans="1:2" x14ac:dyDescent="0.3">
      <c r="A33" s="3">
        <v>45536.645833333336</v>
      </c>
      <c r="B33" s="1">
        <v>33.6</v>
      </c>
    </row>
    <row r="34" spans="1:2" x14ac:dyDescent="0.3">
      <c r="A34" s="3">
        <v>45536.666666666664</v>
      </c>
      <c r="B34" s="1">
        <v>33.4</v>
      </c>
    </row>
    <row r="35" spans="1:2" x14ac:dyDescent="0.3">
      <c r="A35" s="3">
        <v>45536.6875</v>
      </c>
      <c r="B35" s="1">
        <v>33</v>
      </c>
    </row>
    <row r="36" spans="1:2" x14ac:dyDescent="0.3">
      <c r="A36" s="3">
        <v>45536.708333333336</v>
      </c>
      <c r="B36" s="1">
        <v>32.200000000000003</v>
      </c>
    </row>
    <row r="37" spans="1:2" x14ac:dyDescent="0.3">
      <c r="A37" s="3">
        <v>45536.729166666664</v>
      </c>
      <c r="B37" s="1">
        <v>30.9</v>
      </c>
    </row>
    <row r="38" spans="1:2" x14ac:dyDescent="0.3">
      <c r="A38" s="3">
        <v>45536.75</v>
      </c>
      <c r="B38" s="1">
        <v>30.3</v>
      </c>
    </row>
    <row r="39" spans="1:2" x14ac:dyDescent="0.3">
      <c r="A39" s="3">
        <v>45536.770833333336</v>
      </c>
      <c r="B39" s="1">
        <v>30.3</v>
      </c>
    </row>
    <row r="40" spans="1:2" x14ac:dyDescent="0.3">
      <c r="A40" s="3">
        <v>45536.791666666664</v>
      </c>
      <c r="B40" s="1">
        <v>29.6</v>
      </c>
    </row>
    <row r="41" spans="1:2" x14ac:dyDescent="0.3">
      <c r="A41" s="3">
        <v>45536.8125</v>
      </c>
      <c r="B41" s="1">
        <v>29.4</v>
      </c>
    </row>
    <row r="42" spans="1:2" x14ac:dyDescent="0.3">
      <c r="A42" s="3">
        <v>45536.833333333336</v>
      </c>
      <c r="B42" s="1">
        <v>29.2</v>
      </c>
    </row>
    <row r="43" spans="1:2" x14ac:dyDescent="0.3">
      <c r="A43" s="3">
        <v>45536.854166666664</v>
      </c>
      <c r="B43" s="1">
        <v>29.3</v>
      </c>
    </row>
    <row r="44" spans="1:2" x14ac:dyDescent="0.3">
      <c r="A44" s="3">
        <v>45536.875</v>
      </c>
      <c r="B44" s="1">
        <v>29.4</v>
      </c>
    </row>
    <row r="45" spans="1:2" x14ac:dyDescent="0.3">
      <c r="A45" s="3">
        <v>45536.895833333336</v>
      </c>
      <c r="B45" s="1">
        <v>29.2</v>
      </c>
    </row>
    <row r="46" spans="1:2" x14ac:dyDescent="0.3">
      <c r="A46" s="3">
        <v>45536.916666666664</v>
      </c>
      <c r="B46" s="1">
        <v>29.1</v>
      </c>
    </row>
    <row r="47" spans="1:2" x14ac:dyDescent="0.3">
      <c r="A47" s="3">
        <v>45536.9375</v>
      </c>
      <c r="B47" s="1">
        <v>28</v>
      </c>
    </row>
    <row r="48" spans="1:2" x14ac:dyDescent="0.3">
      <c r="A48" s="3">
        <v>45536.958333333336</v>
      </c>
      <c r="B48" s="1">
        <v>27.4</v>
      </c>
    </row>
    <row r="49" spans="1:2" x14ac:dyDescent="0.3">
      <c r="A49" s="3">
        <v>45536.979166666664</v>
      </c>
      <c r="B49" s="1">
        <v>26.6</v>
      </c>
    </row>
    <row r="50" spans="1:2" x14ac:dyDescent="0.3">
      <c r="A50" s="3">
        <v>45537</v>
      </c>
      <c r="B50" s="1">
        <v>26.5</v>
      </c>
    </row>
    <row r="51" spans="1:2" x14ac:dyDescent="0.3">
      <c r="A51" s="3">
        <v>45537.020833333336</v>
      </c>
      <c r="B51" s="1">
        <v>26.2</v>
      </c>
    </row>
    <row r="52" spans="1:2" x14ac:dyDescent="0.3">
      <c r="A52" s="3">
        <v>45537.041666666664</v>
      </c>
      <c r="B52" s="1">
        <v>26.2</v>
      </c>
    </row>
    <row r="53" spans="1:2" x14ac:dyDescent="0.3">
      <c r="A53" s="3">
        <v>45537.0625</v>
      </c>
      <c r="B53" s="1">
        <v>25.7</v>
      </c>
    </row>
    <row r="54" spans="1:2" x14ac:dyDescent="0.3">
      <c r="A54" s="3">
        <v>45537.083333333336</v>
      </c>
      <c r="B54" s="1">
        <v>25.2</v>
      </c>
    </row>
    <row r="55" spans="1:2" x14ac:dyDescent="0.3">
      <c r="A55" s="3">
        <v>45537.104166666664</v>
      </c>
      <c r="B55" s="1">
        <v>24.8</v>
      </c>
    </row>
    <row r="56" spans="1:2" x14ac:dyDescent="0.3">
      <c r="A56" s="3">
        <v>45537.125</v>
      </c>
      <c r="B56" s="1">
        <v>24.7</v>
      </c>
    </row>
    <row r="57" spans="1:2" x14ac:dyDescent="0.3">
      <c r="A57" s="3">
        <v>45537.145833333336</v>
      </c>
      <c r="B57" s="1">
        <v>24.5</v>
      </c>
    </row>
    <row r="58" spans="1:2" x14ac:dyDescent="0.3">
      <c r="A58" s="3">
        <v>45537.166666666664</v>
      </c>
      <c r="B58" s="1">
        <v>24</v>
      </c>
    </row>
    <row r="59" spans="1:2" x14ac:dyDescent="0.3">
      <c r="A59" s="3">
        <v>45537.1875</v>
      </c>
      <c r="B59" s="1">
        <v>23.8</v>
      </c>
    </row>
    <row r="60" spans="1:2" x14ac:dyDescent="0.3">
      <c r="A60" s="3">
        <v>45537.208333333336</v>
      </c>
      <c r="B60" s="1">
        <v>23.4</v>
      </c>
    </row>
    <row r="61" spans="1:2" x14ac:dyDescent="0.3">
      <c r="A61" s="3">
        <v>45537.229166666664</v>
      </c>
      <c r="B61" s="1">
        <v>23.6</v>
      </c>
    </row>
    <row r="62" spans="1:2" x14ac:dyDescent="0.3">
      <c r="A62" s="3">
        <v>45537.25</v>
      </c>
      <c r="B62" s="1">
        <v>24</v>
      </c>
    </row>
    <row r="63" spans="1:2" x14ac:dyDescent="0.3">
      <c r="A63" s="3">
        <v>45537.270833333336</v>
      </c>
      <c r="B63" s="1">
        <v>24.3</v>
      </c>
    </row>
    <row r="64" spans="1:2" x14ac:dyDescent="0.3">
      <c r="A64" s="3">
        <v>45537.291666666664</v>
      </c>
      <c r="B64" s="1">
        <v>24.7</v>
      </c>
    </row>
    <row r="65" spans="1:2" x14ac:dyDescent="0.3">
      <c r="A65" s="3">
        <v>45537.3125</v>
      </c>
      <c r="B65" s="1">
        <v>25.4</v>
      </c>
    </row>
    <row r="66" spans="1:2" x14ac:dyDescent="0.3">
      <c r="A66" s="3">
        <v>45537.333333333336</v>
      </c>
      <c r="B66" s="1">
        <v>26.4</v>
      </c>
    </row>
    <row r="67" spans="1:2" x14ac:dyDescent="0.3">
      <c r="A67" s="3">
        <v>45537.354166666664</v>
      </c>
      <c r="B67" s="1">
        <v>27.7</v>
      </c>
    </row>
    <row r="68" spans="1:2" x14ac:dyDescent="0.3">
      <c r="A68" s="3">
        <v>45537.375</v>
      </c>
      <c r="B68" s="1">
        <v>28.6</v>
      </c>
    </row>
    <row r="69" spans="1:2" x14ac:dyDescent="0.3">
      <c r="A69" s="3">
        <v>45537.395833333336</v>
      </c>
      <c r="B69" s="1">
        <v>29.6</v>
      </c>
    </row>
    <row r="70" spans="1:2" x14ac:dyDescent="0.3">
      <c r="A70" s="3">
        <v>45537.416666666664</v>
      </c>
      <c r="B70" s="1">
        <v>30.6</v>
      </c>
    </row>
    <row r="71" spans="1:2" x14ac:dyDescent="0.3">
      <c r="A71" s="3">
        <v>45537.4375</v>
      </c>
      <c r="B71" s="1">
        <v>31.7</v>
      </c>
    </row>
    <row r="72" spans="1:2" x14ac:dyDescent="0.3">
      <c r="A72" s="3">
        <v>45537.458333333336</v>
      </c>
      <c r="B72" s="1">
        <v>32.4</v>
      </c>
    </row>
    <row r="73" spans="1:2" x14ac:dyDescent="0.3">
      <c r="A73" s="3">
        <v>45537.479166666664</v>
      </c>
      <c r="B73" s="1">
        <v>31.1</v>
      </c>
    </row>
    <row r="74" spans="1:2" x14ac:dyDescent="0.3">
      <c r="A74" s="3">
        <v>45537.5</v>
      </c>
      <c r="B74" s="1">
        <v>30.3</v>
      </c>
    </row>
    <row r="75" spans="1:2" x14ac:dyDescent="0.3">
      <c r="A75" s="3">
        <v>45537.520833333336</v>
      </c>
      <c r="B75" s="1">
        <v>29.1</v>
      </c>
    </row>
    <row r="76" spans="1:2" x14ac:dyDescent="0.3">
      <c r="A76" s="3">
        <v>45537.541666666664</v>
      </c>
      <c r="B76" s="1">
        <v>30.1</v>
      </c>
    </row>
    <row r="77" spans="1:2" x14ac:dyDescent="0.3">
      <c r="A77" s="3">
        <v>45537.5625</v>
      </c>
      <c r="B77" s="1">
        <v>31.8</v>
      </c>
    </row>
    <row r="78" spans="1:2" x14ac:dyDescent="0.3">
      <c r="A78" s="3">
        <v>45537.583333333336</v>
      </c>
      <c r="B78" s="1">
        <v>32.5</v>
      </c>
    </row>
    <row r="79" spans="1:2" x14ac:dyDescent="0.3">
      <c r="A79" s="3">
        <v>45537.604166666664</v>
      </c>
      <c r="B79" s="1">
        <v>33.200000000000003</v>
      </c>
    </row>
    <row r="80" spans="1:2" x14ac:dyDescent="0.3">
      <c r="A80" s="3">
        <v>45537.625</v>
      </c>
      <c r="B80" s="1">
        <v>30</v>
      </c>
    </row>
    <row r="81" spans="1:2" x14ac:dyDescent="0.3">
      <c r="A81" s="3">
        <v>45537.645833333336</v>
      </c>
      <c r="B81" s="1">
        <v>29.8</v>
      </c>
    </row>
    <row r="82" spans="1:2" x14ac:dyDescent="0.3">
      <c r="A82" s="3">
        <v>45537.666666666664</v>
      </c>
      <c r="B82" s="1">
        <v>29.6</v>
      </c>
    </row>
    <row r="83" spans="1:2" x14ac:dyDescent="0.3">
      <c r="A83" s="3">
        <v>45537.6875</v>
      </c>
      <c r="B83" s="1">
        <v>29.2</v>
      </c>
    </row>
    <row r="84" spans="1:2" x14ac:dyDescent="0.3">
      <c r="A84" s="3">
        <v>45537.708333333336</v>
      </c>
      <c r="B84" s="1">
        <v>29</v>
      </c>
    </row>
    <row r="85" spans="1:2" x14ac:dyDescent="0.3">
      <c r="A85" s="3">
        <v>45537.729166666664</v>
      </c>
      <c r="B85" s="1">
        <v>28.8</v>
      </c>
    </row>
    <row r="86" spans="1:2" x14ac:dyDescent="0.3">
      <c r="A86" s="3">
        <v>45537.75</v>
      </c>
      <c r="B86" s="1">
        <v>29</v>
      </c>
    </row>
    <row r="87" spans="1:2" x14ac:dyDescent="0.3">
      <c r="A87" s="3">
        <v>45537.770833333336</v>
      </c>
      <c r="B87" s="1">
        <v>28.9</v>
      </c>
    </row>
    <row r="88" spans="1:2" x14ac:dyDescent="0.3">
      <c r="A88" s="3">
        <v>45537.791666666664</v>
      </c>
      <c r="B88" s="1">
        <v>29</v>
      </c>
    </row>
    <row r="89" spans="1:2" x14ac:dyDescent="0.3">
      <c r="A89" s="3">
        <v>45537.8125</v>
      </c>
      <c r="B89" s="1">
        <v>28.8</v>
      </c>
    </row>
    <row r="90" spans="1:2" x14ac:dyDescent="0.3">
      <c r="A90" s="3">
        <v>45537.833333333336</v>
      </c>
      <c r="B90" s="1">
        <v>28.7</v>
      </c>
    </row>
    <row r="91" spans="1:2" x14ac:dyDescent="0.3">
      <c r="A91" s="3">
        <v>45537.854166666664</v>
      </c>
      <c r="B91" s="1">
        <v>28.7</v>
      </c>
    </row>
    <row r="92" spans="1:2" x14ac:dyDescent="0.3">
      <c r="A92" s="3">
        <v>45537.875</v>
      </c>
      <c r="B92" s="1">
        <v>28.6</v>
      </c>
    </row>
    <row r="93" spans="1:2" x14ac:dyDescent="0.3">
      <c r="A93" s="3">
        <v>45537.883553240739</v>
      </c>
      <c r="B93" s="1">
        <v>28.5</v>
      </c>
    </row>
    <row r="94" spans="1:2" x14ac:dyDescent="0.3">
      <c r="A94" s="3">
        <v>45537.895833333336</v>
      </c>
      <c r="B94" s="1">
        <v>28.2</v>
      </c>
    </row>
    <row r="95" spans="1:2" x14ac:dyDescent="0.3">
      <c r="A95" s="3">
        <v>45537.916666666664</v>
      </c>
      <c r="B95" s="1">
        <v>28.1</v>
      </c>
    </row>
    <row r="96" spans="1:2" x14ac:dyDescent="0.3">
      <c r="A96" s="3">
        <v>45537.9375</v>
      </c>
      <c r="B96" s="1">
        <v>27.9</v>
      </c>
    </row>
    <row r="97" spans="1:2" x14ac:dyDescent="0.3">
      <c r="A97" s="3">
        <v>45537.958333333336</v>
      </c>
      <c r="B97" s="1">
        <v>27.6</v>
      </c>
    </row>
    <row r="98" spans="1:2" x14ac:dyDescent="0.3">
      <c r="A98" s="3">
        <v>45537.979166666664</v>
      </c>
      <c r="B98" s="1">
        <v>27.4</v>
      </c>
    </row>
    <row r="99" spans="1:2" x14ac:dyDescent="0.3">
      <c r="A99" s="3">
        <v>45538</v>
      </c>
      <c r="B99" s="1">
        <v>26.9</v>
      </c>
    </row>
    <row r="100" spans="1:2" x14ac:dyDescent="0.3">
      <c r="A100" s="3">
        <v>45538.020833333336</v>
      </c>
      <c r="B100" s="1">
        <v>26.4</v>
      </c>
    </row>
    <row r="101" spans="1:2" x14ac:dyDescent="0.3">
      <c r="A101" s="3">
        <v>45538.041666666664</v>
      </c>
      <c r="B101" s="1">
        <v>25.7</v>
      </c>
    </row>
    <row r="102" spans="1:2" x14ac:dyDescent="0.3">
      <c r="A102" s="3">
        <v>45538.0625</v>
      </c>
      <c r="B102" s="1">
        <v>25.8</v>
      </c>
    </row>
    <row r="103" spans="1:2" x14ac:dyDescent="0.3">
      <c r="A103" s="3">
        <v>45538.083333333336</v>
      </c>
      <c r="B103" s="1">
        <v>25.4</v>
      </c>
    </row>
    <row r="104" spans="1:2" x14ac:dyDescent="0.3">
      <c r="A104" s="3">
        <v>45538.104166666664</v>
      </c>
      <c r="B104" s="1">
        <v>25.4</v>
      </c>
    </row>
    <row r="105" spans="1:2" x14ac:dyDescent="0.3">
      <c r="A105" s="3">
        <v>45538.125</v>
      </c>
      <c r="B105" s="1">
        <v>25.3</v>
      </c>
    </row>
    <row r="106" spans="1:2" x14ac:dyDescent="0.3">
      <c r="A106" s="3">
        <v>45538.145833333336</v>
      </c>
      <c r="B106" s="1">
        <v>25.6</v>
      </c>
    </row>
    <row r="107" spans="1:2" x14ac:dyDescent="0.3">
      <c r="A107" s="3">
        <v>45538.166666666664</v>
      </c>
      <c r="B107" s="1">
        <v>25.6</v>
      </c>
    </row>
    <row r="108" spans="1:2" x14ac:dyDescent="0.3">
      <c r="A108" s="3">
        <v>45538.1875</v>
      </c>
      <c r="B108" s="1">
        <v>25.3</v>
      </c>
    </row>
    <row r="109" spans="1:2" x14ac:dyDescent="0.3">
      <c r="A109" s="3">
        <v>45538.208333333336</v>
      </c>
      <c r="B109" s="1">
        <v>25</v>
      </c>
    </row>
    <row r="110" spans="1:2" x14ac:dyDescent="0.3">
      <c r="A110" s="3">
        <v>45538.229166666664</v>
      </c>
      <c r="B110" s="1">
        <v>24.9</v>
      </c>
    </row>
    <row r="111" spans="1:2" x14ac:dyDescent="0.3">
      <c r="A111" s="3">
        <v>45538.25</v>
      </c>
      <c r="B111" s="1">
        <v>25.2</v>
      </c>
    </row>
    <row r="112" spans="1:2" x14ac:dyDescent="0.3">
      <c r="A112" s="3">
        <v>45538.270833333336</v>
      </c>
      <c r="B112" s="1">
        <v>25.4</v>
      </c>
    </row>
    <row r="113" spans="1:2" x14ac:dyDescent="0.3">
      <c r="A113" s="3">
        <v>45538.291666666664</v>
      </c>
      <c r="B113" s="1">
        <v>25.7</v>
      </c>
    </row>
    <row r="114" spans="1:2" x14ac:dyDescent="0.3">
      <c r="A114" s="3">
        <v>45538.3125</v>
      </c>
      <c r="B114" s="1">
        <v>26.5</v>
      </c>
    </row>
    <row r="115" spans="1:2" x14ac:dyDescent="0.3">
      <c r="A115" s="3">
        <v>45538.333333333336</v>
      </c>
      <c r="B115" s="1">
        <v>27.2</v>
      </c>
    </row>
    <row r="116" spans="1:2" x14ac:dyDescent="0.3">
      <c r="A116" s="3">
        <v>45538.354166666664</v>
      </c>
      <c r="B116" s="1">
        <v>28</v>
      </c>
    </row>
    <row r="117" spans="1:2" x14ac:dyDescent="0.3">
      <c r="A117" s="3">
        <v>45538.375</v>
      </c>
      <c r="B117" s="1">
        <v>28.7</v>
      </c>
    </row>
    <row r="118" spans="1:2" x14ac:dyDescent="0.3">
      <c r="A118" s="3">
        <v>45538.395833333336</v>
      </c>
      <c r="B118" s="1">
        <v>29.9</v>
      </c>
    </row>
    <row r="119" spans="1:2" x14ac:dyDescent="0.3">
      <c r="A119" s="3">
        <v>45538.416666666664</v>
      </c>
      <c r="B119" s="1">
        <v>30.1</v>
      </c>
    </row>
    <row r="120" spans="1:2" x14ac:dyDescent="0.3">
      <c r="A120" s="3">
        <v>45538.4375</v>
      </c>
      <c r="B120" s="1">
        <v>25.1</v>
      </c>
    </row>
    <row r="121" spans="1:2" x14ac:dyDescent="0.3">
      <c r="A121" s="3">
        <v>45538.458333333336</v>
      </c>
      <c r="B121" s="1">
        <v>26.6</v>
      </c>
    </row>
    <row r="122" spans="1:2" x14ac:dyDescent="0.3">
      <c r="A122" s="3">
        <v>45538.479166666664</v>
      </c>
      <c r="B122" s="1">
        <v>26.4</v>
      </c>
    </row>
    <row r="123" spans="1:2" x14ac:dyDescent="0.3">
      <c r="A123" s="3">
        <v>45538.5</v>
      </c>
      <c r="B123" s="1">
        <v>28.3</v>
      </c>
    </row>
    <row r="124" spans="1:2" x14ac:dyDescent="0.3">
      <c r="A124" s="3">
        <v>45538.520833333336</v>
      </c>
      <c r="B124" s="1">
        <v>28.9</v>
      </c>
    </row>
    <row r="125" spans="1:2" x14ac:dyDescent="0.3">
      <c r="A125" s="3">
        <v>45538.541666666664</v>
      </c>
      <c r="B125" s="1">
        <v>29.5</v>
      </c>
    </row>
    <row r="126" spans="1:2" x14ac:dyDescent="0.3">
      <c r="A126" s="3">
        <v>45538.5625</v>
      </c>
      <c r="B126" s="1">
        <v>29.2</v>
      </c>
    </row>
    <row r="127" spans="1:2" x14ac:dyDescent="0.3">
      <c r="A127" s="3">
        <v>45538.583333333336</v>
      </c>
      <c r="B127" s="1">
        <v>29.7</v>
      </c>
    </row>
    <row r="128" spans="1:2" x14ac:dyDescent="0.3">
      <c r="A128" s="3">
        <v>45538.604166666664</v>
      </c>
      <c r="B128" s="1">
        <v>29.7</v>
      </c>
    </row>
    <row r="129" spans="1:2" x14ac:dyDescent="0.3">
      <c r="A129" s="3">
        <v>45538.625</v>
      </c>
      <c r="B129" s="1">
        <v>22.5</v>
      </c>
    </row>
    <row r="130" spans="1:2" x14ac:dyDescent="0.3">
      <c r="A130" s="3">
        <v>45538.645833333336</v>
      </c>
      <c r="B130" s="1">
        <v>22.1</v>
      </c>
    </row>
    <row r="131" spans="1:2" x14ac:dyDescent="0.3">
      <c r="A131" s="3">
        <v>45538.666666666664</v>
      </c>
      <c r="B131" s="1">
        <v>22.5</v>
      </c>
    </row>
    <row r="132" spans="1:2" x14ac:dyDescent="0.3">
      <c r="A132" s="3">
        <v>45538.6875</v>
      </c>
      <c r="B132" s="1">
        <v>23.1</v>
      </c>
    </row>
    <row r="133" spans="1:2" x14ac:dyDescent="0.3">
      <c r="A133" s="3">
        <v>45538.708333333336</v>
      </c>
      <c r="B133" s="1">
        <v>23.3</v>
      </c>
    </row>
    <row r="134" spans="1:2" x14ac:dyDescent="0.3">
      <c r="A134" s="3">
        <v>45538.729166666664</v>
      </c>
      <c r="B134" s="1">
        <v>23.8</v>
      </c>
    </row>
    <row r="135" spans="1:2" x14ac:dyDescent="0.3">
      <c r="A135" s="3">
        <v>45538.75</v>
      </c>
      <c r="B135" s="1">
        <v>23.8</v>
      </c>
    </row>
    <row r="136" spans="1:2" x14ac:dyDescent="0.3">
      <c r="A136" s="3">
        <v>45538.770833333336</v>
      </c>
      <c r="B136" s="1">
        <v>23.7</v>
      </c>
    </row>
    <row r="137" spans="1:2" x14ac:dyDescent="0.3">
      <c r="A137" s="3">
        <v>45538.791666666664</v>
      </c>
      <c r="B137" s="1">
        <v>23.3</v>
      </c>
    </row>
    <row r="138" spans="1:2" x14ac:dyDescent="0.3">
      <c r="A138" s="3">
        <v>45538.8125</v>
      </c>
      <c r="B138" s="1">
        <v>22.7</v>
      </c>
    </row>
    <row r="139" spans="1:2" x14ac:dyDescent="0.3">
      <c r="A139" s="3">
        <v>45538.833333333336</v>
      </c>
      <c r="B139" s="1">
        <v>22.6</v>
      </c>
    </row>
    <row r="140" spans="1:2" x14ac:dyDescent="0.3">
      <c r="A140" s="3">
        <v>45538.854166666664</v>
      </c>
      <c r="B140" s="1">
        <v>22.9</v>
      </c>
    </row>
    <row r="141" spans="1:2" x14ac:dyDescent="0.3">
      <c r="A141" s="3">
        <v>45538.875</v>
      </c>
      <c r="B141" s="1">
        <v>22.7</v>
      </c>
    </row>
    <row r="142" spans="1:2" x14ac:dyDescent="0.3">
      <c r="A142" s="3">
        <v>45538.895833333336</v>
      </c>
      <c r="B142" s="1">
        <v>22.7</v>
      </c>
    </row>
    <row r="143" spans="1:2" x14ac:dyDescent="0.3">
      <c r="A143" s="3">
        <v>45538.916666666664</v>
      </c>
      <c r="B143" s="1">
        <v>22.6</v>
      </c>
    </row>
    <row r="144" spans="1:2" x14ac:dyDescent="0.3">
      <c r="A144" s="3">
        <v>45538.9375</v>
      </c>
      <c r="B144" s="1">
        <v>22.4</v>
      </c>
    </row>
    <row r="145" spans="1:2" x14ac:dyDescent="0.3">
      <c r="A145" s="3">
        <v>45538.958333333336</v>
      </c>
      <c r="B145" s="1">
        <v>22.2</v>
      </c>
    </row>
    <row r="146" spans="1:2" x14ac:dyDescent="0.3">
      <c r="A146" s="3">
        <v>45538.979166666664</v>
      </c>
      <c r="B146" s="1">
        <v>21.9</v>
      </c>
    </row>
    <row r="147" spans="1:2" x14ac:dyDescent="0.3">
      <c r="A147" s="3">
        <v>45539</v>
      </c>
      <c r="B147" s="1">
        <v>21.6</v>
      </c>
    </row>
    <row r="148" spans="1:2" x14ac:dyDescent="0.3">
      <c r="A148" s="3">
        <v>45539.020833333336</v>
      </c>
      <c r="B148" s="1">
        <v>21.6</v>
      </c>
    </row>
    <row r="149" spans="1:2" x14ac:dyDescent="0.3">
      <c r="A149" s="3">
        <v>45539.041666666664</v>
      </c>
      <c r="B149" s="1">
        <v>21.6</v>
      </c>
    </row>
    <row r="150" spans="1:2" x14ac:dyDescent="0.3">
      <c r="A150" s="3">
        <v>45539.0625</v>
      </c>
      <c r="B150" s="1">
        <v>21.5</v>
      </c>
    </row>
    <row r="151" spans="1:2" x14ac:dyDescent="0.3">
      <c r="A151" s="3">
        <v>45539.083333333336</v>
      </c>
      <c r="B151" s="1">
        <v>21.2</v>
      </c>
    </row>
    <row r="152" spans="1:2" x14ac:dyDescent="0.3">
      <c r="A152" s="3">
        <v>45539.104166666664</v>
      </c>
      <c r="B152" s="1">
        <v>21.7</v>
      </c>
    </row>
    <row r="153" spans="1:2" x14ac:dyDescent="0.3">
      <c r="A153" s="3">
        <v>45539.125</v>
      </c>
      <c r="B153" s="1">
        <v>21.3</v>
      </c>
    </row>
    <row r="154" spans="1:2" x14ac:dyDescent="0.3">
      <c r="A154" s="3">
        <v>45539.145833333336</v>
      </c>
      <c r="B154" s="1">
        <v>20.8</v>
      </c>
    </row>
    <row r="155" spans="1:2" x14ac:dyDescent="0.3">
      <c r="A155" s="3">
        <v>45539.166666666664</v>
      </c>
      <c r="B155" s="1">
        <v>20.9</v>
      </c>
    </row>
    <row r="156" spans="1:2" x14ac:dyDescent="0.3">
      <c r="A156" s="3">
        <v>45539.1875</v>
      </c>
      <c r="B156" s="1">
        <v>21</v>
      </c>
    </row>
    <row r="157" spans="1:2" x14ac:dyDescent="0.3">
      <c r="A157" s="3">
        <v>45539.208333333336</v>
      </c>
      <c r="B157" s="1">
        <v>20.8</v>
      </c>
    </row>
    <row r="158" spans="1:2" x14ac:dyDescent="0.3">
      <c r="A158" s="3">
        <v>45539.229166666664</v>
      </c>
      <c r="B158" s="1">
        <v>20.8</v>
      </c>
    </row>
    <row r="159" spans="1:2" x14ac:dyDescent="0.3">
      <c r="A159" s="3">
        <v>45539.25</v>
      </c>
      <c r="B159" s="1">
        <v>21.5</v>
      </c>
    </row>
    <row r="160" spans="1:2" x14ac:dyDescent="0.3">
      <c r="A160" s="3">
        <v>45539.270833333336</v>
      </c>
      <c r="B160" s="1">
        <v>22.2</v>
      </c>
    </row>
    <row r="161" spans="1:2" x14ac:dyDescent="0.3">
      <c r="A161" s="3">
        <v>45539.291666666664</v>
      </c>
      <c r="B161" s="1">
        <v>22.9</v>
      </c>
    </row>
    <row r="162" spans="1:2" x14ac:dyDescent="0.3">
      <c r="A162" s="3">
        <v>45539.3125</v>
      </c>
      <c r="B162" s="1">
        <v>23.5</v>
      </c>
    </row>
    <row r="163" spans="1:2" x14ac:dyDescent="0.3">
      <c r="A163" s="3">
        <v>45539.333333333336</v>
      </c>
      <c r="B163" s="1">
        <v>24.6</v>
      </c>
    </row>
    <row r="164" spans="1:2" x14ac:dyDescent="0.3">
      <c r="A164" s="3">
        <v>45539.354166666664</v>
      </c>
      <c r="B164" s="1">
        <v>25.6</v>
      </c>
    </row>
    <row r="165" spans="1:2" x14ac:dyDescent="0.3">
      <c r="A165" s="3">
        <v>45539.375</v>
      </c>
      <c r="B165" s="1">
        <v>26.4</v>
      </c>
    </row>
    <row r="166" spans="1:2" x14ac:dyDescent="0.3">
      <c r="A166" s="3">
        <v>45539.395833333336</v>
      </c>
      <c r="B166" s="1">
        <v>27.2</v>
      </c>
    </row>
    <row r="167" spans="1:2" x14ac:dyDescent="0.3">
      <c r="A167" s="3">
        <v>45539.416666666664</v>
      </c>
      <c r="B167" s="1">
        <v>27.8</v>
      </c>
    </row>
    <row r="168" spans="1:2" x14ac:dyDescent="0.3">
      <c r="A168" s="3">
        <v>45539.4375</v>
      </c>
      <c r="B168" s="1">
        <v>27.7</v>
      </c>
    </row>
    <row r="169" spans="1:2" x14ac:dyDescent="0.3">
      <c r="A169" s="3">
        <v>45539.458333333336</v>
      </c>
      <c r="B169" s="1">
        <v>28</v>
      </c>
    </row>
    <row r="170" spans="1:2" x14ac:dyDescent="0.3">
      <c r="A170" s="3">
        <v>45539.479166666664</v>
      </c>
      <c r="B170" s="1">
        <v>28.8</v>
      </c>
    </row>
    <row r="171" spans="1:2" x14ac:dyDescent="0.3">
      <c r="A171" s="3">
        <v>45539.5</v>
      </c>
      <c r="B171" s="1">
        <v>29.2</v>
      </c>
    </row>
    <row r="172" spans="1:2" x14ac:dyDescent="0.3">
      <c r="A172" s="3">
        <v>45539.520833333336</v>
      </c>
      <c r="B172" s="1">
        <v>30.2</v>
      </c>
    </row>
    <row r="173" spans="1:2" x14ac:dyDescent="0.3">
      <c r="A173" s="3">
        <v>45539.541666666664</v>
      </c>
      <c r="B173" s="1">
        <v>29.5</v>
      </c>
    </row>
    <row r="174" spans="1:2" x14ac:dyDescent="0.3">
      <c r="A174" s="3">
        <v>45539.5625</v>
      </c>
      <c r="B174" s="1">
        <v>29.6</v>
      </c>
    </row>
    <row r="175" spans="1:2" x14ac:dyDescent="0.3">
      <c r="A175" s="3">
        <v>45539.583333333336</v>
      </c>
      <c r="B175" s="1">
        <v>30</v>
      </c>
    </row>
    <row r="176" spans="1:2" x14ac:dyDescent="0.3">
      <c r="A176" s="3">
        <v>45539.604166666664</v>
      </c>
      <c r="B176" s="1">
        <v>30.2</v>
      </c>
    </row>
    <row r="177" spans="1:2" x14ac:dyDescent="0.3">
      <c r="A177" s="3">
        <v>45539.625</v>
      </c>
      <c r="B177" s="1">
        <v>30.2</v>
      </c>
    </row>
    <row r="178" spans="1:2" x14ac:dyDescent="0.3">
      <c r="A178" s="3">
        <v>45539.645833333336</v>
      </c>
      <c r="B178" s="1">
        <v>29.3</v>
      </c>
    </row>
    <row r="179" spans="1:2" x14ac:dyDescent="0.3">
      <c r="A179" s="3">
        <v>45539.666666666664</v>
      </c>
      <c r="B179" s="1">
        <v>29.7</v>
      </c>
    </row>
    <row r="180" spans="1:2" x14ac:dyDescent="0.3">
      <c r="A180" s="3">
        <v>45539.6875</v>
      </c>
      <c r="B180" s="1">
        <v>29.9</v>
      </c>
    </row>
    <row r="181" spans="1:2" x14ac:dyDescent="0.3">
      <c r="A181" s="3">
        <v>45539.708333333336</v>
      </c>
      <c r="B181" s="1">
        <v>29</v>
      </c>
    </row>
    <row r="182" spans="1:2" x14ac:dyDescent="0.3">
      <c r="A182" s="3">
        <v>45539.729166666664</v>
      </c>
      <c r="B182" s="1">
        <v>28.9</v>
      </c>
    </row>
    <row r="183" spans="1:2" x14ac:dyDescent="0.3">
      <c r="A183" s="3">
        <v>45539.75</v>
      </c>
      <c r="B183" s="1">
        <v>28.4</v>
      </c>
    </row>
    <row r="184" spans="1:2" x14ac:dyDescent="0.3">
      <c r="A184" s="3">
        <v>45539.770833333336</v>
      </c>
      <c r="B184" s="1">
        <v>27.6</v>
      </c>
    </row>
    <row r="185" spans="1:2" x14ac:dyDescent="0.3">
      <c r="A185" s="3">
        <v>45539.791666666664</v>
      </c>
      <c r="B185" s="1">
        <v>27.3</v>
      </c>
    </row>
    <row r="186" spans="1:2" x14ac:dyDescent="0.3">
      <c r="A186" s="3">
        <v>45539.8125</v>
      </c>
      <c r="B186" s="1">
        <v>27.1</v>
      </c>
    </row>
    <row r="187" spans="1:2" x14ac:dyDescent="0.3">
      <c r="A187" s="3">
        <v>45539.833333333336</v>
      </c>
      <c r="B187" s="1">
        <v>26.8</v>
      </c>
    </row>
    <row r="188" spans="1:2" x14ac:dyDescent="0.3">
      <c r="A188" s="3">
        <v>45539.854166666664</v>
      </c>
      <c r="B188" s="1">
        <v>26.7</v>
      </c>
    </row>
    <row r="189" spans="1:2" x14ac:dyDescent="0.3">
      <c r="A189" s="3">
        <v>45539.875</v>
      </c>
      <c r="B189" s="1">
        <v>26.6</v>
      </c>
    </row>
    <row r="190" spans="1:2" x14ac:dyDescent="0.3">
      <c r="A190" s="3">
        <v>45539.895833333336</v>
      </c>
      <c r="B190" s="1">
        <v>26.4</v>
      </c>
    </row>
    <row r="191" spans="1:2" x14ac:dyDescent="0.3">
      <c r="A191" s="3">
        <v>45539.916666666664</v>
      </c>
      <c r="B191" s="1">
        <v>25.7</v>
      </c>
    </row>
    <row r="192" spans="1:2" x14ac:dyDescent="0.3">
      <c r="A192" s="3">
        <v>45539.9375</v>
      </c>
      <c r="B192" s="1">
        <v>25.6</v>
      </c>
    </row>
    <row r="193" spans="1:2" x14ac:dyDescent="0.3">
      <c r="A193" s="3">
        <v>45539.958333333336</v>
      </c>
      <c r="B193" s="1">
        <v>25.5</v>
      </c>
    </row>
    <row r="194" spans="1:2" x14ac:dyDescent="0.3">
      <c r="A194" s="3">
        <v>45539.979166666664</v>
      </c>
      <c r="B194" s="1">
        <v>25.6</v>
      </c>
    </row>
    <row r="195" spans="1:2" x14ac:dyDescent="0.3">
      <c r="A195" s="3">
        <v>45540</v>
      </c>
      <c r="B195" s="1">
        <v>25.5</v>
      </c>
    </row>
    <row r="196" spans="1:2" x14ac:dyDescent="0.3">
      <c r="A196" s="3">
        <v>45540.020833333336</v>
      </c>
      <c r="B196" s="1">
        <v>25.2</v>
      </c>
    </row>
    <row r="197" spans="1:2" x14ac:dyDescent="0.3">
      <c r="A197" s="3">
        <v>45540.041666666664</v>
      </c>
      <c r="B197" s="1">
        <v>25.2</v>
      </c>
    </row>
    <row r="198" spans="1:2" x14ac:dyDescent="0.3">
      <c r="A198" s="3">
        <v>45540.0625</v>
      </c>
      <c r="B198" s="1">
        <v>25.2</v>
      </c>
    </row>
    <row r="199" spans="1:2" x14ac:dyDescent="0.3">
      <c r="A199" s="3">
        <v>45540.083333333336</v>
      </c>
      <c r="B199" s="1">
        <v>25.4</v>
      </c>
    </row>
    <row r="200" spans="1:2" x14ac:dyDescent="0.3">
      <c r="A200" s="3">
        <v>45540.104166666664</v>
      </c>
      <c r="B200" s="1">
        <v>25.1</v>
      </c>
    </row>
    <row r="201" spans="1:2" x14ac:dyDescent="0.3">
      <c r="A201" s="3">
        <v>45540.125</v>
      </c>
      <c r="B201" s="1">
        <v>24.9</v>
      </c>
    </row>
    <row r="202" spans="1:2" x14ac:dyDescent="0.3">
      <c r="A202" s="3">
        <v>45540.145833333336</v>
      </c>
      <c r="B202" s="1">
        <v>24.1</v>
      </c>
    </row>
    <row r="203" spans="1:2" x14ac:dyDescent="0.3">
      <c r="A203" s="3">
        <v>45540.166666666664</v>
      </c>
      <c r="B203" s="1">
        <v>22.8</v>
      </c>
    </row>
    <row r="204" spans="1:2" x14ac:dyDescent="0.3">
      <c r="A204" s="3">
        <v>45540.1875</v>
      </c>
      <c r="B204" s="1">
        <v>22.6</v>
      </c>
    </row>
    <row r="205" spans="1:2" x14ac:dyDescent="0.3">
      <c r="A205" s="3">
        <v>45540.208333333336</v>
      </c>
      <c r="B205" s="1">
        <v>22.4</v>
      </c>
    </row>
    <row r="206" spans="1:2" x14ac:dyDescent="0.3">
      <c r="A206" s="3">
        <v>45540.229166666664</v>
      </c>
      <c r="B206" s="1">
        <v>22.6</v>
      </c>
    </row>
    <row r="207" spans="1:2" x14ac:dyDescent="0.3">
      <c r="A207" s="3">
        <v>45540.25</v>
      </c>
      <c r="B207" s="1">
        <v>22.3</v>
      </c>
    </row>
    <row r="208" spans="1:2" x14ac:dyDescent="0.3">
      <c r="A208" s="3">
        <v>45540.270833333336</v>
      </c>
      <c r="B208" s="1">
        <v>22.4</v>
      </c>
    </row>
    <row r="209" spans="1:2" x14ac:dyDescent="0.3">
      <c r="A209" s="3">
        <v>45540.291666666664</v>
      </c>
      <c r="B209" s="1">
        <v>22.7</v>
      </c>
    </row>
    <row r="210" spans="1:2" x14ac:dyDescent="0.3">
      <c r="A210" s="3">
        <v>45540.3125</v>
      </c>
      <c r="B210" s="1">
        <v>23.4</v>
      </c>
    </row>
    <row r="211" spans="1:2" x14ac:dyDescent="0.3">
      <c r="A211" s="3">
        <v>45540.333333333336</v>
      </c>
      <c r="B211" s="1">
        <v>23.9</v>
      </c>
    </row>
    <row r="212" spans="1:2" x14ac:dyDescent="0.3">
      <c r="A212" s="3">
        <v>45540.354166666664</v>
      </c>
      <c r="B212" s="1">
        <v>24.1</v>
      </c>
    </row>
    <row r="213" spans="1:2" x14ac:dyDescent="0.3">
      <c r="A213" s="3">
        <v>45540.375</v>
      </c>
      <c r="B213" s="1">
        <v>24.1</v>
      </c>
    </row>
    <row r="214" spans="1:2" x14ac:dyDescent="0.3">
      <c r="A214" s="3">
        <v>45540.395833333336</v>
      </c>
      <c r="B214" s="1">
        <v>24</v>
      </c>
    </row>
    <row r="215" spans="1:2" x14ac:dyDescent="0.3">
      <c r="A215" s="3">
        <v>45540.416666666664</v>
      </c>
      <c r="B215" s="1">
        <v>24.8</v>
      </c>
    </row>
    <row r="216" spans="1:2" x14ac:dyDescent="0.3">
      <c r="A216" s="3">
        <v>45540.4375</v>
      </c>
      <c r="B216" s="1">
        <v>26.7</v>
      </c>
    </row>
    <row r="217" spans="1:2" x14ac:dyDescent="0.3">
      <c r="A217" s="3">
        <v>45540.458333333336</v>
      </c>
      <c r="B217" s="1">
        <v>27.5</v>
      </c>
    </row>
    <row r="218" spans="1:2" x14ac:dyDescent="0.3">
      <c r="A218" s="3">
        <v>45540.479166666664</v>
      </c>
      <c r="B218" s="1">
        <v>28.9</v>
      </c>
    </row>
    <row r="219" spans="1:2" x14ac:dyDescent="0.3">
      <c r="A219" s="3">
        <v>45540.5</v>
      </c>
      <c r="B219" s="1">
        <v>29.1</v>
      </c>
    </row>
    <row r="220" spans="1:2" x14ac:dyDescent="0.3">
      <c r="A220" s="3">
        <v>45540.520833333336</v>
      </c>
      <c r="B220" s="1">
        <v>29.5</v>
      </c>
    </row>
    <row r="221" spans="1:2" x14ac:dyDescent="0.3">
      <c r="A221" s="3">
        <v>45540.541666666664</v>
      </c>
      <c r="B221" s="1">
        <v>29.3</v>
      </c>
    </row>
    <row r="222" spans="1:2" x14ac:dyDescent="0.3">
      <c r="A222" s="3">
        <v>45540.5625</v>
      </c>
      <c r="B222" s="1">
        <v>29.8</v>
      </c>
    </row>
    <row r="223" spans="1:2" x14ac:dyDescent="0.3">
      <c r="A223" s="3">
        <v>45540.583333333336</v>
      </c>
      <c r="B223" s="1">
        <v>30</v>
      </c>
    </row>
    <row r="224" spans="1:2" x14ac:dyDescent="0.3">
      <c r="A224" s="3">
        <v>45540.604166666664</v>
      </c>
      <c r="B224" s="1">
        <v>30.6</v>
      </c>
    </row>
    <row r="225" spans="1:2" x14ac:dyDescent="0.3">
      <c r="A225" s="3">
        <v>45540.625</v>
      </c>
      <c r="B225" s="1">
        <v>29.5</v>
      </c>
    </row>
    <row r="226" spans="1:2" x14ac:dyDescent="0.3">
      <c r="A226" s="3">
        <v>45540.645833333336</v>
      </c>
      <c r="B226" s="1">
        <v>29</v>
      </c>
    </row>
    <row r="227" spans="1:2" x14ac:dyDescent="0.3">
      <c r="A227" s="3">
        <v>45540.666666666664</v>
      </c>
      <c r="B227" s="1">
        <v>28.5</v>
      </c>
    </row>
    <row r="228" spans="1:2" x14ac:dyDescent="0.3">
      <c r="A228" s="3">
        <v>45540.6875</v>
      </c>
      <c r="B228" s="1">
        <v>29.1</v>
      </c>
    </row>
    <row r="229" spans="1:2" x14ac:dyDescent="0.3">
      <c r="A229" s="3">
        <v>45540.708333333336</v>
      </c>
      <c r="B229" s="1">
        <v>28.8</v>
      </c>
    </row>
    <row r="230" spans="1:2" x14ac:dyDescent="0.3">
      <c r="A230" s="3">
        <v>45540.729166666664</v>
      </c>
      <c r="B230" s="1">
        <v>28</v>
      </c>
    </row>
    <row r="231" spans="1:2" x14ac:dyDescent="0.3">
      <c r="A231" s="3">
        <v>45540.75</v>
      </c>
      <c r="B231" s="1">
        <v>26.2</v>
      </c>
    </row>
    <row r="232" spans="1:2" x14ac:dyDescent="0.3">
      <c r="A232" s="3">
        <v>45540.770833333336</v>
      </c>
      <c r="B232" s="1">
        <v>25.9</v>
      </c>
    </row>
    <row r="233" spans="1:2" x14ac:dyDescent="0.3">
      <c r="A233" s="3">
        <v>45540.791666666664</v>
      </c>
      <c r="B233" s="1">
        <v>25.7</v>
      </c>
    </row>
    <row r="234" spans="1:2" x14ac:dyDescent="0.3">
      <c r="A234" s="3">
        <v>45540.8125</v>
      </c>
      <c r="B234" s="1">
        <v>25.6</v>
      </c>
    </row>
    <row r="235" spans="1:2" x14ac:dyDescent="0.3">
      <c r="A235" s="3">
        <v>45540.833333333336</v>
      </c>
      <c r="B235" s="1">
        <v>25.6</v>
      </c>
    </row>
    <row r="236" spans="1:2" x14ac:dyDescent="0.3">
      <c r="A236" s="3">
        <v>45540.854166666664</v>
      </c>
      <c r="B236" s="1">
        <v>25.5</v>
      </c>
    </row>
    <row r="237" spans="1:2" x14ac:dyDescent="0.3">
      <c r="A237" s="3">
        <v>45540.875</v>
      </c>
      <c r="B237" s="1">
        <v>25.7</v>
      </c>
    </row>
    <row r="238" spans="1:2" x14ac:dyDescent="0.3">
      <c r="A238" s="3">
        <v>45540.895833333336</v>
      </c>
      <c r="B238" s="1">
        <v>25.6</v>
      </c>
    </row>
    <row r="239" spans="1:2" x14ac:dyDescent="0.3">
      <c r="A239" s="3">
        <v>45540.916666666664</v>
      </c>
      <c r="B239" s="1">
        <v>25.4</v>
      </c>
    </row>
    <row r="240" spans="1:2" x14ac:dyDescent="0.3">
      <c r="A240" s="3">
        <v>45540.9375</v>
      </c>
      <c r="B240" s="1">
        <v>25.2</v>
      </c>
    </row>
    <row r="241" spans="1:2" x14ac:dyDescent="0.3">
      <c r="A241" s="3">
        <v>45540.958333333336</v>
      </c>
      <c r="B241" s="1">
        <v>25.1</v>
      </c>
    </row>
    <row r="242" spans="1:2" x14ac:dyDescent="0.3">
      <c r="A242" s="3">
        <v>45540.979166666664</v>
      </c>
      <c r="B242" s="1">
        <v>25</v>
      </c>
    </row>
    <row r="243" spans="1:2" x14ac:dyDescent="0.3">
      <c r="A243" s="3">
        <v>45541</v>
      </c>
      <c r="B243" s="1">
        <v>24.6</v>
      </c>
    </row>
    <row r="244" spans="1:2" x14ac:dyDescent="0.3">
      <c r="A244" s="3">
        <v>45541.020833333336</v>
      </c>
      <c r="B244" s="1">
        <v>24.7</v>
      </c>
    </row>
    <row r="245" spans="1:2" x14ac:dyDescent="0.3">
      <c r="A245" s="3">
        <v>45541.041666666664</v>
      </c>
      <c r="B245" s="1">
        <v>24.6</v>
      </c>
    </row>
    <row r="246" spans="1:2" x14ac:dyDescent="0.3">
      <c r="A246" s="3">
        <v>45541.0625</v>
      </c>
      <c r="B246" s="1">
        <v>24.3</v>
      </c>
    </row>
    <row r="247" spans="1:2" x14ac:dyDescent="0.3">
      <c r="A247" s="3">
        <v>45541.083333333336</v>
      </c>
      <c r="B247" s="1">
        <v>24.3</v>
      </c>
    </row>
    <row r="248" spans="1:2" x14ac:dyDescent="0.3">
      <c r="A248" s="3">
        <v>45541.104166666664</v>
      </c>
      <c r="B248" s="1">
        <v>24.2</v>
      </c>
    </row>
    <row r="249" spans="1:2" x14ac:dyDescent="0.3">
      <c r="A249" s="3">
        <v>45541.125</v>
      </c>
      <c r="B249" s="1">
        <v>24.1</v>
      </c>
    </row>
    <row r="250" spans="1:2" x14ac:dyDescent="0.3">
      <c r="A250" s="3">
        <v>45541.145833333336</v>
      </c>
      <c r="B250" s="1">
        <v>23.4</v>
      </c>
    </row>
    <row r="251" spans="1:2" x14ac:dyDescent="0.3">
      <c r="A251" s="3">
        <v>45541.166666666664</v>
      </c>
      <c r="B251" s="1">
        <v>22.8</v>
      </c>
    </row>
    <row r="252" spans="1:2" x14ac:dyDescent="0.3">
      <c r="A252" s="3">
        <v>45541.1875</v>
      </c>
      <c r="B252" s="1">
        <v>22.4</v>
      </c>
    </row>
    <row r="253" spans="1:2" x14ac:dyDescent="0.3">
      <c r="A253" s="3">
        <v>45541.208333333336</v>
      </c>
      <c r="B253" s="1">
        <v>22.8</v>
      </c>
    </row>
    <row r="254" spans="1:2" x14ac:dyDescent="0.3">
      <c r="A254" s="3">
        <v>45541.229166666664</v>
      </c>
      <c r="B254" s="1">
        <v>22</v>
      </c>
    </row>
    <row r="255" spans="1:2" x14ac:dyDescent="0.3">
      <c r="A255" s="3">
        <v>45541.25</v>
      </c>
      <c r="B255" s="1">
        <v>22.2</v>
      </c>
    </row>
    <row r="256" spans="1:2" x14ac:dyDescent="0.3">
      <c r="A256" s="3">
        <v>45541.270833333336</v>
      </c>
      <c r="B256" s="1">
        <v>22.9</v>
      </c>
    </row>
    <row r="257" spans="1:2" x14ac:dyDescent="0.3">
      <c r="A257" s="3">
        <v>45541.291666666664</v>
      </c>
      <c r="B257" s="1">
        <v>23.9</v>
      </c>
    </row>
    <row r="258" spans="1:2" x14ac:dyDescent="0.3">
      <c r="A258" s="3">
        <v>45541.3125</v>
      </c>
      <c r="B258" s="1">
        <v>24.7</v>
      </c>
    </row>
    <row r="259" spans="1:2" x14ac:dyDescent="0.3">
      <c r="A259" s="3">
        <v>45541.333333333336</v>
      </c>
      <c r="B259" s="1">
        <v>24.7</v>
      </c>
    </row>
    <row r="260" spans="1:2" x14ac:dyDescent="0.3">
      <c r="A260" s="3">
        <v>45541.354166666664</v>
      </c>
      <c r="B260" s="1">
        <v>25.4</v>
      </c>
    </row>
    <row r="261" spans="1:2" x14ac:dyDescent="0.3">
      <c r="A261" s="3">
        <v>45541.375</v>
      </c>
      <c r="B261" s="1">
        <v>26.5</v>
      </c>
    </row>
    <row r="262" spans="1:2" x14ac:dyDescent="0.3">
      <c r="A262" s="3">
        <v>45541.395833333336</v>
      </c>
      <c r="B262" s="1">
        <v>27.6</v>
      </c>
    </row>
    <row r="263" spans="1:2" x14ac:dyDescent="0.3">
      <c r="A263" s="3">
        <v>45541.416666666664</v>
      </c>
      <c r="B263" s="1">
        <v>28.3</v>
      </c>
    </row>
    <row r="264" spans="1:2" x14ac:dyDescent="0.3">
      <c r="A264" s="3">
        <v>45541.4375</v>
      </c>
      <c r="B264" s="1">
        <v>28.7</v>
      </c>
    </row>
    <row r="265" spans="1:2" x14ac:dyDescent="0.3">
      <c r="A265" s="3">
        <v>45541.458333333336</v>
      </c>
      <c r="B265" s="1">
        <v>29.1</v>
      </c>
    </row>
    <row r="266" spans="1:2" x14ac:dyDescent="0.3">
      <c r="A266" s="3">
        <v>45541.479166666664</v>
      </c>
      <c r="B266" s="1">
        <v>29.8</v>
      </c>
    </row>
    <row r="267" spans="1:2" x14ac:dyDescent="0.3">
      <c r="A267" s="3">
        <v>45541.5</v>
      </c>
      <c r="B267" s="1">
        <v>29.9</v>
      </c>
    </row>
    <row r="268" spans="1:2" x14ac:dyDescent="0.3">
      <c r="A268" s="3">
        <v>45541.520833333336</v>
      </c>
      <c r="B268" s="1">
        <v>29.3</v>
      </c>
    </row>
    <row r="269" spans="1:2" x14ac:dyDescent="0.3">
      <c r="A269" s="3">
        <v>45541.541666666664</v>
      </c>
      <c r="B269" s="1">
        <v>30.1</v>
      </c>
    </row>
    <row r="270" spans="1:2" x14ac:dyDescent="0.3">
      <c r="A270" s="3">
        <v>45541.5625</v>
      </c>
      <c r="B270" s="1">
        <v>30.4</v>
      </c>
    </row>
    <row r="271" spans="1:2" x14ac:dyDescent="0.3">
      <c r="A271" s="3">
        <v>45541.583333333336</v>
      </c>
      <c r="B271" s="1">
        <v>30.8</v>
      </c>
    </row>
    <row r="272" spans="1:2" x14ac:dyDescent="0.3">
      <c r="A272" s="3">
        <v>45541.604166666664</v>
      </c>
      <c r="B272" s="1">
        <v>30.7</v>
      </c>
    </row>
    <row r="273" spans="1:2" x14ac:dyDescent="0.3">
      <c r="A273" s="3">
        <v>45541.625</v>
      </c>
      <c r="B273" s="1">
        <v>29.6</v>
      </c>
    </row>
    <row r="274" spans="1:2" x14ac:dyDescent="0.3">
      <c r="A274" s="3">
        <v>45541.645833333336</v>
      </c>
      <c r="B274" s="1">
        <v>30.1</v>
      </c>
    </row>
    <row r="275" spans="1:2" x14ac:dyDescent="0.3">
      <c r="A275" s="3">
        <v>45541.666666666664</v>
      </c>
      <c r="B275" s="1">
        <v>30.2</v>
      </c>
    </row>
    <row r="276" spans="1:2" x14ac:dyDescent="0.3">
      <c r="A276" s="3">
        <v>45541.6875</v>
      </c>
      <c r="B276" s="1">
        <v>30.6</v>
      </c>
    </row>
    <row r="277" spans="1:2" x14ac:dyDescent="0.3">
      <c r="A277" s="3">
        <v>45541.708333333336</v>
      </c>
      <c r="B277" s="1">
        <v>30.1</v>
      </c>
    </row>
    <row r="278" spans="1:2" x14ac:dyDescent="0.3">
      <c r="A278" s="3">
        <v>45541.729166666664</v>
      </c>
      <c r="B278" s="1">
        <v>28.6</v>
      </c>
    </row>
    <row r="279" spans="1:2" x14ac:dyDescent="0.3">
      <c r="A279" s="3">
        <v>45541.75</v>
      </c>
      <c r="B279" s="1">
        <v>27.4</v>
      </c>
    </row>
    <row r="280" spans="1:2" x14ac:dyDescent="0.3">
      <c r="A280" s="3">
        <v>45541.770833333336</v>
      </c>
      <c r="B280" s="1">
        <v>27</v>
      </c>
    </row>
    <row r="281" spans="1:2" x14ac:dyDescent="0.3">
      <c r="A281" s="3">
        <v>45541.791666666664</v>
      </c>
      <c r="B281" s="1">
        <v>26.5</v>
      </c>
    </row>
    <row r="282" spans="1:2" x14ac:dyDescent="0.3">
      <c r="A282" s="3">
        <v>45541.8125</v>
      </c>
      <c r="B282" s="1">
        <v>26.2</v>
      </c>
    </row>
    <row r="283" spans="1:2" x14ac:dyDescent="0.3">
      <c r="A283" s="3">
        <v>45541.833333333336</v>
      </c>
      <c r="B283" s="1">
        <v>26</v>
      </c>
    </row>
    <row r="284" spans="1:2" x14ac:dyDescent="0.3">
      <c r="A284" s="3">
        <v>45541.854166666664</v>
      </c>
      <c r="B284" s="1">
        <v>25.8</v>
      </c>
    </row>
    <row r="285" spans="1:2" x14ac:dyDescent="0.3">
      <c r="A285" s="3">
        <v>45541.875</v>
      </c>
      <c r="B285" s="1">
        <v>26</v>
      </c>
    </row>
    <row r="286" spans="1:2" x14ac:dyDescent="0.3">
      <c r="A286" s="3">
        <v>45541.895833333336</v>
      </c>
      <c r="B286" s="1">
        <v>26</v>
      </c>
    </row>
    <row r="287" spans="1:2" x14ac:dyDescent="0.3">
      <c r="A287" s="3">
        <v>45541.916666666664</v>
      </c>
      <c r="B287" s="1">
        <v>26.2</v>
      </c>
    </row>
    <row r="288" spans="1:2" x14ac:dyDescent="0.3">
      <c r="A288" s="3">
        <v>45541.9375</v>
      </c>
      <c r="B288" s="1">
        <v>25.8</v>
      </c>
    </row>
    <row r="289" spans="1:2" x14ac:dyDescent="0.3">
      <c r="A289" s="3">
        <v>45541.958333333336</v>
      </c>
      <c r="B289" s="1">
        <v>25.6</v>
      </c>
    </row>
    <row r="290" spans="1:2" x14ac:dyDescent="0.3">
      <c r="A290" s="3">
        <v>45541.979166666664</v>
      </c>
      <c r="B290" s="1">
        <v>25.3</v>
      </c>
    </row>
    <row r="291" spans="1:2" x14ac:dyDescent="0.3">
      <c r="A291" s="3">
        <v>45542</v>
      </c>
      <c r="B291" s="1">
        <v>24.7</v>
      </c>
    </row>
    <row r="292" spans="1:2" x14ac:dyDescent="0.3">
      <c r="A292" s="3">
        <v>45542.020833333336</v>
      </c>
      <c r="B292" s="1">
        <v>24</v>
      </c>
    </row>
    <row r="293" spans="1:2" x14ac:dyDescent="0.3">
      <c r="A293" s="3">
        <v>45542.041666666664</v>
      </c>
      <c r="B293" s="1">
        <v>23.4</v>
      </c>
    </row>
    <row r="294" spans="1:2" x14ac:dyDescent="0.3">
      <c r="A294" s="3">
        <v>45542.0625</v>
      </c>
      <c r="B294" s="1">
        <v>23.1</v>
      </c>
    </row>
    <row r="295" spans="1:2" x14ac:dyDescent="0.3">
      <c r="A295" s="3">
        <v>45542.083333333336</v>
      </c>
      <c r="B295" s="1">
        <v>23</v>
      </c>
    </row>
    <row r="296" spans="1:2" x14ac:dyDescent="0.3">
      <c r="A296" s="3">
        <v>45542.104166666664</v>
      </c>
      <c r="B296" s="1">
        <v>22.7</v>
      </c>
    </row>
    <row r="297" spans="1:2" x14ac:dyDescent="0.3">
      <c r="A297" s="3">
        <v>45542.125</v>
      </c>
      <c r="B297" s="1">
        <v>22.6</v>
      </c>
    </row>
    <row r="298" spans="1:2" x14ac:dyDescent="0.3">
      <c r="A298" s="3">
        <v>45542.145833333336</v>
      </c>
      <c r="B298" s="1">
        <v>22.5</v>
      </c>
    </row>
    <row r="299" spans="1:2" x14ac:dyDescent="0.3">
      <c r="A299" s="3">
        <v>45542.166666666664</v>
      </c>
      <c r="B299" s="1">
        <v>22.6</v>
      </c>
    </row>
    <row r="300" spans="1:2" x14ac:dyDescent="0.3">
      <c r="A300" s="3">
        <v>45542.1875</v>
      </c>
      <c r="B300" s="1">
        <v>22.2</v>
      </c>
    </row>
    <row r="301" spans="1:2" x14ac:dyDescent="0.3">
      <c r="A301" s="3">
        <v>45542.208333333336</v>
      </c>
      <c r="B301" s="1">
        <v>21.9</v>
      </c>
    </row>
    <row r="302" spans="1:2" x14ac:dyDescent="0.3">
      <c r="A302" s="3">
        <v>45542.229166666664</v>
      </c>
      <c r="B302" s="1">
        <v>22</v>
      </c>
    </row>
    <row r="303" spans="1:2" x14ac:dyDescent="0.3">
      <c r="A303" s="3">
        <v>45542.25</v>
      </c>
      <c r="B303" s="1">
        <v>22.5</v>
      </c>
    </row>
    <row r="304" spans="1:2" x14ac:dyDescent="0.3">
      <c r="A304" s="3">
        <v>45542.270833333336</v>
      </c>
      <c r="B304" s="1">
        <v>23.1</v>
      </c>
    </row>
    <row r="305" spans="1:2" x14ac:dyDescent="0.3">
      <c r="A305" s="3">
        <v>45542.291666666664</v>
      </c>
      <c r="B305" s="1">
        <v>24</v>
      </c>
    </row>
    <row r="306" spans="1:2" x14ac:dyDescent="0.3">
      <c r="A306" s="3">
        <v>45542.3125</v>
      </c>
      <c r="B306" s="1">
        <v>24.8</v>
      </c>
    </row>
    <row r="307" spans="1:2" x14ac:dyDescent="0.3">
      <c r="A307" s="3">
        <v>45542.333333333336</v>
      </c>
      <c r="B307" s="1">
        <v>25.7</v>
      </c>
    </row>
    <row r="308" spans="1:2" x14ac:dyDescent="0.3">
      <c r="A308" s="3">
        <v>45542.354166666664</v>
      </c>
      <c r="B308" s="1">
        <v>26.7</v>
      </c>
    </row>
    <row r="309" spans="1:2" x14ac:dyDescent="0.3">
      <c r="A309" s="3">
        <v>45542.375</v>
      </c>
      <c r="B309" s="1">
        <v>27.7</v>
      </c>
    </row>
    <row r="310" spans="1:2" x14ac:dyDescent="0.3">
      <c r="A310" s="3">
        <v>45542.395833333336</v>
      </c>
      <c r="B310" s="1">
        <v>28.6</v>
      </c>
    </row>
    <row r="311" spans="1:2" x14ac:dyDescent="0.3">
      <c r="A311" s="3">
        <v>45542.416666666664</v>
      </c>
      <c r="B311" s="1">
        <v>29.6</v>
      </c>
    </row>
    <row r="312" spans="1:2" x14ac:dyDescent="0.3">
      <c r="A312" s="3">
        <v>45542.4375</v>
      </c>
      <c r="B312" s="1">
        <v>30.3</v>
      </c>
    </row>
    <row r="313" spans="1:2" x14ac:dyDescent="0.3">
      <c r="A313" s="3">
        <v>45542.458333333336</v>
      </c>
      <c r="B313" s="1">
        <v>30.9</v>
      </c>
    </row>
    <row r="314" spans="1:2" x14ac:dyDescent="0.3">
      <c r="A314" s="3">
        <v>45542.479166666664</v>
      </c>
      <c r="B314" s="1">
        <v>31.5</v>
      </c>
    </row>
    <row r="315" spans="1:2" x14ac:dyDescent="0.3">
      <c r="A315" s="3">
        <v>45542.5</v>
      </c>
      <c r="B315" s="1">
        <v>31.9</v>
      </c>
    </row>
    <row r="316" spans="1:2" x14ac:dyDescent="0.3">
      <c r="A316" s="3">
        <v>45542.520833333336</v>
      </c>
      <c r="B316" s="1">
        <v>32.4</v>
      </c>
    </row>
    <row r="317" spans="1:2" x14ac:dyDescent="0.3">
      <c r="A317" s="3">
        <v>45542.541666666664</v>
      </c>
      <c r="B317" s="1">
        <v>32.5</v>
      </c>
    </row>
    <row r="318" spans="1:2" x14ac:dyDescent="0.3">
      <c r="A318" s="3">
        <v>45542.5625</v>
      </c>
      <c r="B318" s="1">
        <v>31.8</v>
      </c>
    </row>
    <row r="319" spans="1:2" x14ac:dyDescent="0.3">
      <c r="A319" s="3">
        <v>45542.583333333336</v>
      </c>
      <c r="B319" s="1">
        <v>31.6</v>
      </c>
    </row>
    <row r="320" spans="1:2" x14ac:dyDescent="0.3">
      <c r="A320" s="3">
        <v>45542.604166666664</v>
      </c>
      <c r="B320" s="1">
        <v>31.8</v>
      </c>
    </row>
    <row r="321" spans="1:2" x14ac:dyDescent="0.3">
      <c r="A321" s="3">
        <v>45542.625</v>
      </c>
      <c r="B321" s="1">
        <v>31.3</v>
      </c>
    </row>
    <row r="322" spans="1:2" x14ac:dyDescent="0.3">
      <c r="A322" s="3">
        <v>45542.645833333336</v>
      </c>
      <c r="B322" s="1">
        <v>30.8</v>
      </c>
    </row>
    <row r="323" spans="1:2" x14ac:dyDescent="0.3">
      <c r="A323" s="3">
        <v>45542.666666666664</v>
      </c>
      <c r="B323" s="1">
        <v>31</v>
      </c>
    </row>
    <row r="324" spans="1:2" x14ac:dyDescent="0.3">
      <c r="A324" s="3">
        <v>45542.6875</v>
      </c>
      <c r="B324" s="1">
        <v>30.7</v>
      </c>
    </row>
    <row r="325" spans="1:2" x14ac:dyDescent="0.3">
      <c r="A325" s="3">
        <v>45542.708333333336</v>
      </c>
      <c r="B325" s="1">
        <v>30.2</v>
      </c>
    </row>
    <row r="326" spans="1:2" x14ac:dyDescent="0.3">
      <c r="A326" s="3">
        <v>45542.729166666664</v>
      </c>
      <c r="B326" s="1">
        <v>29.8</v>
      </c>
    </row>
    <row r="327" spans="1:2" x14ac:dyDescent="0.3">
      <c r="A327" s="3">
        <v>45542.75</v>
      </c>
      <c r="B327" s="1">
        <v>29.5</v>
      </c>
    </row>
    <row r="328" spans="1:2" x14ac:dyDescent="0.3">
      <c r="A328" s="3">
        <v>45542.770833333336</v>
      </c>
      <c r="B328" s="1">
        <v>29.1</v>
      </c>
    </row>
    <row r="329" spans="1:2" x14ac:dyDescent="0.3">
      <c r="A329" s="3">
        <v>45542.791666666664</v>
      </c>
      <c r="B329" s="1">
        <v>28.9</v>
      </c>
    </row>
    <row r="330" spans="1:2" x14ac:dyDescent="0.3">
      <c r="A330" s="3">
        <v>45542.8125</v>
      </c>
      <c r="B330" s="1">
        <v>28.7</v>
      </c>
    </row>
    <row r="331" spans="1:2" x14ac:dyDescent="0.3">
      <c r="A331" s="3">
        <v>45542.833333333336</v>
      </c>
      <c r="B331" s="1">
        <v>28.5</v>
      </c>
    </row>
    <row r="332" spans="1:2" x14ac:dyDescent="0.3">
      <c r="A332" s="3">
        <v>45542.854166666664</v>
      </c>
      <c r="B332" s="1">
        <v>28.1</v>
      </c>
    </row>
    <row r="333" spans="1:2" x14ac:dyDescent="0.3">
      <c r="A333" s="3">
        <v>45542.875</v>
      </c>
      <c r="B333" s="1">
        <v>28</v>
      </c>
    </row>
    <row r="334" spans="1:2" x14ac:dyDescent="0.3">
      <c r="A334" s="3">
        <v>45542.895833333336</v>
      </c>
      <c r="B334" s="1">
        <v>27.9</v>
      </c>
    </row>
    <row r="335" spans="1:2" x14ac:dyDescent="0.3">
      <c r="A335" s="3">
        <v>45542.916666666664</v>
      </c>
      <c r="B335" s="1">
        <v>27.6</v>
      </c>
    </row>
    <row r="336" spans="1:2" x14ac:dyDescent="0.3">
      <c r="A336" s="3">
        <v>45542.9375</v>
      </c>
      <c r="B336" s="1">
        <v>27.1</v>
      </c>
    </row>
    <row r="337" spans="1:2" x14ac:dyDescent="0.3">
      <c r="A337" s="3">
        <v>45542.958333333336</v>
      </c>
      <c r="B337" s="1">
        <v>26.6</v>
      </c>
    </row>
    <row r="338" spans="1:2" x14ac:dyDescent="0.3">
      <c r="A338" s="3">
        <v>45542.979166666664</v>
      </c>
      <c r="B338" s="1">
        <v>26.6</v>
      </c>
    </row>
    <row r="339" spans="1:2" x14ac:dyDescent="0.3">
      <c r="A339" s="3">
        <v>45543</v>
      </c>
      <c r="B339" s="1">
        <v>26.3</v>
      </c>
    </row>
    <row r="340" spans="1:2" x14ac:dyDescent="0.3">
      <c r="A340" s="3">
        <v>45543.020833333336</v>
      </c>
      <c r="B340" s="1">
        <v>26</v>
      </c>
    </row>
    <row r="341" spans="1:2" x14ac:dyDescent="0.3">
      <c r="A341" s="3">
        <v>45543.041666666664</v>
      </c>
      <c r="B341" s="1">
        <v>25.9</v>
      </c>
    </row>
    <row r="342" spans="1:2" x14ac:dyDescent="0.3">
      <c r="A342" s="3">
        <v>45543.0625</v>
      </c>
      <c r="B342" s="1">
        <v>25.7</v>
      </c>
    </row>
    <row r="343" spans="1:2" x14ac:dyDescent="0.3">
      <c r="A343" s="3">
        <v>45543.083333333336</v>
      </c>
      <c r="B343" s="1">
        <v>25.2</v>
      </c>
    </row>
    <row r="344" spans="1:2" x14ac:dyDescent="0.3">
      <c r="A344" s="3">
        <v>45543.104166666664</v>
      </c>
      <c r="B344" s="1">
        <v>24.8</v>
      </c>
    </row>
    <row r="345" spans="1:2" x14ac:dyDescent="0.3">
      <c r="A345" s="3">
        <v>45543.125</v>
      </c>
      <c r="B345" s="1">
        <v>24.3</v>
      </c>
    </row>
    <row r="346" spans="1:2" x14ac:dyDescent="0.3">
      <c r="A346" s="3">
        <v>45543.145833333336</v>
      </c>
      <c r="B346" s="1">
        <v>24.9</v>
      </c>
    </row>
    <row r="347" spans="1:2" x14ac:dyDescent="0.3">
      <c r="A347" s="3">
        <v>45543.166666666664</v>
      </c>
      <c r="B347" s="1">
        <v>24.9</v>
      </c>
    </row>
    <row r="348" spans="1:2" x14ac:dyDescent="0.3">
      <c r="A348" s="3">
        <v>45543.1875</v>
      </c>
      <c r="B348" s="1">
        <v>24.8</v>
      </c>
    </row>
    <row r="349" spans="1:2" x14ac:dyDescent="0.3">
      <c r="A349" s="3">
        <v>45543.208333333336</v>
      </c>
      <c r="B349" s="1">
        <v>23.9</v>
      </c>
    </row>
    <row r="350" spans="1:2" x14ac:dyDescent="0.3">
      <c r="A350" s="3">
        <v>45543.229166666664</v>
      </c>
      <c r="B350" s="1">
        <v>23.9</v>
      </c>
    </row>
    <row r="351" spans="1:2" x14ac:dyDescent="0.3">
      <c r="A351" s="3">
        <v>45543.25</v>
      </c>
      <c r="B351" s="1">
        <v>24.5</v>
      </c>
    </row>
    <row r="352" spans="1:2" x14ac:dyDescent="0.3">
      <c r="A352" s="3">
        <v>45543.270833333336</v>
      </c>
      <c r="B352" s="1">
        <v>25.4</v>
      </c>
    </row>
    <row r="353" spans="1:2" x14ac:dyDescent="0.3">
      <c r="A353" s="3">
        <v>45543.291666666664</v>
      </c>
      <c r="B353" s="1">
        <v>25.7</v>
      </c>
    </row>
    <row r="354" spans="1:2" x14ac:dyDescent="0.3">
      <c r="A354" s="3">
        <v>45543.3125</v>
      </c>
      <c r="B354" s="1">
        <v>26.4</v>
      </c>
    </row>
    <row r="355" spans="1:2" x14ac:dyDescent="0.3">
      <c r="A355" s="3">
        <v>45543.333333333336</v>
      </c>
      <c r="B355" s="1">
        <v>27.7</v>
      </c>
    </row>
    <row r="356" spans="1:2" x14ac:dyDescent="0.3">
      <c r="A356" s="3">
        <v>45543.354166666664</v>
      </c>
      <c r="B356" s="1">
        <v>28.8</v>
      </c>
    </row>
    <row r="357" spans="1:2" x14ac:dyDescent="0.3">
      <c r="A357" s="3">
        <v>45543.375</v>
      </c>
      <c r="B357" s="1">
        <v>30</v>
      </c>
    </row>
    <row r="358" spans="1:2" x14ac:dyDescent="0.3">
      <c r="A358" s="3">
        <v>45543.395833333336</v>
      </c>
      <c r="B358" s="1">
        <v>31.5</v>
      </c>
    </row>
    <row r="359" spans="1:2" x14ac:dyDescent="0.3">
      <c r="A359" s="3">
        <v>45543.416666666664</v>
      </c>
      <c r="B359" s="1">
        <v>32.299999999999997</v>
      </c>
    </row>
    <row r="360" spans="1:2" x14ac:dyDescent="0.3">
      <c r="A360" s="3">
        <v>45543.4375</v>
      </c>
      <c r="B360" s="1">
        <v>32.700000000000003</v>
      </c>
    </row>
    <row r="361" spans="1:2" x14ac:dyDescent="0.3">
      <c r="A361" s="3">
        <v>45543.458333333336</v>
      </c>
      <c r="B361" s="1">
        <v>32.9</v>
      </c>
    </row>
    <row r="362" spans="1:2" x14ac:dyDescent="0.3">
      <c r="A362" s="3">
        <v>45543.479166666664</v>
      </c>
      <c r="B362" s="1">
        <v>33.1</v>
      </c>
    </row>
    <row r="363" spans="1:2" x14ac:dyDescent="0.3">
      <c r="A363" s="3">
        <v>45543.5</v>
      </c>
      <c r="B363" s="1">
        <v>33.4</v>
      </c>
    </row>
    <row r="364" spans="1:2" x14ac:dyDescent="0.3">
      <c r="A364" s="3">
        <v>45543.520833333336</v>
      </c>
      <c r="B364" s="1">
        <v>33.799999999999997</v>
      </c>
    </row>
    <row r="365" spans="1:2" x14ac:dyDescent="0.3">
      <c r="A365" s="3">
        <v>45543.541666666664</v>
      </c>
      <c r="B365" s="1">
        <v>34.1</v>
      </c>
    </row>
    <row r="366" spans="1:2" x14ac:dyDescent="0.3">
      <c r="A366" s="3">
        <v>45543.5625</v>
      </c>
      <c r="B366" s="1">
        <v>34.200000000000003</v>
      </c>
    </row>
    <row r="367" spans="1:2" x14ac:dyDescent="0.3">
      <c r="A367" s="3">
        <v>45543.583333333336</v>
      </c>
      <c r="B367" s="1">
        <v>33.4</v>
      </c>
    </row>
    <row r="368" spans="1:2" x14ac:dyDescent="0.3">
      <c r="A368" s="3">
        <v>45543.604166666664</v>
      </c>
      <c r="B368" s="1">
        <v>32.6</v>
      </c>
    </row>
    <row r="369" spans="1:2" x14ac:dyDescent="0.3">
      <c r="A369" s="3">
        <v>45543.625</v>
      </c>
      <c r="B369" s="1">
        <v>32.1</v>
      </c>
    </row>
    <row r="370" spans="1:2" x14ac:dyDescent="0.3">
      <c r="A370" s="3">
        <v>45543.645833333336</v>
      </c>
      <c r="B370" s="1">
        <v>31.5</v>
      </c>
    </row>
    <row r="371" spans="1:2" x14ac:dyDescent="0.3">
      <c r="A371" s="3">
        <v>45543.666666666664</v>
      </c>
      <c r="B371" s="1">
        <v>31.1</v>
      </c>
    </row>
    <row r="372" spans="1:2" x14ac:dyDescent="0.3">
      <c r="A372" s="3">
        <v>45543.6875</v>
      </c>
      <c r="B372" s="1">
        <v>30.7</v>
      </c>
    </row>
    <row r="373" spans="1:2" x14ac:dyDescent="0.3">
      <c r="A373" s="3">
        <v>45543.708333333336</v>
      </c>
      <c r="B373" s="1">
        <v>30.2</v>
      </c>
    </row>
    <row r="374" spans="1:2" x14ac:dyDescent="0.3">
      <c r="A374" s="3">
        <v>45543.729166666664</v>
      </c>
      <c r="B374" s="1">
        <v>29.9</v>
      </c>
    </row>
    <row r="375" spans="1:2" x14ac:dyDescent="0.3">
      <c r="A375" s="3">
        <v>45543.75</v>
      </c>
      <c r="B375" s="1">
        <v>29.7</v>
      </c>
    </row>
    <row r="376" spans="1:2" x14ac:dyDescent="0.3">
      <c r="A376" s="3">
        <v>45543.770833333336</v>
      </c>
      <c r="B376" s="1">
        <v>29.7</v>
      </c>
    </row>
    <row r="377" spans="1:2" x14ac:dyDescent="0.3">
      <c r="A377" s="3">
        <v>45543.791666666664</v>
      </c>
      <c r="B377" s="1">
        <v>29.8</v>
      </c>
    </row>
    <row r="378" spans="1:2" x14ac:dyDescent="0.3">
      <c r="A378" s="3">
        <v>45543.8125</v>
      </c>
      <c r="B378" s="1">
        <v>29.8</v>
      </c>
    </row>
    <row r="379" spans="1:2" x14ac:dyDescent="0.3">
      <c r="A379" s="3">
        <v>45543.833333333336</v>
      </c>
      <c r="B379" s="1">
        <v>29.6</v>
      </c>
    </row>
    <row r="380" spans="1:2" x14ac:dyDescent="0.3">
      <c r="A380" s="3">
        <v>45543.854166666664</v>
      </c>
      <c r="B380" s="1">
        <v>29.3</v>
      </c>
    </row>
    <row r="381" spans="1:2" x14ac:dyDescent="0.3">
      <c r="A381" s="3">
        <v>45543.875</v>
      </c>
      <c r="B381" s="1">
        <v>29.2</v>
      </c>
    </row>
    <row r="382" spans="1:2" x14ac:dyDescent="0.3">
      <c r="A382" s="3">
        <v>45543.895833333336</v>
      </c>
      <c r="B382" s="1">
        <v>29</v>
      </c>
    </row>
    <row r="383" spans="1:2" x14ac:dyDescent="0.3">
      <c r="A383" s="3">
        <v>45543.916666666664</v>
      </c>
      <c r="B383" s="1">
        <v>24.5</v>
      </c>
    </row>
    <row r="384" spans="1:2" x14ac:dyDescent="0.3">
      <c r="A384" s="3">
        <v>45543.9375</v>
      </c>
      <c r="B384" s="1">
        <v>24.3</v>
      </c>
    </row>
    <row r="385" spans="1:2" x14ac:dyDescent="0.3">
      <c r="A385" s="3">
        <v>45543.958333333336</v>
      </c>
      <c r="B385" s="1">
        <v>24.3</v>
      </c>
    </row>
    <row r="386" spans="1:2" x14ac:dyDescent="0.3">
      <c r="A386" s="3">
        <v>45543.979166666664</v>
      </c>
      <c r="B386" s="1">
        <v>24.4</v>
      </c>
    </row>
    <row r="387" spans="1:2" x14ac:dyDescent="0.3">
      <c r="A387" s="3">
        <v>45544</v>
      </c>
      <c r="B387" s="1">
        <v>24.2</v>
      </c>
    </row>
    <row r="388" spans="1:2" x14ac:dyDescent="0.3">
      <c r="A388" s="3">
        <v>45544.020833333336</v>
      </c>
      <c r="B388" s="1">
        <v>23.9</v>
      </c>
    </row>
    <row r="389" spans="1:2" x14ac:dyDescent="0.3">
      <c r="A389" s="3">
        <v>45544.041666666664</v>
      </c>
      <c r="B389" s="1">
        <v>23.9</v>
      </c>
    </row>
    <row r="390" spans="1:2" x14ac:dyDescent="0.3">
      <c r="A390" s="3">
        <v>45544.0625</v>
      </c>
      <c r="B390" s="1">
        <v>24.3</v>
      </c>
    </row>
    <row r="391" spans="1:2" x14ac:dyDescent="0.3">
      <c r="A391" s="3">
        <v>45544.083333333336</v>
      </c>
      <c r="B391" s="1">
        <v>24.2</v>
      </c>
    </row>
    <row r="392" spans="1:2" x14ac:dyDescent="0.3">
      <c r="A392" s="3">
        <v>45544.104166666664</v>
      </c>
      <c r="B392" s="1">
        <v>24.3</v>
      </c>
    </row>
    <row r="393" spans="1:2" x14ac:dyDescent="0.3">
      <c r="A393" s="3">
        <v>45544.125</v>
      </c>
      <c r="B393" s="1">
        <v>24</v>
      </c>
    </row>
    <row r="394" spans="1:2" x14ac:dyDescent="0.3">
      <c r="A394" s="3">
        <v>45544.145833333336</v>
      </c>
      <c r="B394" s="1">
        <v>24.3</v>
      </c>
    </row>
    <row r="395" spans="1:2" x14ac:dyDescent="0.3">
      <c r="A395" s="3">
        <v>45544.166666666664</v>
      </c>
      <c r="B395" s="1">
        <v>24.4</v>
      </c>
    </row>
    <row r="396" spans="1:2" x14ac:dyDescent="0.3">
      <c r="A396" s="3">
        <v>45544.1875</v>
      </c>
      <c r="B396" s="1">
        <v>24.4</v>
      </c>
    </row>
    <row r="397" spans="1:2" x14ac:dyDescent="0.3">
      <c r="A397" s="3">
        <v>45544.208333333336</v>
      </c>
      <c r="B397" s="1">
        <v>24.4</v>
      </c>
    </row>
    <row r="398" spans="1:2" x14ac:dyDescent="0.3">
      <c r="A398" s="3">
        <v>45544.229166666664</v>
      </c>
      <c r="B398" s="1">
        <v>24.4</v>
      </c>
    </row>
    <row r="399" spans="1:2" x14ac:dyDescent="0.3">
      <c r="A399" s="3">
        <v>45544.25</v>
      </c>
      <c r="B399" s="1">
        <v>24.6</v>
      </c>
    </row>
    <row r="400" spans="1:2" x14ac:dyDescent="0.3">
      <c r="A400" s="3">
        <v>45544.270833333336</v>
      </c>
      <c r="B400" s="1">
        <v>24.8</v>
      </c>
    </row>
    <row r="401" spans="1:2" x14ac:dyDescent="0.3">
      <c r="A401" s="3">
        <v>45544.291666666664</v>
      </c>
      <c r="B401" s="1">
        <v>25.1</v>
      </c>
    </row>
    <row r="402" spans="1:2" x14ac:dyDescent="0.3">
      <c r="A402" s="3">
        <v>45544.3125</v>
      </c>
      <c r="B402" s="1">
        <v>24.9</v>
      </c>
    </row>
    <row r="403" spans="1:2" x14ac:dyDescent="0.3">
      <c r="A403" s="3">
        <v>45544.333333333336</v>
      </c>
      <c r="B403" s="1">
        <v>25.3</v>
      </c>
    </row>
    <row r="404" spans="1:2" x14ac:dyDescent="0.3">
      <c r="A404" s="3">
        <v>45544.354166666664</v>
      </c>
      <c r="B404" s="1">
        <v>25.6</v>
      </c>
    </row>
    <row r="405" spans="1:2" x14ac:dyDescent="0.3">
      <c r="A405" s="3">
        <v>45544.375</v>
      </c>
      <c r="B405" s="1">
        <v>25.3</v>
      </c>
    </row>
    <row r="406" spans="1:2" x14ac:dyDescent="0.3">
      <c r="A406" s="3">
        <v>45544.395833333336</v>
      </c>
      <c r="B406" s="1">
        <v>25.6</v>
      </c>
    </row>
    <row r="407" spans="1:2" x14ac:dyDescent="0.3">
      <c r="A407" s="3">
        <v>45544.416666666664</v>
      </c>
      <c r="B407" s="1">
        <v>25.2</v>
      </c>
    </row>
    <row r="408" spans="1:2" x14ac:dyDescent="0.3">
      <c r="A408" s="3">
        <v>45544.4375</v>
      </c>
      <c r="B408" s="1">
        <v>24.4</v>
      </c>
    </row>
    <row r="409" spans="1:2" x14ac:dyDescent="0.3">
      <c r="A409" s="3">
        <v>45544.458333333336</v>
      </c>
      <c r="B409" s="1">
        <v>24.3</v>
      </c>
    </row>
    <row r="410" spans="1:2" x14ac:dyDescent="0.3">
      <c r="A410" s="3">
        <v>45544.479166666664</v>
      </c>
      <c r="B410" s="1">
        <v>25.3</v>
      </c>
    </row>
    <row r="411" spans="1:2" x14ac:dyDescent="0.3">
      <c r="A411" s="3">
        <v>45544.5</v>
      </c>
      <c r="B411" s="1">
        <v>26.2</v>
      </c>
    </row>
    <row r="412" spans="1:2" x14ac:dyDescent="0.3">
      <c r="A412" s="3">
        <v>45544.520833333336</v>
      </c>
      <c r="B412" s="1">
        <v>25.6</v>
      </c>
    </row>
    <row r="413" spans="1:2" x14ac:dyDescent="0.3">
      <c r="A413" s="3">
        <v>45544.541666666664</v>
      </c>
      <c r="B413" s="1">
        <v>26.4</v>
      </c>
    </row>
    <row r="414" spans="1:2" x14ac:dyDescent="0.3">
      <c r="A414" s="3">
        <v>45544.5625</v>
      </c>
      <c r="B414" s="1">
        <v>27</v>
      </c>
    </row>
    <row r="415" spans="1:2" x14ac:dyDescent="0.3">
      <c r="A415" s="3">
        <v>45544.583333333336</v>
      </c>
      <c r="B415" s="1">
        <v>27.6</v>
      </c>
    </row>
    <row r="416" spans="1:2" x14ac:dyDescent="0.3">
      <c r="A416" s="3">
        <v>45544.604166666664</v>
      </c>
      <c r="B416" s="1">
        <v>26.8</v>
      </c>
    </row>
    <row r="417" spans="1:2" x14ac:dyDescent="0.3">
      <c r="A417" s="3">
        <v>45544.625</v>
      </c>
      <c r="B417" s="1">
        <v>28.1</v>
      </c>
    </row>
    <row r="418" spans="1:2" x14ac:dyDescent="0.3">
      <c r="A418" s="3">
        <v>45544.645833333336</v>
      </c>
      <c r="B418" s="1">
        <v>28.9</v>
      </c>
    </row>
    <row r="419" spans="1:2" x14ac:dyDescent="0.3">
      <c r="A419" s="3">
        <v>45544.666666666664</v>
      </c>
      <c r="B419" s="1">
        <v>28.9</v>
      </c>
    </row>
    <row r="420" spans="1:2" x14ac:dyDescent="0.3">
      <c r="A420" s="3">
        <v>45544.6875</v>
      </c>
      <c r="B420" s="1">
        <v>28.3</v>
      </c>
    </row>
    <row r="421" spans="1:2" x14ac:dyDescent="0.3">
      <c r="A421" s="3">
        <v>45544.708333333336</v>
      </c>
      <c r="B421" s="1">
        <v>28.2</v>
      </c>
    </row>
    <row r="422" spans="1:2" x14ac:dyDescent="0.3">
      <c r="A422" s="3">
        <v>45544.729166666664</v>
      </c>
      <c r="B422" s="1">
        <v>26.4</v>
      </c>
    </row>
    <row r="423" spans="1:2" x14ac:dyDescent="0.3">
      <c r="A423" s="3">
        <v>45544.75</v>
      </c>
      <c r="B423" s="1">
        <v>25.4</v>
      </c>
    </row>
    <row r="424" spans="1:2" x14ac:dyDescent="0.3">
      <c r="A424" s="3">
        <v>45544.770833333336</v>
      </c>
      <c r="B424" s="1">
        <v>25.1</v>
      </c>
    </row>
    <row r="425" spans="1:2" x14ac:dyDescent="0.3">
      <c r="A425" s="3">
        <v>45544.791666666664</v>
      </c>
      <c r="B425" s="1">
        <v>25.2</v>
      </c>
    </row>
    <row r="426" spans="1:2" x14ac:dyDescent="0.3">
      <c r="A426" s="3">
        <v>45544.8125</v>
      </c>
      <c r="B426" s="1">
        <v>25</v>
      </c>
    </row>
    <row r="427" spans="1:2" x14ac:dyDescent="0.3">
      <c r="A427" s="3">
        <v>45544.833333333336</v>
      </c>
      <c r="B427" s="1">
        <v>24.9</v>
      </c>
    </row>
    <row r="428" spans="1:2" x14ac:dyDescent="0.3">
      <c r="A428" s="3">
        <v>45544.854166666664</v>
      </c>
      <c r="B428" s="1">
        <v>24.4</v>
      </c>
    </row>
    <row r="429" spans="1:2" x14ac:dyDescent="0.3">
      <c r="A429" s="3">
        <v>45544.875</v>
      </c>
      <c r="B429" s="1">
        <v>23.3</v>
      </c>
    </row>
    <row r="430" spans="1:2" x14ac:dyDescent="0.3">
      <c r="A430" s="3">
        <v>45544.895833333336</v>
      </c>
      <c r="B430" s="1">
        <v>23</v>
      </c>
    </row>
    <row r="431" spans="1:2" x14ac:dyDescent="0.3">
      <c r="A431" s="3">
        <v>45544.916666666664</v>
      </c>
      <c r="B431" s="1">
        <v>22.6</v>
      </c>
    </row>
    <row r="432" spans="1:2" x14ac:dyDescent="0.3">
      <c r="A432" s="3">
        <v>45544.922534722224</v>
      </c>
      <c r="B432" s="1">
        <v>22.7</v>
      </c>
    </row>
    <row r="433" spans="1:2" x14ac:dyDescent="0.3">
      <c r="A433" s="3">
        <v>45544.9375</v>
      </c>
      <c r="B433" s="1">
        <v>22.5</v>
      </c>
    </row>
    <row r="434" spans="1:2" x14ac:dyDescent="0.3">
      <c r="A434" s="3">
        <v>45544.958333333336</v>
      </c>
      <c r="B434" s="1">
        <v>22.5</v>
      </c>
    </row>
    <row r="435" spans="1:2" x14ac:dyDescent="0.3">
      <c r="A435" s="3">
        <v>45544.979166666664</v>
      </c>
      <c r="B435" s="1">
        <v>22.3</v>
      </c>
    </row>
    <row r="436" spans="1:2" x14ac:dyDescent="0.3">
      <c r="A436" s="3">
        <v>45545</v>
      </c>
      <c r="B436" s="1">
        <v>22.2</v>
      </c>
    </row>
    <row r="437" spans="1:2" x14ac:dyDescent="0.3">
      <c r="A437" s="3">
        <v>45545.020833333336</v>
      </c>
      <c r="B437" s="1">
        <v>22.2</v>
      </c>
    </row>
    <row r="438" spans="1:2" x14ac:dyDescent="0.3">
      <c r="A438" s="3">
        <v>45545.041666666664</v>
      </c>
      <c r="B438" s="1">
        <v>22</v>
      </c>
    </row>
    <row r="439" spans="1:2" x14ac:dyDescent="0.3">
      <c r="A439" s="3">
        <v>45545.0625</v>
      </c>
      <c r="B439" s="1">
        <v>21.6</v>
      </c>
    </row>
    <row r="440" spans="1:2" x14ac:dyDescent="0.3">
      <c r="A440" s="3">
        <v>45545.083333333336</v>
      </c>
      <c r="B440" s="1">
        <v>21.3</v>
      </c>
    </row>
    <row r="441" spans="1:2" x14ac:dyDescent="0.3">
      <c r="A441" s="3">
        <v>45545.104166666664</v>
      </c>
      <c r="B441" s="1">
        <v>21.3</v>
      </c>
    </row>
    <row r="442" spans="1:2" x14ac:dyDescent="0.3">
      <c r="A442" s="3">
        <v>45545.125</v>
      </c>
      <c r="B442" s="1">
        <v>21.2</v>
      </c>
    </row>
    <row r="443" spans="1:2" x14ac:dyDescent="0.3">
      <c r="A443" s="3">
        <v>45545.145833333336</v>
      </c>
      <c r="B443" s="1">
        <v>20.9</v>
      </c>
    </row>
    <row r="444" spans="1:2" x14ac:dyDescent="0.3">
      <c r="A444" s="3">
        <v>45545.166666666664</v>
      </c>
      <c r="B444" s="1">
        <v>20.6</v>
      </c>
    </row>
    <row r="445" spans="1:2" x14ac:dyDescent="0.3">
      <c r="A445" s="3">
        <v>45545.172361111108</v>
      </c>
      <c r="B445" s="1">
        <v>20.6</v>
      </c>
    </row>
    <row r="446" spans="1:2" x14ac:dyDescent="0.3">
      <c r="A446" s="3">
        <v>45545.1875</v>
      </c>
      <c r="B446" s="1">
        <v>20.6</v>
      </c>
    </row>
    <row r="447" spans="1:2" x14ac:dyDescent="0.3">
      <c r="A447" s="3">
        <v>45545.208333333336</v>
      </c>
      <c r="B447" s="1">
        <v>20.6</v>
      </c>
    </row>
    <row r="448" spans="1:2" x14ac:dyDescent="0.3">
      <c r="A448" s="3">
        <v>45545.229166666664</v>
      </c>
      <c r="B448" s="1">
        <v>21</v>
      </c>
    </row>
    <row r="449" spans="1:2" x14ac:dyDescent="0.3">
      <c r="A449" s="3">
        <v>45545.25</v>
      </c>
      <c r="B449" s="1">
        <v>21.4</v>
      </c>
    </row>
    <row r="450" spans="1:2" x14ac:dyDescent="0.3">
      <c r="A450" s="3">
        <v>45545.270833333336</v>
      </c>
      <c r="B450" s="1">
        <v>21.8</v>
      </c>
    </row>
    <row r="451" spans="1:2" x14ac:dyDescent="0.3">
      <c r="A451" s="3">
        <v>45545.291666666664</v>
      </c>
      <c r="B451" s="1">
        <v>22</v>
      </c>
    </row>
    <row r="452" spans="1:2" x14ac:dyDescent="0.3">
      <c r="A452" s="3">
        <v>45545.3125</v>
      </c>
      <c r="B452" s="1">
        <v>22.8</v>
      </c>
    </row>
    <row r="453" spans="1:2" x14ac:dyDescent="0.3">
      <c r="A453" s="3">
        <v>45545.333333333336</v>
      </c>
      <c r="B453" s="1">
        <v>23.5</v>
      </c>
    </row>
    <row r="454" spans="1:2" x14ac:dyDescent="0.3">
      <c r="A454" s="3">
        <v>45545.354166666664</v>
      </c>
      <c r="B454" s="1">
        <v>24.4</v>
      </c>
    </row>
    <row r="455" spans="1:2" x14ac:dyDescent="0.3">
      <c r="A455" s="3">
        <v>45545.375</v>
      </c>
      <c r="B455" s="1">
        <v>25.7</v>
      </c>
    </row>
    <row r="456" spans="1:2" x14ac:dyDescent="0.3">
      <c r="A456" s="3">
        <v>45545.395833333336</v>
      </c>
      <c r="B456" s="1">
        <v>26.5</v>
      </c>
    </row>
    <row r="457" spans="1:2" x14ac:dyDescent="0.3">
      <c r="A457" s="3">
        <v>45545.416666666664</v>
      </c>
      <c r="B457" s="1">
        <v>27.5</v>
      </c>
    </row>
    <row r="458" spans="1:2" x14ac:dyDescent="0.3">
      <c r="A458" s="3">
        <v>45545.4375</v>
      </c>
      <c r="B458" s="1">
        <v>28</v>
      </c>
    </row>
    <row r="459" spans="1:2" x14ac:dyDescent="0.3">
      <c r="A459" s="3">
        <v>45545.458333333336</v>
      </c>
      <c r="B459" s="1">
        <v>28.8</v>
      </c>
    </row>
    <row r="460" spans="1:2" x14ac:dyDescent="0.3">
      <c r="A460" s="3">
        <v>45545.479166666664</v>
      </c>
      <c r="B460" s="1">
        <v>29.2</v>
      </c>
    </row>
    <row r="461" spans="1:2" x14ac:dyDescent="0.3">
      <c r="A461" s="3">
        <v>45545.5</v>
      </c>
      <c r="B461" s="1">
        <v>29.6</v>
      </c>
    </row>
    <row r="462" spans="1:2" x14ac:dyDescent="0.3">
      <c r="A462" s="3">
        <v>45545.520833333336</v>
      </c>
      <c r="B462" s="1">
        <v>29.9</v>
      </c>
    </row>
    <row r="463" spans="1:2" x14ac:dyDescent="0.3">
      <c r="A463" s="3">
        <v>45545.541666666664</v>
      </c>
      <c r="B463" s="1">
        <v>30.1</v>
      </c>
    </row>
    <row r="464" spans="1:2" x14ac:dyDescent="0.3">
      <c r="A464" s="3">
        <v>45545.5625</v>
      </c>
      <c r="B464" s="1">
        <v>30.4</v>
      </c>
    </row>
    <row r="465" spans="1:2" x14ac:dyDescent="0.3">
      <c r="A465" s="3">
        <v>45545.583333333336</v>
      </c>
      <c r="B465" s="1">
        <v>30.9</v>
      </c>
    </row>
    <row r="466" spans="1:2" x14ac:dyDescent="0.3">
      <c r="A466" s="3">
        <v>45545.604166666664</v>
      </c>
      <c r="B466" s="1">
        <v>30.7</v>
      </c>
    </row>
    <row r="467" spans="1:2" x14ac:dyDescent="0.3">
      <c r="A467" s="3">
        <v>45545.625</v>
      </c>
      <c r="B467" s="1">
        <v>31.2</v>
      </c>
    </row>
    <row r="468" spans="1:2" x14ac:dyDescent="0.3">
      <c r="A468" s="3">
        <v>45545.645833333336</v>
      </c>
      <c r="B468" s="1">
        <v>31.3</v>
      </c>
    </row>
    <row r="469" spans="1:2" x14ac:dyDescent="0.3">
      <c r="A469" s="3">
        <v>45545.666666666664</v>
      </c>
      <c r="B469" s="1">
        <v>29.3</v>
      </c>
    </row>
    <row r="470" spans="1:2" x14ac:dyDescent="0.3">
      <c r="A470" s="3">
        <v>45545.6875</v>
      </c>
      <c r="B470" s="1">
        <v>28.6</v>
      </c>
    </row>
    <row r="471" spans="1:2" x14ac:dyDescent="0.3">
      <c r="A471" s="3">
        <v>45545.708333333336</v>
      </c>
      <c r="B471" s="1">
        <v>27.5</v>
      </c>
    </row>
    <row r="472" spans="1:2" x14ac:dyDescent="0.3">
      <c r="A472" s="3">
        <v>45545.729166666664</v>
      </c>
      <c r="B472" s="1">
        <v>26.6</v>
      </c>
    </row>
    <row r="473" spans="1:2" x14ac:dyDescent="0.3">
      <c r="A473" s="3">
        <v>45545.75</v>
      </c>
      <c r="B473" s="1">
        <v>26.3</v>
      </c>
    </row>
    <row r="474" spans="1:2" x14ac:dyDescent="0.3">
      <c r="A474" s="3">
        <v>45545.770833333336</v>
      </c>
      <c r="B474" s="1">
        <v>26</v>
      </c>
    </row>
    <row r="475" spans="1:2" x14ac:dyDescent="0.3">
      <c r="A475" s="3">
        <v>45545.791666666664</v>
      </c>
      <c r="B475" s="1">
        <v>25.7</v>
      </c>
    </row>
    <row r="476" spans="1:2" x14ac:dyDescent="0.3">
      <c r="A476" s="3">
        <v>45545.8125</v>
      </c>
      <c r="B476" s="1">
        <v>25.2</v>
      </c>
    </row>
    <row r="477" spans="1:2" x14ac:dyDescent="0.3">
      <c r="A477" s="3">
        <v>45545.833333333336</v>
      </c>
      <c r="B477" s="1">
        <v>25.1</v>
      </c>
    </row>
    <row r="478" spans="1:2" x14ac:dyDescent="0.3">
      <c r="A478" s="3">
        <v>45545.854166666664</v>
      </c>
      <c r="B478" s="1">
        <v>24.9</v>
      </c>
    </row>
    <row r="479" spans="1:2" x14ac:dyDescent="0.3">
      <c r="A479" s="3">
        <v>45545.875</v>
      </c>
      <c r="B479" s="1">
        <v>24.7</v>
      </c>
    </row>
    <row r="480" spans="1:2" x14ac:dyDescent="0.3">
      <c r="A480" s="3">
        <v>45545.895833333336</v>
      </c>
      <c r="B480" s="1">
        <v>24.5</v>
      </c>
    </row>
    <row r="481" spans="1:2" x14ac:dyDescent="0.3">
      <c r="A481" s="3">
        <v>45545.916666666664</v>
      </c>
      <c r="B481" s="1">
        <v>24.4</v>
      </c>
    </row>
    <row r="482" spans="1:2" x14ac:dyDescent="0.3">
      <c r="A482" s="3">
        <v>45545.9375</v>
      </c>
      <c r="B482" s="1">
        <v>24.1</v>
      </c>
    </row>
    <row r="483" spans="1:2" x14ac:dyDescent="0.3">
      <c r="A483" s="3">
        <v>45545.958333333336</v>
      </c>
      <c r="B483" s="1">
        <v>23.5</v>
      </c>
    </row>
    <row r="484" spans="1:2" x14ac:dyDescent="0.3">
      <c r="A484" s="3">
        <v>45545.979166666664</v>
      </c>
      <c r="B484" s="1">
        <v>22.8</v>
      </c>
    </row>
    <row r="485" spans="1:2" x14ac:dyDescent="0.3">
      <c r="A485" s="3">
        <v>45546</v>
      </c>
      <c r="B485" s="1">
        <v>22.3</v>
      </c>
    </row>
    <row r="486" spans="1:2" x14ac:dyDescent="0.3">
      <c r="A486" s="3">
        <v>45546.020833333336</v>
      </c>
      <c r="B486" s="1">
        <v>22</v>
      </c>
    </row>
    <row r="487" spans="1:2" x14ac:dyDescent="0.3">
      <c r="A487" s="3">
        <v>45546.041666666664</v>
      </c>
      <c r="B487" s="1">
        <v>21.7</v>
      </c>
    </row>
    <row r="488" spans="1:2" x14ac:dyDescent="0.3">
      <c r="A488" s="3">
        <v>45546.0625</v>
      </c>
      <c r="B488" s="1">
        <v>22</v>
      </c>
    </row>
    <row r="489" spans="1:2" x14ac:dyDescent="0.3">
      <c r="A489" s="3">
        <v>45546.083333333336</v>
      </c>
      <c r="B489" s="1">
        <v>21.9</v>
      </c>
    </row>
    <row r="490" spans="1:2" x14ac:dyDescent="0.3">
      <c r="A490" s="3">
        <v>45546.104166666664</v>
      </c>
      <c r="B490" s="1">
        <v>22.1</v>
      </c>
    </row>
    <row r="491" spans="1:2" x14ac:dyDescent="0.3">
      <c r="A491" s="3">
        <v>45546.125</v>
      </c>
      <c r="B491" s="1">
        <v>21.9</v>
      </c>
    </row>
    <row r="492" spans="1:2" x14ac:dyDescent="0.3">
      <c r="A492" s="3">
        <v>45546.145833333336</v>
      </c>
      <c r="B492" s="1">
        <v>21.2</v>
      </c>
    </row>
    <row r="493" spans="1:2" x14ac:dyDescent="0.3">
      <c r="A493" s="3">
        <v>45546.166666666664</v>
      </c>
      <c r="B493" s="1">
        <v>21</v>
      </c>
    </row>
    <row r="494" spans="1:2" x14ac:dyDescent="0.3">
      <c r="A494" s="3">
        <v>45546.1875</v>
      </c>
      <c r="B494" s="1">
        <v>20.399999999999999</v>
      </c>
    </row>
    <row r="495" spans="1:2" x14ac:dyDescent="0.3">
      <c r="A495" s="3">
        <v>45546.208333333336</v>
      </c>
      <c r="B495" s="1">
        <v>20.3</v>
      </c>
    </row>
    <row r="496" spans="1:2" x14ac:dyDescent="0.3">
      <c r="A496" s="3">
        <v>45546.229166666664</v>
      </c>
      <c r="B496" s="1">
        <v>20.100000000000001</v>
      </c>
    </row>
    <row r="497" spans="1:2" x14ac:dyDescent="0.3">
      <c r="A497" s="3">
        <v>45546.25</v>
      </c>
      <c r="B497" s="1">
        <v>21.1</v>
      </c>
    </row>
    <row r="498" spans="1:2" x14ac:dyDescent="0.3">
      <c r="A498" s="3">
        <v>45546.270833333336</v>
      </c>
      <c r="B498" s="1">
        <v>21.4</v>
      </c>
    </row>
    <row r="499" spans="1:2" x14ac:dyDescent="0.3">
      <c r="A499" s="3">
        <v>45546.291666666664</v>
      </c>
      <c r="B499" s="1">
        <v>22.3</v>
      </c>
    </row>
    <row r="500" spans="1:2" x14ac:dyDescent="0.3">
      <c r="A500" s="3">
        <v>45546.3125</v>
      </c>
      <c r="B500" s="1">
        <v>22.9</v>
      </c>
    </row>
    <row r="501" spans="1:2" x14ac:dyDescent="0.3">
      <c r="A501" s="3">
        <v>45546.333333333336</v>
      </c>
      <c r="B501" s="1">
        <v>23.5</v>
      </c>
    </row>
    <row r="502" spans="1:2" x14ac:dyDescent="0.3">
      <c r="A502" s="3">
        <v>45546.354166666664</v>
      </c>
      <c r="B502" s="1">
        <v>24.5</v>
      </c>
    </row>
    <row r="503" spans="1:2" x14ac:dyDescent="0.3">
      <c r="A503" s="3">
        <v>45546.375</v>
      </c>
      <c r="B503" s="1">
        <v>25.5</v>
      </c>
    </row>
    <row r="504" spans="1:2" x14ac:dyDescent="0.3">
      <c r="A504" s="3">
        <v>45546.395833333336</v>
      </c>
      <c r="B504" s="1">
        <v>26.3</v>
      </c>
    </row>
    <row r="505" spans="1:2" x14ac:dyDescent="0.3">
      <c r="A505" s="3">
        <v>45546.416666666664</v>
      </c>
      <c r="B505" s="1">
        <v>27.1</v>
      </c>
    </row>
    <row r="506" spans="1:2" x14ac:dyDescent="0.3">
      <c r="A506" s="3">
        <v>45546.4375</v>
      </c>
      <c r="B506" s="1">
        <v>27.7</v>
      </c>
    </row>
    <row r="507" spans="1:2" x14ac:dyDescent="0.3">
      <c r="A507" s="3">
        <v>45546.446805555555</v>
      </c>
      <c r="B507" s="1">
        <v>27.7</v>
      </c>
    </row>
    <row r="508" spans="1:2" x14ac:dyDescent="0.3">
      <c r="A508" s="3">
        <v>45546.446875000001</v>
      </c>
      <c r="B508" s="1">
        <v>27.7</v>
      </c>
    </row>
    <row r="509" spans="1:2" x14ac:dyDescent="0.3">
      <c r="A509" s="3">
        <v>45546.458333333336</v>
      </c>
      <c r="B509" s="1">
        <v>27.6</v>
      </c>
    </row>
    <row r="510" spans="1:2" x14ac:dyDescent="0.3">
      <c r="A510" s="3">
        <v>45546.479166666664</v>
      </c>
      <c r="B510" s="1">
        <v>26.6</v>
      </c>
    </row>
    <row r="511" spans="1:2" x14ac:dyDescent="0.3">
      <c r="A511" s="3">
        <v>45546.5</v>
      </c>
      <c r="B511" s="1">
        <v>26.5</v>
      </c>
    </row>
    <row r="512" spans="1:2" x14ac:dyDescent="0.3">
      <c r="A512" s="3">
        <v>45546.520833333336</v>
      </c>
      <c r="B512" s="1">
        <v>26.8</v>
      </c>
    </row>
    <row r="513" spans="1:2" x14ac:dyDescent="0.3">
      <c r="A513" s="3">
        <v>45546.541666666664</v>
      </c>
      <c r="B513" s="1">
        <v>25.3</v>
      </c>
    </row>
    <row r="514" spans="1:2" x14ac:dyDescent="0.3">
      <c r="A514" s="3">
        <v>45546.5625</v>
      </c>
      <c r="B514" s="1">
        <v>26.5</v>
      </c>
    </row>
    <row r="515" spans="1:2" x14ac:dyDescent="0.3">
      <c r="A515" s="3">
        <v>45546.583333333336</v>
      </c>
      <c r="B515" s="1">
        <v>27.7</v>
      </c>
    </row>
    <row r="516" spans="1:2" x14ac:dyDescent="0.3">
      <c r="A516" s="3">
        <v>45546.604166666664</v>
      </c>
      <c r="B516" s="1">
        <v>28.1</v>
      </c>
    </row>
    <row r="517" spans="1:2" x14ac:dyDescent="0.3">
      <c r="A517" s="3">
        <v>45546.625</v>
      </c>
      <c r="B517" s="1">
        <v>27.8</v>
      </c>
    </row>
    <row r="518" spans="1:2" x14ac:dyDescent="0.3">
      <c r="A518" s="3">
        <v>45546.645833333336</v>
      </c>
      <c r="B518" s="1">
        <v>27.4</v>
      </c>
    </row>
    <row r="519" spans="1:2" x14ac:dyDescent="0.3">
      <c r="A519" s="3">
        <v>45546.666666666664</v>
      </c>
      <c r="B519" s="1">
        <v>27.2</v>
      </c>
    </row>
    <row r="520" spans="1:2" x14ac:dyDescent="0.3">
      <c r="A520" s="3">
        <v>45546.6875</v>
      </c>
      <c r="B520" s="1">
        <v>26.6</v>
      </c>
    </row>
    <row r="521" spans="1:2" x14ac:dyDescent="0.3">
      <c r="A521" s="3">
        <v>45546.708333333336</v>
      </c>
      <c r="B521" s="1">
        <v>26.3</v>
      </c>
    </row>
    <row r="522" spans="1:2" x14ac:dyDescent="0.3">
      <c r="A522" s="3">
        <v>45546.729166666664</v>
      </c>
      <c r="B522" s="1">
        <v>24.9</v>
      </c>
    </row>
    <row r="523" spans="1:2" x14ac:dyDescent="0.3">
      <c r="A523" s="3">
        <v>45546.75</v>
      </c>
      <c r="B523" s="1">
        <v>24.8</v>
      </c>
    </row>
    <row r="524" spans="1:2" x14ac:dyDescent="0.3">
      <c r="A524" s="3">
        <v>45546.770833333336</v>
      </c>
      <c r="B524" s="1">
        <v>24.7</v>
      </c>
    </row>
    <row r="525" spans="1:2" x14ac:dyDescent="0.3">
      <c r="A525" s="3">
        <v>45546.791666666664</v>
      </c>
      <c r="B525" s="1">
        <v>24.6</v>
      </c>
    </row>
    <row r="526" spans="1:2" x14ac:dyDescent="0.3">
      <c r="A526" s="3">
        <v>45546.8125</v>
      </c>
      <c r="B526" s="1">
        <v>24.6</v>
      </c>
    </row>
    <row r="527" spans="1:2" x14ac:dyDescent="0.3">
      <c r="A527" s="3">
        <v>45546.833333333336</v>
      </c>
      <c r="B527" s="1">
        <v>24.4</v>
      </c>
    </row>
    <row r="528" spans="1:2" x14ac:dyDescent="0.3">
      <c r="A528" s="3">
        <v>45546.854166666664</v>
      </c>
      <c r="B528" s="1">
        <v>24</v>
      </c>
    </row>
    <row r="529" spans="1:2" x14ac:dyDescent="0.3">
      <c r="A529" s="3">
        <v>45546.875</v>
      </c>
      <c r="B529" s="1">
        <v>23.7</v>
      </c>
    </row>
    <row r="530" spans="1:2" x14ac:dyDescent="0.3">
      <c r="A530" s="3">
        <v>45546.895833333336</v>
      </c>
      <c r="B530" s="1">
        <v>23.1</v>
      </c>
    </row>
    <row r="531" spans="1:2" x14ac:dyDescent="0.3">
      <c r="A531" s="3">
        <v>45546.916666666664</v>
      </c>
      <c r="B531" s="1">
        <v>23.1</v>
      </c>
    </row>
    <row r="532" spans="1:2" x14ac:dyDescent="0.3">
      <c r="A532" s="3">
        <v>45546.9375</v>
      </c>
      <c r="B532" s="1">
        <v>22.9</v>
      </c>
    </row>
    <row r="533" spans="1:2" x14ac:dyDescent="0.3">
      <c r="A533" s="3">
        <v>45546.958333333336</v>
      </c>
      <c r="B533" s="1">
        <v>22.7</v>
      </c>
    </row>
    <row r="534" spans="1:2" x14ac:dyDescent="0.3">
      <c r="A534" s="3">
        <v>45546.979166666664</v>
      </c>
      <c r="B534" s="1">
        <v>22.8</v>
      </c>
    </row>
    <row r="535" spans="1:2" x14ac:dyDescent="0.3">
      <c r="A535" s="3">
        <v>45547</v>
      </c>
      <c r="B535" s="1">
        <v>22.9</v>
      </c>
    </row>
    <row r="536" spans="1:2" x14ac:dyDescent="0.3">
      <c r="A536" s="3">
        <v>45547.020833333336</v>
      </c>
      <c r="B536" s="1">
        <v>22.8</v>
      </c>
    </row>
    <row r="537" spans="1:2" x14ac:dyDescent="0.3">
      <c r="A537" s="3">
        <v>45547.041666666664</v>
      </c>
      <c r="B537" s="1">
        <v>22.6</v>
      </c>
    </row>
    <row r="538" spans="1:2" x14ac:dyDescent="0.3">
      <c r="A538" s="3">
        <v>45547.0625</v>
      </c>
      <c r="B538" s="1">
        <v>22.7</v>
      </c>
    </row>
    <row r="539" spans="1:2" x14ac:dyDescent="0.3">
      <c r="A539" s="3">
        <v>45547.083333333336</v>
      </c>
      <c r="B539" s="1">
        <v>22.7</v>
      </c>
    </row>
    <row r="540" spans="1:2" x14ac:dyDescent="0.3">
      <c r="A540" s="3">
        <v>45547.104166666664</v>
      </c>
      <c r="B540" s="1">
        <v>22.9</v>
      </c>
    </row>
    <row r="541" spans="1:2" x14ac:dyDescent="0.3">
      <c r="A541" s="3">
        <v>45547.125</v>
      </c>
      <c r="B541" s="1">
        <v>22.9</v>
      </c>
    </row>
    <row r="542" spans="1:2" x14ac:dyDescent="0.3">
      <c r="A542" s="3">
        <v>45547.145833333336</v>
      </c>
      <c r="B542" s="1">
        <v>22.9</v>
      </c>
    </row>
    <row r="543" spans="1:2" x14ac:dyDescent="0.3">
      <c r="A543" s="3">
        <v>45547.166666666664</v>
      </c>
      <c r="B543" s="1">
        <v>22.7</v>
      </c>
    </row>
    <row r="544" spans="1:2" x14ac:dyDescent="0.3">
      <c r="A544" s="3">
        <v>45547.1875</v>
      </c>
      <c r="B544" s="1">
        <v>22.5</v>
      </c>
    </row>
    <row r="545" spans="1:2" x14ac:dyDescent="0.3">
      <c r="A545" s="3">
        <v>45547.208333333336</v>
      </c>
      <c r="B545" s="1">
        <v>22.3</v>
      </c>
    </row>
    <row r="546" spans="1:2" x14ac:dyDescent="0.3">
      <c r="A546" s="3">
        <v>45547.229166666664</v>
      </c>
      <c r="B546" s="1">
        <v>22.5</v>
      </c>
    </row>
    <row r="547" spans="1:2" x14ac:dyDescent="0.3">
      <c r="A547" s="3">
        <v>45547.25</v>
      </c>
      <c r="B547" s="1">
        <v>22.7</v>
      </c>
    </row>
    <row r="548" spans="1:2" x14ac:dyDescent="0.3">
      <c r="A548" s="3">
        <v>45547.270833333336</v>
      </c>
      <c r="B548" s="1">
        <v>23.1</v>
      </c>
    </row>
    <row r="549" spans="1:2" x14ac:dyDescent="0.3">
      <c r="A549" s="3">
        <v>45547.291666666664</v>
      </c>
      <c r="B549" s="1">
        <v>23.5</v>
      </c>
    </row>
    <row r="550" spans="1:2" x14ac:dyDescent="0.3">
      <c r="A550" s="3">
        <v>45547.3125</v>
      </c>
      <c r="B550" s="1">
        <v>24.1</v>
      </c>
    </row>
    <row r="551" spans="1:2" x14ac:dyDescent="0.3">
      <c r="A551" s="3">
        <v>45547.333333333336</v>
      </c>
      <c r="B551" s="1">
        <v>24.3</v>
      </c>
    </row>
    <row r="552" spans="1:2" x14ac:dyDescent="0.3">
      <c r="A552" s="3">
        <v>45547.354166666664</v>
      </c>
      <c r="B552" s="1">
        <v>24.9</v>
      </c>
    </row>
    <row r="553" spans="1:2" x14ac:dyDescent="0.3">
      <c r="A553" s="3">
        <v>45547.375</v>
      </c>
      <c r="B553" s="1">
        <v>25.3</v>
      </c>
    </row>
    <row r="554" spans="1:2" x14ac:dyDescent="0.3">
      <c r="A554" s="3">
        <v>45547.395833333336</v>
      </c>
      <c r="B554" s="1">
        <v>26</v>
      </c>
    </row>
    <row r="555" spans="1:2" x14ac:dyDescent="0.3">
      <c r="A555" s="3">
        <v>45547.416666666664</v>
      </c>
      <c r="B555" s="1">
        <v>26</v>
      </c>
    </row>
    <row r="556" spans="1:2" x14ac:dyDescent="0.3">
      <c r="A556" s="3">
        <v>45547.4375</v>
      </c>
      <c r="B556" s="1">
        <v>26.1</v>
      </c>
    </row>
    <row r="557" spans="1:2" x14ac:dyDescent="0.3">
      <c r="A557" s="3">
        <v>45547.458333333336</v>
      </c>
      <c r="B557" s="1">
        <v>26.2</v>
      </c>
    </row>
    <row r="558" spans="1:2" x14ac:dyDescent="0.3">
      <c r="A558" s="3">
        <v>45547.479166666664</v>
      </c>
      <c r="B558" s="1">
        <v>26.4</v>
      </c>
    </row>
    <row r="559" spans="1:2" x14ac:dyDescent="0.3">
      <c r="A559" s="3">
        <v>45547.5</v>
      </c>
      <c r="B559" s="1">
        <v>26.5</v>
      </c>
    </row>
    <row r="560" spans="1:2" x14ac:dyDescent="0.3">
      <c r="A560" s="3">
        <v>45547.520833333336</v>
      </c>
      <c r="B560" s="1">
        <v>26.5</v>
      </c>
    </row>
    <row r="561" spans="1:2" x14ac:dyDescent="0.3">
      <c r="A561" s="3">
        <v>45547.541666666664</v>
      </c>
      <c r="B561" s="1">
        <v>26.7</v>
      </c>
    </row>
    <row r="562" spans="1:2" x14ac:dyDescent="0.3">
      <c r="A562" s="3">
        <v>45547.5625</v>
      </c>
      <c r="B562" s="1">
        <v>25.2</v>
      </c>
    </row>
    <row r="563" spans="1:2" x14ac:dyDescent="0.3">
      <c r="A563" s="3">
        <v>45547.583333333336</v>
      </c>
      <c r="B563" s="1">
        <v>25</v>
      </c>
    </row>
    <row r="564" spans="1:2" x14ac:dyDescent="0.3">
      <c r="A564" s="3">
        <v>45547.604166666664</v>
      </c>
      <c r="B564" s="1">
        <v>24.3</v>
      </c>
    </row>
    <row r="565" spans="1:2" x14ac:dyDescent="0.3">
      <c r="A565" s="3">
        <v>45547.625</v>
      </c>
      <c r="B565" s="1">
        <v>23.8</v>
      </c>
    </row>
    <row r="566" spans="1:2" x14ac:dyDescent="0.3">
      <c r="A566" s="3">
        <v>45547.645833333336</v>
      </c>
      <c r="B566" s="1">
        <v>23</v>
      </c>
    </row>
    <row r="567" spans="1:2" x14ac:dyDescent="0.3">
      <c r="A567" s="3">
        <v>45547.666666666664</v>
      </c>
      <c r="B567" s="1">
        <v>22.5</v>
      </c>
    </row>
    <row r="568" spans="1:2" x14ac:dyDescent="0.3">
      <c r="A568" s="3">
        <v>45547.6875</v>
      </c>
      <c r="B568" s="1">
        <v>22.9</v>
      </c>
    </row>
    <row r="569" spans="1:2" x14ac:dyDescent="0.3">
      <c r="A569" s="3">
        <v>45547.708333333336</v>
      </c>
      <c r="B569" s="1">
        <v>21.8</v>
      </c>
    </row>
    <row r="570" spans="1:2" x14ac:dyDescent="0.3">
      <c r="A570" s="3">
        <v>45547.729166666664</v>
      </c>
      <c r="B570" s="1">
        <v>21.7</v>
      </c>
    </row>
    <row r="571" spans="1:2" x14ac:dyDescent="0.3">
      <c r="A571" s="3">
        <v>45547.75</v>
      </c>
      <c r="B571" s="1">
        <v>21.9</v>
      </c>
    </row>
    <row r="572" spans="1:2" x14ac:dyDescent="0.3">
      <c r="A572" s="3">
        <v>45547.770833333336</v>
      </c>
      <c r="B572" s="1">
        <v>21.4</v>
      </c>
    </row>
    <row r="573" spans="1:2" x14ac:dyDescent="0.3">
      <c r="A573" s="3">
        <v>45547.791666666664</v>
      </c>
      <c r="B573" s="1">
        <v>20.9</v>
      </c>
    </row>
    <row r="574" spans="1:2" x14ac:dyDescent="0.3">
      <c r="A574" s="3">
        <v>45547.8125</v>
      </c>
      <c r="B574" s="1">
        <v>21.3</v>
      </c>
    </row>
    <row r="575" spans="1:2" x14ac:dyDescent="0.3">
      <c r="A575" s="3">
        <v>45547.833333333336</v>
      </c>
      <c r="B575" s="1">
        <v>20.100000000000001</v>
      </c>
    </row>
    <row r="576" spans="1:2" x14ac:dyDescent="0.3">
      <c r="A576" s="3">
        <v>45547.854166666664</v>
      </c>
      <c r="B576" s="1">
        <v>20.5</v>
      </c>
    </row>
    <row r="577" spans="1:2" x14ac:dyDescent="0.3">
      <c r="A577" s="3">
        <v>45547.875</v>
      </c>
      <c r="B577" s="1">
        <v>20.6</v>
      </c>
    </row>
    <row r="578" spans="1:2" x14ac:dyDescent="0.3">
      <c r="A578" s="3">
        <v>45547.895833333336</v>
      </c>
      <c r="B578" s="1">
        <v>20.6</v>
      </c>
    </row>
    <row r="579" spans="1:2" x14ac:dyDescent="0.3">
      <c r="A579" s="3">
        <v>45547.916666666664</v>
      </c>
      <c r="B579" s="1">
        <v>20.5</v>
      </c>
    </row>
    <row r="580" spans="1:2" x14ac:dyDescent="0.3">
      <c r="A580" s="3">
        <v>45547.9375</v>
      </c>
      <c r="B580" s="1">
        <v>20.5</v>
      </c>
    </row>
    <row r="581" spans="1:2" x14ac:dyDescent="0.3">
      <c r="A581" s="3">
        <v>45547.958333333336</v>
      </c>
      <c r="B581" s="1">
        <v>20.6</v>
      </c>
    </row>
    <row r="582" spans="1:2" x14ac:dyDescent="0.3">
      <c r="A582" s="3">
        <v>45547.979166666664</v>
      </c>
      <c r="B582" s="1">
        <v>20.6</v>
      </c>
    </row>
    <row r="583" spans="1:2" x14ac:dyDescent="0.3">
      <c r="A583" s="3">
        <v>45548</v>
      </c>
      <c r="B583" s="1">
        <v>20.6</v>
      </c>
    </row>
    <row r="584" spans="1:2" x14ac:dyDescent="0.3">
      <c r="A584" s="3">
        <v>45548.020833333336</v>
      </c>
      <c r="B584" s="1">
        <v>20.8</v>
      </c>
    </row>
    <row r="585" spans="1:2" x14ac:dyDescent="0.3">
      <c r="A585" s="3">
        <v>45548.041666666664</v>
      </c>
      <c r="B585" s="1">
        <v>20.7</v>
      </c>
    </row>
    <row r="586" spans="1:2" x14ac:dyDescent="0.3">
      <c r="A586" s="3">
        <v>45548.0625</v>
      </c>
      <c r="B586" s="1">
        <v>20.7</v>
      </c>
    </row>
    <row r="587" spans="1:2" x14ac:dyDescent="0.3">
      <c r="A587" s="3">
        <v>45548.083333333336</v>
      </c>
      <c r="B587" s="1">
        <v>20.7</v>
      </c>
    </row>
    <row r="588" spans="1:2" x14ac:dyDescent="0.3">
      <c r="A588" s="3">
        <v>45548.104166666664</v>
      </c>
      <c r="B588" s="1">
        <v>20.2</v>
      </c>
    </row>
    <row r="589" spans="1:2" x14ac:dyDescent="0.3">
      <c r="A589" s="3">
        <v>45548.125</v>
      </c>
      <c r="B589" s="1">
        <v>19.899999999999999</v>
      </c>
    </row>
    <row r="590" spans="1:2" x14ac:dyDescent="0.3">
      <c r="A590" s="3">
        <v>45548.145833333336</v>
      </c>
      <c r="B590" s="1">
        <v>19.399999999999999</v>
      </c>
    </row>
    <row r="591" spans="1:2" x14ac:dyDescent="0.3">
      <c r="A591" s="3">
        <v>45548.166666666664</v>
      </c>
      <c r="B591" s="1">
        <v>19.2</v>
      </c>
    </row>
    <row r="592" spans="1:2" x14ac:dyDescent="0.3">
      <c r="A592" s="3">
        <v>45548.1875</v>
      </c>
      <c r="B592" s="1">
        <v>19</v>
      </c>
    </row>
    <row r="593" spans="1:2" x14ac:dyDescent="0.3">
      <c r="A593" s="3">
        <v>45548.208333333336</v>
      </c>
      <c r="B593" s="1">
        <v>19.2</v>
      </c>
    </row>
    <row r="594" spans="1:2" x14ac:dyDescent="0.3">
      <c r="A594" s="3">
        <v>45548.229166666664</v>
      </c>
      <c r="B594" s="1">
        <v>19.7</v>
      </c>
    </row>
    <row r="595" spans="1:2" x14ac:dyDescent="0.3">
      <c r="A595" s="3">
        <v>45548.25</v>
      </c>
      <c r="B595" s="1">
        <v>16.899999999999999</v>
      </c>
    </row>
    <row r="596" spans="1:2" x14ac:dyDescent="0.3">
      <c r="A596" s="3">
        <v>45548.270833333336</v>
      </c>
      <c r="B596" s="1">
        <v>17.100000000000001</v>
      </c>
    </row>
    <row r="597" spans="1:2" x14ac:dyDescent="0.3">
      <c r="A597" s="3">
        <v>45548.291666666664</v>
      </c>
      <c r="B597" s="1">
        <v>18</v>
      </c>
    </row>
    <row r="598" spans="1:2" x14ac:dyDescent="0.3">
      <c r="A598" s="3">
        <v>45548.3125</v>
      </c>
      <c r="B598" s="1">
        <v>19</v>
      </c>
    </row>
    <row r="599" spans="1:2" x14ac:dyDescent="0.3">
      <c r="A599" s="3">
        <v>45548.333333333336</v>
      </c>
      <c r="B599" s="1">
        <v>19.5</v>
      </c>
    </row>
    <row r="600" spans="1:2" x14ac:dyDescent="0.3">
      <c r="A600" s="3">
        <v>45548.354166666664</v>
      </c>
      <c r="B600" s="1">
        <v>20</v>
      </c>
    </row>
    <row r="601" spans="1:2" x14ac:dyDescent="0.3">
      <c r="A601" s="3">
        <v>45548.375</v>
      </c>
      <c r="B601" s="1">
        <v>19.399999999999999</v>
      </c>
    </row>
    <row r="602" spans="1:2" x14ac:dyDescent="0.3">
      <c r="A602" s="3">
        <v>45548.395833333336</v>
      </c>
      <c r="B602" s="1">
        <v>20.5</v>
      </c>
    </row>
    <row r="603" spans="1:2" x14ac:dyDescent="0.3">
      <c r="A603" s="3">
        <v>45548.416666666664</v>
      </c>
      <c r="B603" s="1">
        <v>21.2</v>
      </c>
    </row>
    <row r="604" spans="1:2" x14ac:dyDescent="0.3">
      <c r="A604" s="3">
        <v>45548.4375</v>
      </c>
      <c r="B604" s="1">
        <v>19.3</v>
      </c>
    </row>
    <row r="605" spans="1:2" x14ac:dyDescent="0.3">
      <c r="A605" s="3">
        <v>45548.458333333336</v>
      </c>
      <c r="B605" s="1">
        <v>16.5</v>
      </c>
    </row>
    <row r="606" spans="1:2" x14ac:dyDescent="0.3">
      <c r="A606" s="3">
        <v>45548.479166666664</v>
      </c>
      <c r="B606" s="1">
        <v>17.7</v>
      </c>
    </row>
    <row r="607" spans="1:2" x14ac:dyDescent="0.3">
      <c r="A607" s="3">
        <v>45548.5</v>
      </c>
      <c r="B607" s="1">
        <v>18.600000000000001</v>
      </c>
    </row>
    <row r="608" spans="1:2" x14ac:dyDescent="0.3">
      <c r="A608" s="3">
        <v>45548.520833333336</v>
      </c>
      <c r="B608" s="1">
        <v>19.600000000000001</v>
      </c>
    </row>
    <row r="609" spans="1:2" x14ac:dyDescent="0.3">
      <c r="A609" s="3">
        <v>45548.541666666664</v>
      </c>
      <c r="B609" s="1">
        <v>17.600000000000001</v>
      </c>
    </row>
    <row r="610" spans="1:2" x14ac:dyDescent="0.3">
      <c r="A610" s="3">
        <v>45548.5625</v>
      </c>
      <c r="B610" s="1">
        <v>17.8</v>
      </c>
    </row>
    <row r="611" spans="1:2" x14ac:dyDescent="0.3">
      <c r="A611" s="3">
        <v>45548.583333333336</v>
      </c>
      <c r="B611" s="1">
        <v>17.100000000000001</v>
      </c>
    </row>
    <row r="612" spans="1:2" x14ac:dyDescent="0.3">
      <c r="A612" s="3">
        <v>45548.604166666664</v>
      </c>
      <c r="B612" s="1">
        <v>17.5</v>
      </c>
    </row>
    <row r="613" spans="1:2" x14ac:dyDescent="0.3">
      <c r="A613" s="3">
        <v>45548.625</v>
      </c>
      <c r="B613" s="1">
        <v>17.899999999999999</v>
      </c>
    </row>
    <row r="614" spans="1:2" x14ac:dyDescent="0.3">
      <c r="A614" s="3">
        <v>45548.645833333336</v>
      </c>
      <c r="B614" s="1">
        <v>17.3</v>
      </c>
    </row>
    <row r="615" spans="1:2" x14ac:dyDescent="0.3">
      <c r="A615" s="3">
        <v>45548.666666666664</v>
      </c>
      <c r="B615" s="1">
        <v>16.399999999999999</v>
      </c>
    </row>
    <row r="616" spans="1:2" x14ac:dyDescent="0.3">
      <c r="A616" s="3">
        <v>45548.6875</v>
      </c>
      <c r="B616" s="1">
        <v>16.2</v>
      </c>
    </row>
    <row r="617" spans="1:2" x14ac:dyDescent="0.3">
      <c r="A617" s="3">
        <v>45548.708333333336</v>
      </c>
      <c r="B617" s="1">
        <v>15.9</v>
      </c>
    </row>
    <row r="618" spans="1:2" x14ac:dyDescent="0.3">
      <c r="A618" s="3">
        <v>45548.729166666664</v>
      </c>
      <c r="B618" s="1">
        <v>15.4</v>
      </c>
    </row>
    <row r="619" spans="1:2" x14ac:dyDescent="0.3">
      <c r="A619" s="3">
        <v>45548.75</v>
      </c>
      <c r="B619" s="1">
        <v>14.9</v>
      </c>
    </row>
    <row r="620" spans="1:2" x14ac:dyDescent="0.3">
      <c r="A620" s="3">
        <v>45548.770833333336</v>
      </c>
      <c r="B620" s="1">
        <v>14.7</v>
      </c>
    </row>
    <row r="621" spans="1:2" x14ac:dyDescent="0.3">
      <c r="A621" s="3">
        <v>45548.791666666664</v>
      </c>
      <c r="B621" s="1">
        <v>14.7</v>
      </c>
    </row>
    <row r="622" spans="1:2" x14ac:dyDescent="0.3">
      <c r="A622" s="3">
        <v>45548.8125</v>
      </c>
      <c r="B622" s="1">
        <v>14.9</v>
      </c>
    </row>
    <row r="623" spans="1:2" x14ac:dyDescent="0.3">
      <c r="A623" s="3">
        <v>45548.833333333336</v>
      </c>
      <c r="B623" s="1">
        <v>14.7</v>
      </c>
    </row>
    <row r="624" spans="1:2" x14ac:dyDescent="0.3">
      <c r="A624" s="3">
        <v>45548.854166666664</v>
      </c>
      <c r="B624" s="1">
        <v>14.5</v>
      </c>
    </row>
    <row r="625" spans="1:2" x14ac:dyDescent="0.3">
      <c r="A625" s="3">
        <v>45548.875</v>
      </c>
      <c r="B625" s="1">
        <v>14.5</v>
      </c>
    </row>
    <row r="626" spans="1:2" x14ac:dyDescent="0.3">
      <c r="A626" s="3">
        <v>45548.895833333336</v>
      </c>
      <c r="B626" s="1">
        <v>14</v>
      </c>
    </row>
    <row r="627" spans="1:2" x14ac:dyDescent="0.3">
      <c r="A627" s="3">
        <v>45548.916666666664</v>
      </c>
      <c r="B627" s="1">
        <v>13.9</v>
      </c>
    </row>
    <row r="628" spans="1:2" x14ac:dyDescent="0.3">
      <c r="A628" s="3">
        <v>45548.9375</v>
      </c>
      <c r="B628" s="1">
        <v>13.6</v>
      </c>
    </row>
    <row r="629" spans="1:2" x14ac:dyDescent="0.3">
      <c r="A629" s="3">
        <v>45548.958333333336</v>
      </c>
      <c r="B629" s="1">
        <v>13.4</v>
      </c>
    </row>
    <row r="630" spans="1:2" x14ac:dyDescent="0.3">
      <c r="A630" s="3">
        <v>45548.979166666664</v>
      </c>
      <c r="B630" s="1">
        <v>13.4</v>
      </c>
    </row>
    <row r="631" spans="1:2" x14ac:dyDescent="0.3">
      <c r="A631" s="3">
        <v>45549</v>
      </c>
      <c r="B631" s="1">
        <v>13.4</v>
      </c>
    </row>
    <row r="632" spans="1:2" x14ac:dyDescent="0.3">
      <c r="A632" s="3">
        <v>45549.020833333336</v>
      </c>
      <c r="B632" s="1">
        <v>13.4</v>
      </c>
    </row>
    <row r="633" spans="1:2" x14ac:dyDescent="0.3">
      <c r="A633" s="3">
        <v>45549.041666666664</v>
      </c>
      <c r="B633" s="1">
        <v>13.3</v>
      </c>
    </row>
    <row r="634" spans="1:2" x14ac:dyDescent="0.3">
      <c r="A634" s="3">
        <v>45549.0625</v>
      </c>
      <c r="B634" s="1">
        <v>13.9</v>
      </c>
    </row>
    <row r="635" spans="1:2" x14ac:dyDescent="0.3">
      <c r="A635" s="3">
        <v>45549.083333333336</v>
      </c>
      <c r="B635" s="1">
        <v>13.7</v>
      </c>
    </row>
    <row r="636" spans="1:2" x14ac:dyDescent="0.3">
      <c r="A636" s="3">
        <v>45549.104166666664</v>
      </c>
      <c r="B636" s="1">
        <v>13</v>
      </c>
    </row>
    <row r="637" spans="1:2" x14ac:dyDescent="0.3">
      <c r="A637" s="3">
        <v>45549.125</v>
      </c>
      <c r="B637" s="1">
        <v>13.4</v>
      </c>
    </row>
    <row r="638" spans="1:2" x14ac:dyDescent="0.3">
      <c r="A638" s="3">
        <v>45549.145833333336</v>
      </c>
      <c r="B638" s="1">
        <v>13.8</v>
      </c>
    </row>
    <row r="639" spans="1:2" x14ac:dyDescent="0.3">
      <c r="A639" s="3">
        <v>45549.166666666664</v>
      </c>
      <c r="B639" s="1">
        <v>13.6</v>
      </c>
    </row>
    <row r="640" spans="1:2" x14ac:dyDescent="0.3">
      <c r="A640" s="3">
        <v>45549.1875</v>
      </c>
      <c r="B640" s="1">
        <v>13.1</v>
      </c>
    </row>
    <row r="641" spans="1:2" x14ac:dyDescent="0.3">
      <c r="A641" s="3">
        <v>45549.208333333336</v>
      </c>
      <c r="B641" s="1">
        <v>12.2</v>
      </c>
    </row>
    <row r="642" spans="1:2" x14ac:dyDescent="0.3">
      <c r="A642" s="3">
        <v>45549.229166666664</v>
      </c>
      <c r="B642" s="1">
        <v>12.5</v>
      </c>
    </row>
    <row r="643" spans="1:2" x14ac:dyDescent="0.3">
      <c r="A643" s="3">
        <v>45549.25</v>
      </c>
      <c r="B643" s="1">
        <v>12.8</v>
      </c>
    </row>
    <row r="644" spans="1:2" x14ac:dyDescent="0.3">
      <c r="A644" s="3">
        <v>45549.270833333336</v>
      </c>
      <c r="B644" s="1">
        <v>13.1</v>
      </c>
    </row>
    <row r="645" spans="1:2" x14ac:dyDescent="0.3">
      <c r="A645" s="3">
        <v>45549.291666666664</v>
      </c>
      <c r="B645" s="1">
        <v>13.8</v>
      </c>
    </row>
    <row r="646" spans="1:2" x14ac:dyDescent="0.3">
      <c r="A646" s="3">
        <v>45549.3125</v>
      </c>
      <c r="B646" s="1">
        <v>14.7</v>
      </c>
    </row>
    <row r="647" spans="1:2" x14ac:dyDescent="0.3">
      <c r="A647" s="3">
        <v>45549.333333333336</v>
      </c>
      <c r="B647" s="1">
        <v>15.5</v>
      </c>
    </row>
    <row r="648" spans="1:2" x14ac:dyDescent="0.3">
      <c r="A648" s="3">
        <v>45549.354166666664</v>
      </c>
      <c r="B648" s="1">
        <v>16.399999999999999</v>
      </c>
    </row>
    <row r="649" spans="1:2" x14ac:dyDescent="0.3">
      <c r="A649" s="3">
        <v>45549.375</v>
      </c>
      <c r="B649" s="1">
        <v>17</v>
      </c>
    </row>
    <row r="650" spans="1:2" x14ac:dyDescent="0.3">
      <c r="A650" s="3">
        <v>45549.395833333336</v>
      </c>
      <c r="B650" s="1">
        <v>17.899999999999999</v>
      </c>
    </row>
    <row r="651" spans="1:2" x14ac:dyDescent="0.3">
      <c r="A651" s="3">
        <v>45549.416666666664</v>
      </c>
      <c r="B651" s="1">
        <v>18.600000000000001</v>
      </c>
    </row>
    <row r="652" spans="1:2" x14ac:dyDescent="0.3">
      <c r="A652" s="3">
        <v>45549.4375</v>
      </c>
      <c r="B652" s="1">
        <v>19.3</v>
      </c>
    </row>
    <row r="653" spans="1:2" x14ac:dyDescent="0.3">
      <c r="A653" s="3">
        <v>45549.458333333336</v>
      </c>
      <c r="B653" s="1">
        <v>19.899999999999999</v>
      </c>
    </row>
    <row r="654" spans="1:2" x14ac:dyDescent="0.3">
      <c r="A654" s="3">
        <v>45549.479166666664</v>
      </c>
      <c r="B654" s="1">
        <v>20.5</v>
      </c>
    </row>
    <row r="655" spans="1:2" x14ac:dyDescent="0.3">
      <c r="A655" s="3">
        <v>45549.5</v>
      </c>
      <c r="B655" s="1">
        <v>21.1</v>
      </c>
    </row>
    <row r="656" spans="1:2" x14ac:dyDescent="0.3">
      <c r="A656" s="3">
        <v>45549.520833333336</v>
      </c>
      <c r="B656" s="1">
        <v>21.5</v>
      </c>
    </row>
    <row r="657" spans="1:2" x14ac:dyDescent="0.3">
      <c r="A657" s="3">
        <v>45549.541666666664</v>
      </c>
      <c r="B657" s="1">
        <v>21.6</v>
      </c>
    </row>
    <row r="658" spans="1:2" x14ac:dyDescent="0.3">
      <c r="A658" s="3">
        <v>45549.5625</v>
      </c>
      <c r="B658" s="1">
        <v>21.6</v>
      </c>
    </row>
    <row r="659" spans="1:2" x14ac:dyDescent="0.3">
      <c r="A659" s="3">
        <v>45549.583333333336</v>
      </c>
      <c r="B659" s="1">
        <v>22</v>
      </c>
    </row>
    <row r="660" spans="1:2" x14ac:dyDescent="0.3">
      <c r="A660" s="3">
        <v>45549.604166666664</v>
      </c>
      <c r="B660" s="1">
        <v>22</v>
      </c>
    </row>
    <row r="661" spans="1:2" x14ac:dyDescent="0.3">
      <c r="A661" s="3">
        <v>45549.625</v>
      </c>
      <c r="B661" s="1">
        <v>21.8</v>
      </c>
    </row>
    <row r="662" spans="1:2" x14ac:dyDescent="0.3">
      <c r="A662" s="3">
        <v>45549.645833333336</v>
      </c>
      <c r="B662" s="1">
        <v>22.1</v>
      </c>
    </row>
    <row r="663" spans="1:2" x14ac:dyDescent="0.3">
      <c r="A663" s="3">
        <v>45549.666666666664</v>
      </c>
      <c r="B663" s="1">
        <v>21.8</v>
      </c>
    </row>
    <row r="664" spans="1:2" x14ac:dyDescent="0.3">
      <c r="A664" s="3">
        <v>45549.6875</v>
      </c>
      <c r="B664" s="1">
        <v>22</v>
      </c>
    </row>
    <row r="665" spans="1:2" x14ac:dyDescent="0.3">
      <c r="A665" s="3">
        <v>45549.708333333336</v>
      </c>
      <c r="B665" s="1">
        <v>22.1</v>
      </c>
    </row>
    <row r="666" spans="1:2" x14ac:dyDescent="0.3">
      <c r="A666" s="3">
        <v>45549.729166666664</v>
      </c>
      <c r="B666" s="1">
        <v>21.6</v>
      </c>
    </row>
    <row r="667" spans="1:2" x14ac:dyDescent="0.3">
      <c r="A667" s="3">
        <v>45549.75</v>
      </c>
      <c r="B667" s="1">
        <v>21.3</v>
      </c>
    </row>
    <row r="668" spans="1:2" x14ac:dyDescent="0.3">
      <c r="A668" s="3">
        <v>45549.770833333336</v>
      </c>
      <c r="B668" s="1">
        <v>20.9</v>
      </c>
    </row>
    <row r="669" spans="1:2" x14ac:dyDescent="0.3">
      <c r="A669" s="3">
        <v>45549.791666666664</v>
      </c>
      <c r="B669" s="1">
        <v>20.6</v>
      </c>
    </row>
    <row r="670" spans="1:2" x14ac:dyDescent="0.3">
      <c r="A670" s="3">
        <v>45549.8125</v>
      </c>
      <c r="B670" s="1">
        <v>20.3</v>
      </c>
    </row>
    <row r="671" spans="1:2" x14ac:dyDescent="0.3">
      <c r="A671" s="3">
        <v>45549.833333333336</v>
      </c>
      <c r="B671" s="1">
        <v>19.8</v>
      </c>
    </row>
    <row r="672" spans="1:2" x14ac:dyDescent="0.3">
      <c r="A672" s="3">
        <v>45549.854166666664</v>
      </c>
      <c r="B672" s="1">
        <v>19.600000000000001</v>
      </c>
    </row>
    <row r="673" spans="1:2" x14ac:dyDescent="0.3">
      <c r="A673" s="3">
        <v>45549.875</v>
      </c>
      <c r="B673" s="1">
        <v>19.600000000000001</v>
      </c>
    </row>
    <row r="674" spans="1:2" x14ac:dyDescent="0.3">
      <c r="A674" s="3">
        <v>45549.895833333336</v>
      </c>
      <c r="B674" s="1">
        <v>18.600000000000001</v>
      </c>
    </row>
    <row r="675" spans="1:2" x14ac:dyDescent="0.3">
      <c r="A675" s="3">
        <v>45549.916666666664</v>
      </c>
      <c r="B675" s="1">
        <v>17.8</v>
      </c>
    </row>
    <row r="676" spans="1:2" x14ac:dyDescent="0.3">
      <c r="A676" s="3">
        <v>45549.9375</v>
      </c>
      <c r="B676" s="1">
        <v>17.7</v>
      </c>
    </row>
    <row r="677" spans="1:2" x14ac:dyDescent="0.3">
      <c r="A677" s="3">
        <v>45549.958333333336</v>
      </c>
      <c r="B677" s="1">
        <v>17.7</v>
      </c>
    </row>
    <row r="678" spans="1:2" x14ac:dyDescent="0.3">
      <c r="A678" s="3">
        <v>45549.979166666664</v>
      </c>
      <c r="B678" s="1">
        <v>17.5</v>
      </c>
    </row>
    <row r="679" spans="1:2" x14ac:dyDescent="0.3">
      <c r="A679" s="3">
        <v>45550</v>
      </c>
      <c r="B679" s="1">
        <v>17.3</v>
      </c>
    </row>
    <row r="680" spans="1:2" x14ac:dyDescent="0.3">
      <c r="A680" s="3">
        <v>45550.020833333336</v>
      </c>
      <c r="B680" s="1">
        <v>16.899999999999999</v>
      </c>
    </row>
    <row r="681" spans="1:2" x14ac:dyDescent="0.3">
      <c r="A681" s="3">
        <v>45550.041666666664</v>
      </c>
      <c r="B681" s="1">
        <v>16.899999999999999</v>
      </c>
    </row>
    <row r="682" spans="1:2" x14ac:dyDescent="0.3">
      <c r="A682" s="3">
        <v>45550.0625</v>
      </c>
      <c r="B682" s="1">
        <v>16.600000000000001</v>
      </c>
    </row>
    <row r="683" spans="1:2" x14ac:dyDescent="0.3">
      <c r="A683" s="3">
        <v>45550.083333333336</v>
      </c>
      <c r="B683" s="1">
        <v>15.8</v>
      </c>
    </row>
    <row r="684" spans="1:2" x14ac:dyDescent="0.3">
      <c r="A684" s="3">
        <v>45550.104166666664</v>
      </c>
      <c r="B684" s="1">
        <v>16.100000000000001</v>
      </c>
    </row>
    <row r="685" spans="1:2" x14ac:dyDescent="0.3">
      <c r="A685" s="3">
        <v>45550.125</v>
      </c>
      <c r="B685" s="1">
        <v>16.2</v>
      </c>
    </row>
    <row r="686" spans="1:2" x14ac:dyDescent="0.3">
      <c r="A686" s="3">
        <v>45550.145833333336</v>
      </c>
      <c r="B686" s="1">
        <v>16</v>
      </c>
    </row>
    <row r="687" spans="1:2" x14ac:dyDescent="0.3">
      <c r="A687" s="3">
        <v>45550.166666666664</v>
      </c>
      <c r="B687" s="1">
        <v>15.4</v>
      </c>
    </row>
    <row r="688" spans="1:2" x14ac:dyDescent="0.3">
      <c r="A688" s="3">
        <v>45550.1875</v>
      </c>
      <c r="B688" s="1">
        <v>15.4</v>
      </c>
    </row>
    <row r="689" spans="1:2" x14ac:dyDescent="0.3">
      <c r="A689" s="3">
        <v>45550.208333333336</v>
      </c>
      <c r="B689" s="1">
        <v>15</v>
      </c>
    </row>
    <row r="690" spans="1:2" x14ac:dyDescent="0.3">
      <c r="A690" s="3">
        <v>45550.229166666664</v>
      </c>
      <c r="B690" s="1">
        <v>15.2</v>
      </c>
    </row>
    <row r="691" spans="1:2" x14ac:dyDescent="0.3">
      <c r="A691" s="3">
        <v>45550.25</v>
      </c>
      <c r="B691" s="1">
        <v>15.5</v>
      </c>
    </row>
    <row r="692" spans="1:2" x14ac:dyDescent="0.3">
      <c r="A692" s="3">
        <v>45550.270833333336</v>
      </c>
      <c r="B692" s="1">
        <v>15.9</v>
      </c>
    </row>
    <row r="693" spans="1:2" x14ac:dyDescent="0.3">
      <c r="A693" s="3">
        <v>45550.291666666664</v>
      </c>
      <c r="B693" s="1">
        <v>16.5</v>
      </c>
    </row>
    <row r="694" spans="1:2" x14ac:dyDescent="0.3">
      <c r="A694" s="3">
        <v>45550.3125</v>
      </c>
      <c r="B694" s="1">
        <v>17.399999999999999</v>
      </c>
    </row>
    <row r="695" spans="1:2" x14ac:dyDescent="0.3">
      <c r="A695" s="3">
        <v>45550.333333333336</v>
      </c>
      <c r="B695" s="1">
        <v>18</v>
      </c>
    </row>
    <row r="696" spans="1:2" x14ac:dyDescent="0.3">
      <c r="A696" s="3">
        <v>45550.354166666664</v>
      </c>
      <c r="B696" s="1">
        <v>18.7</v>
      </c>
    </row>
    <row r="697" spans="1:2" x14ac:dyDescent="0.3">
      <c r="A697" s="3">
        <v>45550.375</v>
      </c>
      <c r="B697" s="1">
        <v>19.600000000000001</v>
      </c>
    </row>
    <row r="698" spans="1:2" x14ac:dyDescent="0.3">
      <c r="A698" s="3">
        <v>45550.395833333336</v>
      </c>
      <c r="B698" s="1">
        <v>20.3</v>
      </c>
    </row>
    <row r="699" spans="1:2" x14ac:dyDescent="0.3">
      <c r="A699" s="3">
        <v>45550.416666666664</v>
      </c>
      <c r="B699" s="1">
        <v>21.1</v>
      </c>
    </row>
    <row r="700" spans="1:2" x14ac:dyDescent="0.3">
      <c r="A700" s="3">
        <v>45550.4375</v>
      </c>
      <c r="B700" s="1">
        <v>22</v>
      </c>
    </row>
    <row r="701" spans="1:2" x14ac:dyDescent="0.3">
      <c r="A701" s="3">
        <v>45550.458333333336</v>
      </c>
      <c r="B701" s="1">
        <v>22.5</v>
      </c>
    </row>
    <row r="702" spans="1:2" x14ac:dyDescent="0.3">
      <c r="A702" s="3">
        <v>45550.479166666664</v>
      </c>
      <c r="B702" s="1">
        <v>23.1</v>
      </c>
    </row>
    <row r="703" spans="1:2" x14ac:dyDescent="0.3">
      <c r="A703" s="3">
        <v>45550.5</v>
      </c>
      <c r="B703" s="1">
        <v>23.6</v>
      </c>
    </row>
    <row r="704" spans="1:2" x14ac:dyDescent="0.3">
      <c r="A704" s="3">
        <v>45550.520833333336</v>
      </c>
      <c r="B704" s="1">
        <v>24</v>
      </c>
    </row>
    <row r="705" spans="1:2" x14ac:dyDescent="0.3">
      <c r="A705" s="3">
        <v>45550.541666666664</v>
      </c>
      <c r="B705" s="1">
        <v>23.6</v>
      </c>
    </row>
    <row r="706" spans="1:2" x14ac:dyDescent="0.3">
      <c r="A706" s="3">
        <v>45550.5625</v>
      </c>
      <c r="B706" s="1">
        <v>24.5</v>
      </c>
    </row>
    <row r="707" spans="1:2" x14ac:dyDescent="0.3">
      <c r="A707" s="3">
        <v>45550.583333333336</v>
      </c>
      <c r="B707" s="1">
        <v>24.1</v>
      </c>
    </row>
    <row r="708" spans="1:2" x14ac:dyDescent="0.3">
      <c r="A708" s="3">
        <v>45550.604166666664</v>
      </c>
      <c r="B708" s="1">
        <v>23.5</v>
      </c>
    </row>
    <row r="709" spans="1:2" x14ac:dyDescent="0.3">
      <c r="A709" s="3">
        <v>45550.625</v>
      </c>
      <c r="B709" s="1">
        <v>23.6</v>
      </c>
    </row>
    <row r="710" spans="1:2" x14ac:dyDescent="0.3">
      <c r="A710" s="3">
        <v>45550.645833333336</v>
      </c>
      <c r="B710" s="1">
        <v>23.3</v>
      </c>
    </row>
    <row r="711" spans="1:2" x14ac:dyDescent="0.3">
      <c r="A711" s="3">
        <v>45550.666666666664</v>
      </c>
      <c r="B711" s="1">
        <v>23.3</v>
      </c>
    </row>
    <row r="712" spans="1:2" x14ac:dyDescent="0.3">
      <c r="A712" s="3">
        <v>45550.6875</v>
      </c>
      <c r="B712" s="1">
        <v>23.3</v>
      </c>
    </row>
    <row r="713" spans="1:2" x14ac:dyDescent="0.3">
      <c r="A713" s="3">
        <v>45550.708333333336</v>
      </c>
      <c r="B713" s="1">
        <v>22.8</v>
      </c>
    </row>
    <row r="714" spans="1:2" x14ac:dyDescent="0.3">
      <c r="A714" s="3">
        <v>45550.729166666664</v>
      </c>
      <c r="B714" s="1">
        <v>22.3</v>
      </c>
    </row>
    <row r="715" spans="1:2" x14ac:dyDescent="0.3">
      <c r="A715" s="3">
        <v>45550.75</v>
      </c>
      <c r="B715" s="1">
        <v>22.1</v>
      </c>
    </row>
    <row r="716" spans="1:2" x14ac:dyDescent="0.3">
      <c r="A716" s="3">
        <v>45550.770833333336</v>
      </c>
      <c r="B716" s="1">
        <v>21.8</v>
      </c>
    </row>
    <row r="717" spans="1:2" x14ac:dyDescent="0.3">
      <c r="A717" s="3">
        <v>45550.791666666664</v>
      </c>
      <c r="B717" s="1">
        <v>21.6</v>
      </c>
    </row>
    <row r="718" spans="1:2" x14ac:dyDescent="0.3">
      <c r="A718" s="3">
        <v>45550.8125</v>
      </c>
      <c r="B718" s="1">
        <v>21.4</v>
      </c>
    </row>
    <row r="719" spans="1:2" x14ac:dyDescent="0.3">
      <c r="A719" s="3">
        <v>45550.833333333336</v>
      </c>
      <c r="B719" s="1">
        <v>21.3</v>
      </c>
    </row>
    <row r="720" spans="1:2" x14ac:dyDescent="0.3">
      <c r="A720" s="3">
        <v>45550.854166666664</v>
      </c>
      <c r="B720" s="1">
        <v>21.2</v>
      </c>
    </row>
    <row r="721" spans="1:2" x14ac:dyDescent="0.3">
      <c r="A721" s="3">
        <v>45550.875</v>
      </c>
      <c r="B721" s="1">
        <v>21</v>
      </c>
    </row>
    <row r="722" spans="1:2" x14ac:dyDescent="0.3">
      <c r="A722" s="3">
        <v>45550.895833333336</v>
      </c>
      <c r="B722" s="1">
        <v>20.8</v>
      </c>
    </row>
    <row r="723" spans="1:2" x14ac:dyDescent="0.3">
      <c r="A723" s="3">
        <v>45550.916666666664</v>
      </c>
      <c r="B723" s="1">
        <v>20.5</v>
      </c>
    </row>
    <row r="724" spans="1:2" x14ac:dyDescent="0.3">
      <c r="A724" s="3">
        <v>45550.9375</v>
      </c>
      <c r="B724" s="1">
        <v>20</v>
      </c>
    </row>
    <row r="725" spans="1:2" x14ac:dyDescent="0.3">
      <c r="A725" s="3">
        <v>45550.958333333336</v>
      </c>
      <c r="B725" s="1">
        <v>19.600000000000001</v>
      </c>
    </row>
    <row r="726" spans="1:2" x14ac:dyDescent="0.3">
      <c r="A726" s="3">
        <v>45550.979166666664</v>
      </c>
      <c r="B726" s="1">
        <v>19.100000000000001</v>
      </c>
    </row>
    <row r="727" spans="1:2" x14ac:dyDescent="0.3">
      <c r="A727" s="3">
        <v>45551</v>
      </c>
      <c r="B727" s="1">
        <v>18.7</v>
      </c>
    </row>
    <row r="728" spans="1:2" x14ac:dyDescent="0.3">
      <c r="A728" s="3">
        <v>45551.020833333336</v>
      </c>
      <c r="B728" s="1">
        <v>19.2</v>
      </c>
    </row>
    <row r="729" spans="1:2" x14ac:dyDescent="0.3">
      <c r="A729" s="3">
        <v>45551.041666666664</v>
      </c>
      <c r="B729" s="1">
        <v>18.399999999999999</v>
      </c>
    </row>
    <row r="730" spans="1:2" x14ac:dyDescent="0.3">
      <c r="A730" s="3">
        <v>45551.0625</v>
      </c>
      <c r="B730" s="1">
        <v>16.899999999999999</v>
      </c>
    </row>
    <row r="731" spans="1:2" x14ac:dyDescent="0.3">
      <c r="A731" s="3">
        <v>45551.083333333336</v>
      </c>
      <c r="B731" s="1">
        <v>17</v>
      </c>
    </row>
    <row r="732" spans="1:2" x14ac:dyDescent="0.3">
      <c r="A732" s="3">
        <v>45551.104166666664</v>
      </c>
      <c r="B732" s="1">
        <v>16.7</v>
      </c>
    </row>
    <row r="733" spans="1:2" x14ac:dyDescent="0.3">
      <c r="A733" s="3">
        <v>45551.125</v>
      </c>
      <c r="B733" s="1">
        <v>16.7</v>
      </c>
    </row>
    <row r="734" spans="1:2" x14ac:dyDescent="0.3">
      <c r="A734" s="3">
        <v>45551.145833333336</v>
      </c>
      <c r="B734" s="1">
        <v>16.5</v>
      </c>
    </row>
    <row r="735" spans="1:2" x14ac:dyDescent="0.3">
      <c r="A735" s="3">
        <v>45551.166666666664</v>
      </c>
      <c r="B735" s="1">
        <v>16.5</v>
      </c>
    </row>
    <row r="736" spans="1:2" x14ac:dyDescent="0.3">
      <c r="A736" s="3">
        <v>45551.1875</v>
      </c>
      <c r="B736" s="1">
        <v>16.5</v>
      </c>
    </row>
    <row r="737" spans="1:2" x14ac:dyDescent="0.3">
      <c r="A737" s="3">
        <v>45551.208333333336</v>
      </c>
      <c r="B737" s="1">
        <v>16.7</v>
      </c>
    </row>
    <row r="738" spans="1:2" x14ac:dyDescent="0.3">
      <c r="A738" s="3">
        <v>45551.229166666664</v>
      </c>
      <c r="B738" s="1">
        <v>17.3</v>
      </c>
    </row>
    <row r="739" spans="1:2" x14ac:dyDescent="0.3">
      <c r="A739" s="3">
        <v>45551.25</v>
      </c>
      <c r="B739" s="1">
        <v>17.5</v>
      </c>
    </row>
    <row r="740" spans="1:2" x14ac:dyDescent="0.3">
      <c r="A740" s="3">
        <v>45551.270833333336</v>
      </c>
      <c r="B740" s="1">
        <v>17.5</v>
      </c>
    </row>
    <row r="741" spans="1:2" x14ac:dyDescent="0.3">
      <c r="A741" s="3">
        <v>45551.291666666664</v>
      </c>
      <c r="B741" s="1">
        <v>17.899999999999999</v>
      </c>
    </row>
    <row r="742" spans="1:2" x14ac:dyDescent="0.3">
      <c r="A742" s="3">
        <v>45551.3125</v>
      </c>
      <c r="B742" s="1">
        <v>18.5</v>
      </c>
    </row>
    <row r="743" spans="1:2" x14ac:dyDescent="0.3">
      <c r="A743" s="3">
        <v>45551.333333333336</v>
      </c>
      <c r="B743" s="1">
        <v>19.2</v>
      </c>
    </row>
    <row r="744" spans="1:2" x14ac:dyDescent="0.3">
      <c r="A744" s="3">
        <v>45551.354166666664</v>
      </c>
      <c r="B744" s="1">
        <v>19.8</v>
      </c>
    </row>
    <row r="745" spans="1:2" x14ac:dyDescent="0.3">
      <c r="A745" s="3">
        <v>45551.375</v>
      </c>
      <c r="B745" s="1">
        <v>20.5</v>
      </c>
    </row>
    <row r="746" spans="1:2" x14ac:dyDescent="0.3">
      <c r="A746" s="3">
        <v>45551.395833333336</v>
      </c>
      <c r="B746" s="1">
        <v>21.3</v>
      </c>
    </row>
    <row r="747" spans="1:2" x14ac:dyDescent="0.3">
      <c r="A747" s="3">
        <v>45551.416666666664</v>
      </c>
      <c r="B747" s="1">
        <v>21.9</v>
      </c>
    </row>
    <row r="748" spans="1:2" x14ac:dyDescent="0.3">
      <c r="A748" s="3">
        <v>45551.4375</v>
      </c>
      <c r="B748" s="1">
        <v>22.3</v>
      </c>
    </row>
    <row r="749" spans="1:2" x14ac:dyDescent="0.3">
      <c r="A749" s="3">
        <v>45551.458333333336</v>
      </c>
      <c r="B749" s="1">
        <v>23</v>
      </c>
    </row>
    <row r="750" spans="1:2" x14ac:dyDescent="0.3">
      <c r="A750" s="3">
        <v>45551.479166666664</v>
      </c>
      <c r="B750" s="1">
        <v>23.5</v>
      </c>
    </row>
    <row r="751" spans="1:2" x14ac:dyDescent="0.3">
      <c r="A751" s="3">
        <v>45551.5</v>
      </c>
      <c r="B751" s="1">
        <v>24.2</v>
      </c>
    </row>
    <row r="752" spans="1:2" x14ac:dyDescent="0.3">
      <c r="A752" s="3">
        <v>45551.520833333336</v>
      </c>
      <c r="B752" s="1">
        <v>24</v>
      </c>
    </row>
    <row r="753" spans="1:2" x14ac:dyDescent="0.3">
      <c r="A753" s="3">
        <v>45551.541666666664</v>
      </c>
      <c r="B753" s="1">
        <v>24.1</v>
      </c>
    </row>
    <row r="754" spans="1:2" x14ac:dyDescent="0.3">
      <c r="A754" s="3">
        <v>45551.5625</v>
      </c>
      <c r="B754" s="1">
        <v>24.1</v>
      </c>
    </row>
    <row r="755" spans="1:2" x14ac:dyDescent="0.3">
      <c r="A755" s="3">
        <v>45551.583333333336</v>
      </c>
      <c r="B755" s="1">
        <v>24.3</v>
      </c>
    </row>
    <row r="756" spans="1:2" x14ac:dyDescent="0.3">
      <c r="A756" s="3">
        <v>45551.604166666664</v>
      </c>
      <c r="B756" s="1">
        <v>24.5</v>
      </c>
    </row>
    <row r="757" spans="1:2" x14ac:dyDescent="0.3">
      <c r="A757" s="3">
        <v>45551.625</v>
      </c>
      <c r="B757" s="1">
        <v>24.4</v>
      </c>
    </row>
    <row r="758" spans="1:2" x14ac:dyDescent="0.3">
      <c r="A758" s="3">
        <v>45551.645833333336</v>
      </c>
      <c r="B758" s="1">
        <v>24.7</v>
      </c>
    </row>
    <row r="759" spans="1:2" x14ac:dyDescent="0.3">
      <c r="A759" s="3">
        <v>45551.666666666664</v>
      </c>
      <c r="B759" s="1">
        <v>23.5</v>
      </c>
    </row>
    <row r="760" spans="1:2" x14ac:dyDescent="0.3">
      <c r="A760" s="3">
        <v>45551.6875</v>
      </c>
      <c r="B760" s="1">
        <v>23</v>
      </c>
    </row>
    <row r="761" spans="1:2" x14ac:dyDescent="0.3">
      <c r="A761" s="3">
        <v>45551.708333333336</v>
      </c>
      <c r="B761" s="1">
        <v>22.8</v>
      </c>
    </row>
    <row r="762" spans="1:2" x14ac:dyDescent="0.3">
      <c r="A762" s="3">
        <v>45551.729166666664</v>
      </c>
      <c r="B762" s="1">
        <v>22.5</v>
      </c>
    </row>
    <row r="763" spans="1:2" x14ac:dyDescent="0.3">
      <c r="A763" s="3">
        <v>45551.75</v>
      </c>
      <c r="B763" s="1">
        <v>21.7</v>
      </c>
    </row>
    <row r="764" spans="1:2" x14ac:dyDescent="0.3">
      <c r="A764" s="3">
        <v>45551.770833333336</v>
      </c>
      <c r="B764" s="1">
        <v>21</v>
      </c>
    </row>
    <row r="765" spans="1:2" x14ac:dyDescent="0.3">
      <c r="A765" s="3">
        <v>45551.791666666664</v>
      </c>
      <c r="B765" s="1">
        <v>20.9</v>
      </c>
    </row>
    <row r="766" spans="1:2" x14ac:dyDescent="0.3">
      <c r="A766" s="3">
        <v>45551.8125</v>
      </c>
      <c r="B766" s="1">
        <v>20.3</v>
      </c>
    </row>
    <row r="767" spans="1:2" x14ac:dyDescent="0.3">
      <c r="A767" s="3">
        <v>45551.833333333336</v>
      </c>
      <c r="B767" s="1">
        <v>20.3</v>
      </c>
    </row>
    <row r="768" spans="1:2" x14ac:dyDescent="0.3">
      <c r="A768" s="3">
        <v>45551.854166666664</v>
      </c>
      <c r="B768" s="1">
        <v>20.100000000000001</v>
      </c>
    </row>
    <row r="769" spans="1:2" x14ac:dyDescent="0.3">
      <c r="A769" s="3">
        <v>45551.875</v>
      </c>
      <c r="B769" s="1">
        <v>19.3</v>
      </c>
    </row>
    <row r="770" spans="1:2" x14ac:dyDescent="0.3">
      <c r="A770" s="3">
        <v>45551.895833333336</v>
      </c>
      <c r="B770" s="1">
        <v>18.399999999999999</v>
      </c>
    </row>
    <row r="771" spans="1:2" x14ac:dyDescent="0.3">
      <c r="A771" s="3">
        <v>45551.916666666664</v>
      </c>
      <c r="B771" s="1">
        <v>18.3</v>
      </c>
    </row>
    <row r="772" spans="1:2" x14ac:dyDescent="0.3">
      <c r="A772" s="3">
        <v>45551.9375</v>
      </c>
      <c r="B772" s="1">
        <v>18.8</v>
      </c>
    </row>
    <row r="773" spans="1:2" x14ac:dyDescent="0.3">
      <c r="A773" s="3">
        <v>45551.958333333336</v>
      </c>
      <c r="B773" s="1">
        <v>18.600000000000001</v>
      </c>
    </row>
    <row r="774" spans="1:2" x14ac:dyDescent="0.3">
      <c r="A774" s="3">
        <v>45551.979166666664</v>
      </c>
      <c r="B774" s="1">
        <v>18.600000000000001</v>
      </c>
    </row>
    <row r="775" spans="1:2" x14ac:dyDescent="0.3">
      <c r="A775" s="3">
        <v>45552</v>
      </c>
      <c r="B775" s="1">
        <v>18.7</v>
      </c>
    </row>
    <row r="776" spans="1:2" x14ac:dyDescent="0.3">
      <c r="A776" s="3">
        <v>45552.020833333336</v>
      </c>
      <c r="B776" s="1">
        <v>18.899999999999999</v>
      </c>
    </row>
    <row r="777" spans="1:2" x14ac:dyDescent="0.3">
      <c r="A777" s="3">
        <v>45552.041666666664</v>
      </c>
      <c r="B777" s="1">
        <v>18.8</v>
      </c>
    </row>
    <row r="778" spans="1:2" x14ac:dyDescent="0.3">
      <c r="A778" s="3">
        <v>45552.0625</v>
      </c>
      <c r="B778" s="1">
        <v>18.3</v>
      </c>
    </row>
    <row r="779" spans="1:2" x14ac:dyDescent="0.3">
      <c r="A779" s="3">
        <v>45552.083333333336</v>
      </c>
      <c r="B779" s="1">
        <v>17.8</v>
      </c>
    </row>
    <row r="780" spans="1:2" x14ac:dyDescent="0.3">
      <c r="A780" s="3">
        <v>45552.104166666664</v>
      </c>
      <c r="B780" s="1">
        <v>17.2</v>
      </c>
    </row>
    <row r="781" spans="1:2" x14ac:dyDescent="0.3">
      <c r="A781" s="3">
        <v>45552.125</v>
      </c>
      <c r="B781" s="1">
        <v>16.8</v>
      </c>
    </row>
    <row r="782" spans="1:2" x14ac:dyDescent="0.3">
      <c r="A782" s="3">
        <v>45552.145833333336</v>
      </c>
      <c r="B782" s="1">
        <v>16.5</v>
      </c>
    </row>
    <row r="783" spans="1:2" x14ac:dyDescent="0.3">
      <c r="A783" s="3">
        <v>45552.166666666664</v>
      </c>
      <c r="B783" s="1">
        <v>16.2</v>
      </c>
    </row>
    <row r="784" spans="1:2" x14ac:dyDescent="0.3">
      <c r="A784" s="3">
        <v>45552.1875</v>
      </c>
      <c r="B784" s="1">
        <v>16.399999999999999</v>
      </c>
    </row>
    <row r="785" spans="1:2" x14ac:dyDescent="0.3">
      <c r="A785" s="3">
        <v>45552.208333333336</v>
      </c>
      <c r="B785" s="1">
        <v>16.8</v>
      </c>
    </row>
    <row r="786" spans="1:2" x14ac:dyDescent="0.3">
      <c r="A786" s="3">
        <v>45552.229166666664</v>
      </c>
      <c r="B786" s="1">
        <v>16.2</v>
      </c>
    </row>
    <row r="787" spans="1:2" x14ac:dyDescent="0.3">
      <c r="A787" s="3">
        <v>45552.25</v>
      </c>
      <c r="B787" s="1">
        <v>15.8</v>
      </c>
    </row>
    <row r="788" spans="1:2" x14ac:dyDescent="0.3">
      <c r="A788" s="3">
        <v>45552.270833333336</v>
      </c>
      <c r="B788" s="1">
        <v>15.8</v>
      </c>
    </row>
    <row r="789" spans="1:2" x14ac:dyDescent="0.3">
      <c r="A789" s="3">
        <v>45552.291666666664</v>
      </c>
      <c r="B789" s="1">
        <v>15.8</v>
      </c>
    </row>
    <row r="790" spans="1:2" x14ac:dyDescent="0.3">
      <c r="A790" s="3">
        <v>45552.3125</v>
      </c>
      <c r="B790" s="1">
        <v>15.6</v>
      </c>
    </row>
    <row r="791" spans="1:2" x14ac:dyDescent="0.3">
      <c r="A791" s="3">
        <v>45552.333333333336</v>
      </c>
      <c r="B791" s="1">
        <v>15.7</v>
      </c>
    </row>
    <row r="792" spans="1:2" x14ac:dyDescent="0.3">
      <c r="A792" s="3">
        <v>45552.354166666664</v>
      </c>
      <c r="B792" s="1">
        <v>15.5</v>
      </c>
    </row>
    <row r="793" spans="1:2" x14ac:dyDescent="0.3">
      <c r="A793" s="3">
        <v>45552.375</v>
      </c>
      <c r="B793" s="1">
        <v>15.6</v>
      </c>
    </row>
    <row r="794" spans="1:2" x14ac:dyDescent="0.3">
      <c r="A794" s="3">
        <v>45552.395833333336</v>
      </c>
      <c r="B794" s="1">
        <v>15.9</v>
      </c>
    </row>
    <row r="795" spans="1:2" x14ac:dyDescent="0.3">
      <c r="A795" s="3">
        <v>45552.416666666664</v>
      </c>
      <c r="B795" s="1">
        <v>16.100000000000001</v>
      </c>
    </row>
    <row r="796" spans="1:2" x14ac:dyDescent="0.3">
      <c r="A796" s="3">
        <v>45552.4375</v>
      </c>
      <c r="B796" s="1">
        <v>16.600000000000001</v>
      </c>
    </row>
    <row r="797" spans="1:2" x14ac:dyDescent="0.3">
      <c r="A797" s="3">
        <v>45552.458333333336</v>
      </c>
      <c r="B797" s="1">
        <v>17.100000000000001</v>
      </c>
    </row>
    <row r="798" spans="1:2" x14ac:dyDescent="0.3">
      <c r="A798" s="3">
        <v>45552.479166666664</v>
      </c>
      <c r="B798" s="1">
        <v>17.2</v>
      </c>
    </row>
    <row r="799" spans="1:2" x14ac:dyDescent="0.3">
      <c r="A799" s="3">
        <v>45552.5</v>
      </c>
      <c r="B799" s="1">
        <v>17.100000000000001</v>
      </c>
    </row>
    <row r="800" spans="1:2" x14ac:dyDescent="0.3">
      <c r="A800" s="3">
        <v>45552.520833333336</v>
      </c>
      <c r="B800" s="1">
        <v>17.5</v>
      </c>
    </row>
    <row r="801" spans="1:2" x14ac:dyDescent="0.3">
      <c r="A801" s="3">
        <v>45552.541666666664</v>
      </c>
      <c r="B801" s="1">
        <v>17.8</v>
      </c>
    </row>
    <row r="802" spans="1:2" x14ac:dyDescent="0.3">
      <c r="A802" s="3">
        <v>45552.5625</v>
      </c>
      <c r="B802" s="1">
        <v>17.7</v>
      </c>
    </row>
    <row r="803" spans="1:2" x14ac:dyDescent="0.3">
      <c r="A803" s="3">
        <v>45552.583333333336</v>
      </c>
      <c r="B803" s="1">
        <v>17.399999999999999</v>
      </c>
    </row>
    <row r="804" spans="1:2" x14ac:dyDescent="0.3">
      <c r="A804" s="3">
        <v>45552.604166666664</v>
      </c>
      <c r="B804" s="1">
        <v>17.5</v>
      </c>
    </row>
    <row r="805" spans="1:2" x14ac:dyDescent="0.3">
      <c r="A805" s="3">
        <v>45552.625</v>
      </c>
      <c r="B805" s="1">
        <v>17.5</v>
      </c>
    </row>
    <row r="806" spans="1:2" x14ac:dyDescent="0.3">
      <c r="A806" s="3">
        <v>45552.645833333336</v>
      </c>
      <c r="B806" s="1">
        <v>17.399999999999999</v>
      </c>
    </row>
    <row r="807" spans="1:2" x14ac:dyDescent="0.3">
      <c r="A807" s="3">
        <v>45552.666666666664</v>
      </c>
      <c r="B807" s="1">
        <v>17.3</v>
      </c>
    </row>
    <row r="808" spans="1:2" x14ac:dyDescent="0.3">
      <c r="A808" s="3">
        <v>45552.6875</v>
      </c>
      <c r="B808" s="1">
        <v>17.2</v>
      </c>
    </row>
    <row r="809" spans="1:2" x14ac:dyDescent="0.3">
      <c r="A809" s="3">
        <v>45552.708333333336</v>
      </c>
      <c r="B809" s="1">
        <v>17.100000000000001</v>
      </c>
    </row>
    <row r="810" spans="1:2" x14ac:dyDescent="0.3">
      <c r="A810" s="3">
        <v>45552.729166666664</v>
      </c>
      <c r="B810" s="1">
        <v>16.7</v>
      </c>
    </row>
    <row r="811" spans="1:2" x14ac:dyDescent="0.3">
      <c r="A811" s="3">
        <v>45552.75</v>
      </c>
      <c r="B811" s="1">
        <v>16.3</v>
      </c>
    </row>
    <row r="812" spans="1:2" x14ac:dyDescent="0.3">
      <c r="A812" s="3">
        <v>45552.770833333336</v>
      </c>
      <c r="B812" s="1">
        <v>16.3</v>
      </c>
    </row>
    <row r="813" spans="1:2" x14ac:dyDescent="0.3">
      <c r="A813" s="3">
        <v>45552.791666666664</v>
      </c>
      <c r="B813" s="1">
        <v>16.600000000000001</v>
      </c>
    </row>
    <row r="814" spans="1:2" x14ac:dyDescent="0.3">
      <c r="A814" s="3">
        <v>45552.8125</v>
      </c>
      <c r="B814" s="1">
        <v>16.600000000000001</v>
      </c>
    </row>
    <row r="815" spans="1:2" x14ac:dyDescent="0.3">
      <c r="A815" s="3">
        <v>45552.833333333336</v>
      </c>
      <c r="B815" s="1">
        <v>16.600000000000001</v>
      </c>
    </row>
    <row r="816" spans="1:2" x14ac:dyDescent="0.3">
      <c r="A816" s="3">
        <v>45552.854166666664</v>
      </c>
      <c r="B816" s="1">
        <v>16.7</v>
      </c>
    </row>
    <row r="817" spans="1:2" x14ac:dyDescent="0.3">
      <c r="A817" s="3">
        <v>45552.875</v>
      </c>
      <c r="B817" s="1">
        <v>16.7</v>
      </c>
    </row>
    <row r="818" spans="1:2" x14ac:dyDescent="0.3">
      <c r="A818" s="3">
        <v>45552.895833333336</v>
      </c>
      <c r="B818" s="1">
        <v>16.8</v>
      </c>
    </row>
    <row r="819" spans="1:2" x14ac:dyDescent="0.3">
      <c r="A819" s="3">
        <v>45552.916666666664</v>
      </c>
      <c r="B819" s="1">
        <v>16.8</v>
      </c>
    </row>
    <row r="820" spans="1:2" x14ac:dyDescent="0.3">
      <c r="A820" s="3">
        <v>45552.9375</v>
      </c>
      <c r="B820" s="1">
        <v>16.7</v>
      </c>
    </row>
    <row r="821" spans="1:2" x14ac:dyDescent="0.3">
      <c r="A821" s="3">
        <v>45552.958333333336</v>
      </c>
      <c r="B821" s="1">
        <v>16.399999999999999</v>
      </c>
    </row>
    <row r="822" spans="1:2" x14ac:dyDescent="0.3">
      <c r="A822" s="3">
        <v>45552.979166666664</v>
      </c>
      <c r="B822" s="1">
        <v>16.7</v>
      </c>
    </row>
    <row r="823" spans="1:2" x14ac:dyDescent="0.3">
      <c r="A823" s="3">
        <v>45553</v>
      </c>
      <c r="B823" s="1">
        <v>16.399999999999999</v>
      </c>
    </row>
    <row r="824" spans="1:2" x14ac:dyDescent="0.3">
      <c r="A824" s="3">
        <v>45553.020833333336</v>
      </c>
      <c r="B824" s="1">
        <v>16.2</v>
      </c>
    </row>
    <row r="825" spans="1:2" x14ac:dyDescent="0.3">
      <c r="A825" s="3">
        <v>45553.041666666664</v>
      </c>
      <c r="B825" s="1">
        <v>16</v>
      </c>
    </row>
    <row r="826" spans="1:2" x14ac:dyDescent="0.3">
      <c r="A826" s="3">
        <v>45553.0625</v>
      </c>
      <c r="B826" s="1">
        <v>15.8</v>
      </c>
    </row>
    <row r="827" spans="1:2" x14ac:dyDescent="0.3">
      <c r="A827" s="3">
        <v>45553.083333333336</v>
      </c>
      <c r="B827" s="1">
        <v>15.8</v>
      </c>
    </row>
    <row r="828" spans="1:2" x14ac:dyDescent="0.3">
      <c r="A828" s="3">
        <v>45553.104166666664</v>
      </c>
      <c r="B828" s="1">
        <v>15.8</v>
      </c>
    </row>
    <row r="829" spans="1:2" x14ac:dyDescent="0.3">
      <c r="A829" s="3">
        <v>45553.125</v>
      </c>
      <c r="B829" s="1">
        <v>15.8</v>
      </c>
    </row>
    <row r="830" spans="1:2" x14ac:dyDescent="0.3">
      <c r="A830" s="3">
        <v>45553.145833333336</v>
      </c>
      <c r="B830" s="1">
        <v>15.9</v>
      </c>
    </row>
    <row r="831" spans="1:2" x14ac:dyDescent="0.3">
      <c r="A831" s="3">
        <v>45553.166666666664</v>
      </c>
      <c r="B831" s="1">
        <v>16</v>
      </c>
    </row>
    <row r="832" spans="1:2" x14ac:dyDescent="0.3">
      <c r="A832" s="3">
        <v>45553.1875</v>
      </c>
      <c r="B832" s="1">
        <v>15.8</v>
      </c>
    </row>
    <row r="833" spans="1:2" x14ac:dyDescent="0.3">
      <c r="A833" s="3">
        <v>45553.208333333336</v>
      </c>
      <c r="B833" s="1">
        <v>15.4</v>
      </c>
    </row>
    <row r="834" spans="1:2" x14ac:dyDescent="0.3">
      <c r="A834" s="3">
        <v>45553.229166666664</v>
      </c>
      <c r="B834" s="1">
        <v>15.6</v>
      </c>
    </row>
    <row r="835" spans="1:2" x14ac:dyDescent="0.3">
      <c r="A835" s="3">
        <v>45553.25</v>
      </c>
      <c r="B835" s="1">
        <v>15.8</v>
      </c>
    </row>
    <row r="836" spans="1:2" x14ac:dyDescent="0.3">
      <c r="A836" s="3">
        <v>45553.270833333336</v>
      </c>
      <c r="B836" s="1">
        <v>16.100000000000001</v>
      </c>
    </row>
    <row r="837" spans="1:2" x14ac:dyDescent="0.3">
      <c r="A837" s="3">
        <v>45553.291666666664</v>
      </c>
      <c r="B837" s="1">
        <v>16.899999999999999</v>
      </c>
    </row>
    <row r="838" spans="1:2" x14ac:dyDescent="0.3">
      <c r="A838" s="3">
        <v>45553.3125</v>
      </c>
      <c r="B838" s="1">
        <v>17.7</v>
      </c>
    </row>
    <row r="839" spans="1:2" x14ac:dyDescent="0.3">
      <c r="A839" s="3">
        <v>45553.333333333336</v>
      </c>
      <c r="B839" s="1">
        <v>18.399999999999999</v>
      </c>
    </row>
    <row r="840" spans="1:2" x14ac:dyDescent="0.3">
      <c r="A840" s="3">
        <v>45553.354166666664</v>
      </c>
      <c r="B840" s="1">
        <v>19.3</v>
      </c>
    </row>
    <row r="841" spans="1:2" x14ac:dyDescent="0.3">
      <c r="A841" s="3">
        <v>45553.375</v>
      </c>
      <c r="B841" s="1">
        <v>20.3</v>
      </c>
    </row>
    <row r="842" spans="1:2" x14ac:dyDescent="0.3">
      <c r="A842" s="3">
        <v>45553.395833333336</v>
      </c>
      <c r="B842" s="1">
        <v>21.4</v>
      </c>
    </row>
    <row r="843" spans="1:2" x14ac:dyDescent="0.3">
      <c r="A843" s="3">
        <v>45553.416666666664</v>
      </c>
      <c r="B843" s="1">
        <v>21.9</v>
      </c>
    </row>
    <row r="844" spans="1:2" x14ac:dyDescent="0.3">
      <c r="A844" s="3">
        <v>45553.4375</v>
      </c>
      <c r="B844" s="1">
        <v>22.7</v>
      </c>
    </row>
    <row r="845" spans="1:2" x14ac:dyDescent="0.3">
      <c r="A845" s="3">
        <v>45553.458333333336</v>
      </c>
      <c r="B845" s="1">
        <v>22.6</v>
      </c>
    </row>
    <row r="846" spans="1:2" x14ac:dyDescent="0.3">
      <c r="A846" s="3">
        <v>45553.479166666664</v>
      </c>
      <c r="B846" s="1">
        <v>21.3</v>
      </c>
    </row>
    <row r="847" spans="1:2" x14ac:dyDescent="0.3">
      <c r="A847" s="3">
        <v>45553.5</v>
      </c>
      <c r="B847" s="1">
        <v>21.1</v>
      </c>
    </row>
    <row r="848" spans="1:2" x14ac:dyDescent="0.3">
      <c r="A848" s="3">
        <v>45553.520833333336</v>
      </c>
      <c r="B848" s="1">
        <v>21.6</v>
      </c>
    </row>
    <row r="849" spans="1:2" x14ac:dyDescent="0.3">
      <c r="A849" s="3">
        <v>45553.541666666664</v>
      </c>
      <c r="B849" s="1">
        <v>21.7</v>
      </c>
    </row>
    <row r="850" spans="1:2" x14ac:dyDescent="0.3">
      <c r="A850" s="3">
        <v>45553.5625</v>
      </c>
      <c r="B850" s="1">
        <v>21.8</v>
      </c>
    </row>
    <row r="851" spans="1:2" x14ac:dyDescent="0.3">
      <c r="A851" s="3">
        <v>45553.583333333336</v>
      </c>
      <c r="B851" s="1">
        <v>21.1</v>
      </c>
    </row>
    <row r="852" spans="1:2" x14ac:dyDescent="0.3">
      <c r="A852" s="3">
        <v>45553.604166666664</v>
      </c>
      <c r="B852" s="1">
        <v>20.399999999999999</v>
      </c>
    </row>
    <row r="853" spans="1:2" x14ac:dyDescent="0.3">
      <c r="A853" s="3">
        <v>45553.625</v>
      </c>
      <c r="B853" s="1">
        <v>20.3</v>
      </c>
    </row>
    <row r="854" spans="1:2" x14ac:dyDescent="0.3">
      <c r="A854" s="3">
        <v>45553.645833333336</v>
      </c>
      <c r="B854" s="1">
        <v>19.600000000000001</v>
      </c>
    </row>
    <row r="855" spans="1:2" x14ac:dyDescent="0.3">
      <c r="A855" s="3">
        <v>45553.666666666664</v>
      </c>
      <c r="B855" s="1">
        <v>19.100000000000001</v>
      </c>
    </row>
    <row r="856" spans="1:2" x14ac:dyDescent="0.3">
      <c r="A856" s="3">
        <v>45553.6875</v>
      </c>
      <c r="B856" s="1">
        <v>19.2</v>
      </c>
    </row>
    <row r="857" spans="1:2" x14ac:dyDescent="0.3">
      <c r="A857" s="3">
        <v>45553.708333333336</v>
      </c>
      <c r="B857" s="1">
        <v>18.5</v>
      </c>
    </row>
    <row r="858" spans="1:2" x14ac:dyDescent="0.3">
      <c r="A858" s="3">
        <v>45553.729166666664</v>
      </c>
      <c r="B858" s="1">
        <v>18.399999999999999</v>
      </c>
    </row>
    <row r="859" spans="1:2" x14ac:dyDescent="0.3">
      <c r="A859" s="3">
        <v>45553.75</v>
      </c>
      <c r="B859" s="1">
        <v>17.899999999999999</v>
      </c>
    </row>
    <row r="860" spans="1:2" x14ac:dyDescent="0.3">
      <c r="A860" s="3">
        <v>45553.770833333336</v>
      </c>
      <c r="B860" s="1">
        <v>17.8</v>
      </c>
    </row>
    <row r="861" spans="1:2" x14ac:dyDescent="0.3">
      <c r="A861" s="3">
        <v>45553.791666666664</v>
      </c>
      <c r="B861" s="1">
        <v>17.899999999999999</v>
      </c>
    </row>
    <row r="862" spans="1:2" x14ac:dyDescent="0.3">
      <c r="A862" s="3">
        <v>45553.8125</v>
      </c>
      <c r="B862" s="1">
        <v>18</v>
      </c>
    </row>
    <row r="863" spans="1:2" x14ac:dyDescent="0.3">
      <c r="A863" s="3">
        <v>45553.833333333336</v>
      </c>
      <c r="B863" s="1">
        <v>18</v>
      </c>
    </row>
    <row r="864" spans="1:2" x14ac:dyDescent="0.3">
      <c r="A864" s="3">
        <v>45553.854166666664</v>
      </c>
      <c r="B864" s="1">
        <v>17.7</v>
      </c>
    </row>
    <row r="865" spans="1:2" x14ac:dyDescent="0.3">
      <c r="A865" s="3">
        <v>45553.875</v>
      </c>
      <c r="B865" s="1">
        <v>17.8</v>
      </c>
    </row>
    <row r="866" spans="1:2" x14ac:dyDescent="0.3">
      <c r="A866" s="3">
        <v>45553.895833333336</v>
      </c>
      <c r="B866" s="1">
        <v>17.399999999999999</v>
      </c>
    </row>
    <row r="867" spans="1:2" x14ac:dyDescent="0.3">
      <c r="A867" s="3">
        <v>45553.916666666664</v>
      </c>
      <c r="B867" s="1">
        <v>17.3</v>
      </c>
    </row>
    <row r="868" spans="1:2" x14ac:dyDescent="0.3">
      <c r="A868" s="3">
        <v>45553.9375</v>
      </c>
      <c r="B868" s="1">
        <v>17.2</v>
      </c>
    </row>
    <row r="869" spans="1:2" x14ac:dyDescent="0.3">
      <c r="A869" s="3">
        <v>45553.958333333336</v>
      </c>
      <c r="B869" s="1">
        <v>16.899999999999999</v>
      </c>
    </row>
    <row r="870" spans="1:2" x14ac:dyDescent="0.3">
      <c r="A870" s="3">
        <v>45553.979166666664</v>
      </c>
      <c r="B870" s="1">
        <v>16.600000000000001</v>
      </c>
    </row>
    <row r="871" spans="1:2" x14ac:dyDescent="0.3">
      <c r="A871" s="3">
        <v>45554</v>
      </c>
      <c r="B871" s="1">
        <v>16.600000000000001</v>
      </c>
    </row>
    <row r="872" spans="1:2" x14ac:dyDescent="0.3">
      <c r="A872" s="3">
        <v>45554.020833333336</v>
      </c>
      <c r="B872" s="1">
        <v>16.600000000000001</v>
      </c>
    </row>
    <row r="873" spans="1:2" x14ac:dyDescent="0.3">
      <c r="A873" s="3">
        <v>45554.041666666664</v>
      </c>
      <c r="B873" s="1">
        <v>16.3</v>
      </c>
    </row>
    <row r="874" spans="1:2" x14ac:dyDescent="0.3">
      <c r="A874" s="3">
        <v>45554.0625</v>
      </c>
      <c r="B874" s="1">
        <v>15.8</v>
      </c>
    </row>
    <row r="875" spans="1:2" x14ac:dyDescent="0.3">
      <c r="A875" s="3">
        <v>45554.083333333336</v>
      </c>
      <c r="B875" s="1">
        <v>15.6</v>
      </c>
    </row>
    <row r="876" spans="1:2" x14ac:dyDescent="0.3">
      <c r="A876" s="3">
        <v>45554.104166666664</v>
      </c>
      <c r="B876" s="1">
        <v>15.6</v>
      </c>
    </row>
    <row r="877" spans="1:2" x14ac:dyDescent="0.3">
      <c r="A877" s="3">
        <v>45554.125</v>
      </c>
      <c r="B877" s="1">
        <v>15.3</v>
      </c>
    </row>
    <row r="878" spans="1:2" x14ac:dyDescent="0.3">
      <c r="A878" s="3">
        <v>45554.145833333336</v>
      </c>
      <c r="B878" s="1">
        <v>15.4</v>
      </c>
    </row>
    <row r="879" spans="1:2" x14ac:dyDescent="0.3">
      <c r="A879" s="3">
        <v>45554.166666666664</v>
      </c>
      <c r="B879" s="1">
        <v>15.5</v>
      </c>
    </row>
    <row r="880" spans="1:2" x14ac:dyDescent="0.3">
      <c r="A880" s="3">
        <v>45554.1875</v>
      </c>
      <c r="B880" s="1">
        <v>15.3</v>
      </c>
    </row>
    <row r="881" spans="1:2" x14ac:dyDescent="0.3">
      <c r="A881" s="3">
        <v>45554.208333333336</v>
      </c>
      <c r="B881" s="1">
        <v>15.2</v>
      </c>
    </row>
    <row r="882" spans="1:2" x14ac:dyDescent="0.3">
      <c r="A882" s="3">
        <v>45554.229166666664</v>
      </c>
      <c r="B882" s="1">
        <v>15.5</v>
      </c>
    </row>
    <row r="883" spans="1:2" x14ac:dyDescent="0.3">
      <c r="A883" s="3">
        <v>45554.25</v>
      </c>
      <c r="B883" s="1">
        <v>16</v>
      </c>
    </row>
    <row r="884" spans="1:2" x14ac:dyDescent="0.3">
      <c r="A884" s="3">
        <v>45554.270833333336</v>
      </c>
      <c r="B884" s="1">
        <v>16</v>
      </c>
    </row>
    <row r="885" spans="1:2" x14ac:dyDescent="0.3">
      <c r="A885" s="3">
        <v>45554.291666666664</v>
      </c>
      <c r="B885" s="1">
        <v>16.100000000000001</v>
      </c>
    </row>
    <row r="886" spans="1:2" x14ac:dyDescent="0.3">
      <c r="A886" s="3">
        <v>45554.3125</v>
      </c>
      <c r="B886" s="1">
        <v>16.2</v>
      </c>
    </row>
    <row r="887" spans="1:2" x14ac:dyDescent="0.3">
      <c r="A887" s="3">
        <v>45554.333333333336</v>
      </c>
      <c r="B887" s="1">
        <v>16.8</v>
      </c>
    </row>
    <row r="888" spans="1:2" x14ac:dyDescent="0.3">
      <c r="A888" s="3">
        <v>45554.354166666664</v>
      </c>
      <c r="B888" s="1">
        <v>17.7</v>
      </c>
    </row>
    <row r="889" spans="1:2" x14ac:dyDescent="0.3">
      <c r="A889" s="3">
        <v>45554.375</v>
      </c>
      <c r="B889" s="1">
        <v>18.5</v>
      </c>
    </row>
    <row r="890" spans="1:2" x14ac:dyDescent="0.3">
      <c r="A890" s="3">
        <v>45554.395833333336</v>
      </c>
      <c r="B890" s="1">
        <v>19.2</v>
      </c>
    </row>
    <row r="891" spans="1:2" x14ac:dyDescent="0.3">
      <c r="A891" s="3">
        <v>45554.416666666664</v>
      </c>
      <c r="B891" s="1">
        <v>19.899999999999999</v>
      </c>
    </row>
    <row r="892" spans="1:2" x14ac:dyDescent="0.3">
      <c r="A892" s="3">
        <v>45554.4375</v>
      </c>
      <c r="B892" s="1">
        <v>21</v>
      </c>
    </row>
    <row r="893" spans="1:2" x14ac:dyDescent="0.3">
      <c r="A893" s="3">
        <v>45554.458333333336</v>
      </c>
      <c r="B893" s="1">
        <v>21.8</v>
      </c>
    </row>
    <row r="894" spans="1:2" x14ac:dyDescent="0.3">
      <c r="A894" s="3">
        <v>45554.479166666664</v>
      </c>
      <c r="B894" s="1">
        <v>22.4</v>
      </c>
    </row>
    <row r="895" spans="1:2" x14ac:dyDescent="0.3">
      <c r="A895" s="3">
        <v>45554.5</v>
      </c>
      <c r="B895" s="1">
        <v>23</v>
      </c>
    </row>
    <row r="896" spans="1:2" x14ac:dyDescent="0.3">
      <c r="A896" s="3">
        <v>45554.520833333336</v>
      </c>
      <c r="B896" s="1">
        <v>23</v>
      </c>
    </row>
    <row r="897" spans="1:2" x14ac:dyDescent="0.3">
      <c r="A897" s="3">
        <v>45554.541666666664</v>
      </c>
      <c r="B897" s="1">
        <v>22.5</v>
      </c>
    </row>
    <row r="898" spans="1:2" x14ac:dyDescent="0.3">
      <c r="A898" s="3">
        <v>45554.5625</v>
      </c>
      <c r="B898" s="1">
        <v>21.1</v>
      </c>
    </row>
    <row r="899" spans="1:2" x14ac:dyDescent="0.3">
      <c r="A899" s="3">
        <v>45554.583333333336</v>
      </c>
      <c r="B899" s="1">
        <v>21.6</v>
      </c>
    </row>
    <row r="900" spans="1:2" x14ac:dyDescent="0.3">
      <c r="A900" s="3">
        <v>45554.604166666664</v>
      </c>
      <c r="B900" s="1">
        <v>22.8</v>
      </c>
    </row>
    <row r="901" spans="1:2" x14ac:dyDescent="0.3">
      <c r="A901" s="3">
        <v>45554.625</v>
      </c>
      <c r="B901" s="1">
        <v>22.2</v>
      </c>
    </row>
    <row r="902" spans="1:2" x14ac:dyDescent="0.3">
      <c r="A902" s="3">
        <v>45554.645833333336</v>
      </c>
      <c r="B902" s="1">
        <v>22.1</v>
      </c>
    </row>
    <row r="903" spans="1:2" x14ac:dyDescent="0.3">
      <c r="A903" s="3">
        <v>45554.666666666664</v>
      </c>
      <c r="B903" s="1">
        <v>21.7</v>
      </c>
    </row>
    <row r="904" spans="1:2" x14ac:dyDescent="0.3">
      <c r="A904" s="3">
        <v>45554.6875</v>
      </c>
      <c r="B904" s="1">
        <v>21.8</v>
      </c>
    </row>
    <row r="905" spans="1:2" x14ac:dyDescent="0.3">
      <c r="A905" s="3">
        <v>45554.708333333336</v>
      </c>
      <c r="B905" s="1">
        <v>21.6</v>
      </c>
    </row>
    <row r="906" spans="1:2" x14ac:dyDescent="0.3">
      <c r="A906" s="3">
        <v>45554.729166666664</v>
      </c>
      <c r="B906" s="1">
        <v>20.8</v>
      </c>
    </row>
    <row r="907" spans="1:2" x14ac:dyDescent="0.3">
      <c r="A907" s="3">
        <v>45554.75</v>
      </c>
      <c r="B907" s="1">
        <v>20.3</v>
      </c>
    </row>
    <row r="908" spans="1:2" x14ac:dyDescent="0.3">
      <c r="A908" s="3">
        <v>45554.770833333336</v>
      </c>
      <c r="B908" s="1">
        <v>19.8</v>
      </c>
    </row>
    <row r="909" spans="1:2" x14ac:dyDescent="0.3">
      <c r="A909" s="3">
        <v>45554.791666666664</v>
      </c>
      <c r="B909" s="1">
        <v>19.7</v>
      </c>
    </row>
    <row r="910" spans="1:2" x14ac:dyDescent="0.3">
      <c r="A910" s="3">
        <v>45554.8125</v>
      </c>
      <c r="B910" s="1">
        <v>19.600000000000001</v>
      </c>
    </row>
    <row r="911" spans="1:2" x14ac:dyDescent="0.3">
      <c r="A911" s="3">
        <v>45554.833333333336</v>
      </c>
      <c r="B911" s="1">
        <v>19.100000000000001</v>
      </c>
    </row>
    <row r="912" spans="1:2" x14ac:dyDescent="0.3">
      <c r="A912" s="3">
        <v>45554.854166666664</v>
      </c>
      <c r="B912" s="1">
        <v>18.7</v>
      </c>
    </row>
    <row r="913" spans="1:2" x14ac:dyDescent="0.3">
      <c r="A913" s="3">
        <v>45554.875</v>
      </c>
      <c r="B913" s="1">
        <v>18</v>
      </c>
    </row>
    <row r="914" spans="1:2" x14ac:dyDescent="0.3">
      <c r="A914" s="3">
        <v>45554.895833333336</v>
      </c>
      <c r="B914" s="1">
        <v>17.8</v>
      </c>
    </row>
    <row r="915" spans="1:2" x14ac:dyDescent="0.3">
      <c r="A915" s="3">
        <v>45554.916666666664</v>
      </c>
      <c r="B915" s="1">
        <v>17.8</v>
      </c>
    </row>
    <row r="916" spans="1:2" x14ac:dyDescent="0.3">
      <c r="A916" s="3">
        <v>45554.9375</v>
      </c>
      <c r="B916" s="1">
        <v>17.100000000000001</v>
      </c>
    </row>
    <row r="917" spans="1:2" x14ac:dyDescent="0.3">
      <c r="A917" s="3">
        <v>45554.958333333336</v>
      </c>
      <c r="B917" s="1">
        <v>17</v>
      </c>
    </row>
    <row r="918" spans="1:2" x14ac:dyDescent="0.3">
      <c r="A918" s="3">
        <v>45554.979166666664</v>
      </c>
      <c r="B918" s="1">
        <v>17</v>
      </c>
    </row>
    <row r="919" spans="1:2" x14ac:dyDescent="0.3">
      <c r="A919" s="3">
        <v>45555</v>
      </c>
      <c r="B919" s="1">
        <v>16.7</v>
      </c>
    </row>
    <row r="920" spans="1:2" x14ac:dyDescent="0.3">
      <c r="A920" s="3">
        <v>45555.020833333336</v>
      </c>
      <c r="B920" s="1">
        <v>16.899999999999999</v>
      </c>
    </row>
    <row r="921" spans="1:2" x14ac:dyDescent="0.3">
      <c r="A921" s="3">
        <v>45555.041666666664</v>
      </c>
      <c r="B921" s="1">
        <v>16.600000000000001</v>
      </c>
    </row>
    <row r="922" spans="1:2" x14ac:dyDescent="0.3">
      <c r="A922" s="3">
        <v>45555.0625</v>
      </c>
      <c r="B922" s="1">
        <v>16.2</v>
      </c>
    </row>
    <row r="923" spans="1:2" x14ac:dyDescent="0.3">
      <c r="A923" s="3">
        <v>45555.083333333336</v>
      </c>
      <c r="B923" s="1">
        <v>16.2</v>
      </c>
    </row>
    <row r="924" spans="1:2" x14ac:dyDescent="0.3">
      <c r="A924" s="3">
        <v>45555.104166666664</v>
      </c>
      <c r="B924" s="1">
        <v>15.9</v>
      </c>
    </row>
    <row r="925" spans="1:2" x14ac:dyDescent="0.3">
      <c r="A925" s="3">
        <v>45555.125</v>
      </c>
      <c r="B925" s="1">
        <v>15.8</v>
      </c>
    </row>
    <row r="926" spans="1:2" x14ac:dyDescent="0.3">
      <c r="A926" s="3">
        <v>45555.145833333336</v>
      </c>
      <c r="B926" s="1">
        <v>15.7</v>
      </c>
    </row>
    <row r="927" spans="1:2" x14ac:dyDescent="0.3">
      <c r="A927" s="3">
        <v>45555.166666666664</v>
      </c>
      <c r="B927" s="1">
        <v>15.7</v>
      </c>
    </row>
    <row r="928" spans="1:2" x14ac:dyDescent="0.3">
      <c r="A928" s="3">
        <v>45555.1875</v>
      </c>
      <c r="B928" s="1">
        <v>15.5</v>
      </c>
    </row>
    <row r="929" spans="1:2" x14ac:dyDescent="0.3">
      <c r="A929" s="3">
        <v>45555.208333333336</v>
      </c>
      <c r="B929" s="1">
        <v>15.2</v>
      </c>
    </row>
    <row r="930" spans="1:2" x14ac:dyDescent="0.3">
      <c r="A930" s="3">
        <v>45555.229166666664</v>
      </c>
      <c r="B930" s="1">
        <v>15</v>
      </c>
    </row>
    <row r="931" spans="1:2" x14ac:dyDescent="0.3">
      <c r="A931" s="3">
        <v>45555.25</v>
      </c>
      <c r="B931" s="1">
        <v>15.5</v>
      </c>
    </row>
    <row r="932" spans="1:2" x14ac:dyDescent="0.3">
      <c r="A932" s="3">
        <v>45555.270833333336</v>
      </c>
      <c r="B932" s="1">
        <v>15.8</v>
      </c>
    </row>
    <row r="933" spans="1:2" x14ac:dyDescent="0.3">
      <c r="A933" s="3">
        <v>45555.291666666664</v>
      </c>
      <c r="B933" s="1">
        <v>16.3</v>
      </c>
    </row>
    <row r="934" spans="1:2" x14ac:dyDescent="0.3">
      <c r="A934" s="3">
        <v>45555.3125</v>
      </c>
      <c r="B934" s="1">
        <v>16.8</v>
      </c>
    </row>
    <row r="935" spans="1:2" x14ac:dyDescent="0.3">
      <c r="A935" s="3">
        <v>45555.333333333336</v>
      </c>
      <c r="B935" s="1">
        <v>17.8</v>
      </c>
    </row>
    <row r="936" spans="1:2" x14ac:dyDescent="0.3">
      <c r="A936" s="3">
        <v>45555.354166666664</v>
      </c>
      <c r="B936" s="1">
        <v>18.8</v>
      </c>
    </row>
    <row r="937" spans="1:2" x14ac:dyDescent="0.3">
      <c r="A937" s="3">
        <v>45555.375</v>
      </c>
      <c r="B937" s="1">
        <v>19.5</v>
      </c>
    </row>
    <row r="938" spans="1:2" x14ac:dyDescent="0.3">
      <c r="A938" s="3">
        <v>45555.395833333336</v>
      </c>
      <c r="B938" s="1">
        <v>20.3</v>
      </c>
    </row>
    <row r="939" spans="1:2" x14ac:dyDescent="0.3">
      <c r="A939" s="3">
        <v>45555.416666666664</v>
      </c>
      <c r="B939" s="1">
        <v>20.8</v>
      </c>
    </row>
    <row r="940" spans="1:2" x14ac:dyDescent="0.3">
      <c r="A940" s="3">
        <v>45555.4375</v>
      </c>
      <c r="B940" s="1">
        <v>21.6</v>
      </c>
    </row>
    <row r="941" spans="1:2" x14ac:dyDescent="0.3">
      <c r="A941" s="3">
        <v>45555.458333333336</v>
      </c>
      <c r="B941" s="1">
        <v>22.3</v>
      </c>
    </row>
    <row r="942" spans="1:2" x14ac:dyDescent="0.3">
      <c r="A942" s="3">
        <v>45555.479166666664</v>
      </c>
      <c r="B942" s="1">
        <v>22.8</v>
      </c>
    </row>
    <row r="943" spans="1:2" x14ac:dyDescent="0.3">
      <c r="A943" s="3">
        <v>45555.5</v>
      </c>
      <c r="B943" s="1">
        <v>23.4</v>
      </c>
    </row>
    <row r="944" spans="1:2" x14ac:dyDescent="0.3">
      <c r="A944" s="3">
        <v>45555.520833333336</v>
      </c>
      <c r="B944" s="1">
        <v>23.9</v>
      </c>
    </row>
    <row r="945" spans="1:2" x14ac:dyDescent="0.3">
      <c r="A945" s="3">
        <v>45555.541666666664</v>
      </c>
      <c r="B945" s="1">
        <v>24.4</v>
      </c>
    </row>
    <row r="946" spans="1:2" x14ac:dyDescent="0.3">
      <c r="A946" s="3">
        <v>45555.5625</v>
      </c>
      <c r="B946" s="1">
        <v>24.7</v>
      </c>
    </row>
    <row r="947" spans="1:2" x14ac:dyDescent="0.3">
      <c r="A947" s="3">
        <v>45555.583333333336</v>
      </c>
      <c r="B947" s="1">
        <v>24.4</v>
      </c>
    </row>
    <row r="948" spans="1:2" x14ac:dyDescent="0.3">
      <c r="A948" s="3">
        <v>45555.604166666664</v>
      </c>
      <c r="B948" s="1">
        <v>24.1</v>
      </c>
    </row>
    <row r="949" spans="1:2" x14ac:dyDescent="0.3">
      <c r="A949" s="3">
        <v>45555.625</v>
      </c>
      <c r="B949" s="1">
        <v>24.6</v>
      </c>
    </row>
    <row r="950" spans="1:2" x14ac:dyDescent="0.3">
      <c r="A950" s="3">
        <v>45555.645833333336</v>
      </c>
      <c r="B950" s="1">
        <v>24.5</v>
      </c>
    </row>
    <row r="951" spans="1:2" x14ac:dyDescent="0.3">
      <c r="A951" s="3">
        <v>45555.666666666664</v>
      </c>
      <c r="B951" s="1">
        <v>23.7</v>
      </c>
    </row>
    <row r="952" spans="1:2" x14ac:dyDescent="0.3">
      <c r="A952" s="3">
        <v>45555.6875</v>
      </c>
      <c r="B952" s="1">
        <v>23.1</v>
      </c>
    </row>
    <row r="953" spans="1:2" x14ac:dyDescent="0.3">
      <c r="A953" s="3">
        <v>45555.708333333336</v>
      </c>
      <c r="B953" s="1">
        <v>22.1</v>
      </c>
    </row>
    <row r="954" spans="1:2" x14ac:dyDescent="0.3">
      <c r="A954" s="3">
        <v>45555.729166666664</v>
      </c>
      <c r="B954" s="1">
        <v>21.5</v>
      </c>
    </row>
    <row r="955" spans="1:2" x14ac:dyDescent="0.3">
      <c r="A955" s="3">
        <v>45555.75</v>
      </c>
      <c r="B955" s="1">
        <v>21.3</v>
      </c>
    </row>
    <row r="956" spans="1:2" x14ac:dyDescent="0.3">
      <c r="A956" s="3">
        <v>45555.770833333336</v>
      </c>
      <c r="B956" s="1">
        <v>21</v>
      </c>
    </row>
    <row r="957" spans="1:2" x14ac:dyDescent="0.3">
      <c r="A957" s="3">
        <v>45555.791666666664</v>
      </c>
      <c r="B957" s="1">
        <v>20.8</v>
      </c>
    </row>
    <row r="958" spans="1:2" x14ac:dyDescent="0.3">
      <c r="A958" s="3">
        <v>45555.8125</v>
      </c>
      <c r="B958" s="1">
        <v>20.9</v>
      </c>
    </row>
    <row r="959" spans="1:2" x14ac:dyDescent="0.3">
      <c r="A959" s="3">
        <v>45555.833333333336</v>
      </c>
      <c r="B959" s="1">
        <v>20.9</v>
      </c>
    </row>
    <row r="960" spans="1:2" x14ac:dyDescent="0.3">
      <c r="A960" s="3">
        <v>45555.854166666664</v>
      </c>
      <c r="B960" s="1">
        <v>20.8</v>
      </c>
    </row>
    <row r="961" spans="1:2" x14ac:dyDescent="0.3">
      <c r="A961" s="3">
        <v>45555.875</v>
      </c>
      <c r="B961" s="1">
        <v>20.8</v>
      </c>
    </row>
    <row r="962" spans="1:2" x14ac:dyDescent="0.3">
      <c r="A962" s="3">
        <v>45555.895833333336</v>
      </c>
      <c r="B962" s="1">
        <v>20.6</v>
      </c>
    </row>
    <row r="963" spans="1:2" x14ac:dyDescent="0.3">
      <c r="A963" s="3">
        <v>45555.916666666664</v>
      </c>
      <c r="B963" s="1">
        <v>20.5</v>
      </c>
    </row>
    <row r="964" spans="1:2" x14ac:dyDescent="0.3">
      <c r="A964" s="3">
        <v>45555.9375</v>
      </c>
      <c r="B964" s="1">
        <v>20.399999999999999</v>
      </c>
    </row>
    <row r="965" spans="1:2" x14ac:dyDescent="0.3">
      <c r="A965" s="3">
        <v>45555.958333333336</v>
      </c>
      <c r="B965" s="1">
        <v>19.8</v>
      </c>
    </row>
    <row r="966" spans="1:2" x14ac:dyDescent="0.3">
      <c r="A966" s="3">
        <v>45555.979166666664</v>
      </c>
      <c r="B966" s="1">
        <v>19.5</v>
      </c>
    </row>
    <row r="967" spans="1:2" x14ac:dyDescent="0.3">
      <c r="A967" s="3">
        <v>45556</v>
      </c>
      <c r="B967" s="1">
        <v>18.899999999999999</v>
      </c>
    </row>
    <row r="968" spans="1:2" x14ac:dyDescent="0.3">
      <c r="A968" s="3">
        <v>45556.020833333336</v>
      </c>
      <c r="B968" s="1">
        <v>18.3</v>
      </c>
    </row>
    <row r="969" spans="1:2" x14ac:dyDescent="0.3">
      <c r="A969" s="3">
        <v>45556.041666666664</v>
      </c>
      <c r="B969" s="1">
        <v>18.5</v>
      </c>
    </row>
    <row r="970" spans="1:2" x14ac:dyDescent="0.3">
      <c r="A970" s="3">
        <v>45556.0625</v>
      </c>
      <c r="B970" s="1">
        <v>18.3</v>
      </c>
    </row>
    <row r="971" spans="1:2" x14ac:dyDescent="0.3">
      <c r="A971" s="3">
        <v>45556.083333333336</v>
      </c>
      <c r="B971" s="1">
        <v>18.5</v>
      </c>
    </row>
    <row r="972" spans="1:2" x14ac:dyDescent="0.3">
      <c r="A972" s="3">
        <v>45556.104166666664</v>
      </c>
      <c r="B972" s="1">
        <v>18.2</v>
      </c>
    </row>
    <row r="973" spans="1:2" x14ac:dyDescent="0.3">
      <c r="A973" s="3">
        <v>45556.125</v>
      </c>
      <c r="B973" s="1">
        <v>17.899999999999999</v>
      </c>
    </row>
    <row r="974" spans="1:2" x14ac:dyDescent="0.3">
      <c r="A974" s="3">
        <v>45556.145833333336</v>
      </c>
      <c r="B974" s="1">
        <v>17.899999999999999</v>
      </c>
    </row>
    <row r="975" spans="1:2" x14ac:dyDescent="0.3">
      <c r="A975" s="3">
        <v>45556.166666666664</v>
      </c>
      <c r="B975" s="1">
        <v>18.100000000000001</v>
      </c>
    </row>
    <row r="976" spans="1:2" x14ac:dyDescent="0.3">
      <c r="A976" s="3">
        <v>45556.1875</v>
      </c>
      <c r="B976" s="1">
        <v>17.899999999999999</v>
      </c>
    </row>
    <row r="977" spans="1:2" x14ac:dyDescent="0.3">
      <c r="A977" s="3">
        <v>45556.208333333336</v>
      </c>
      <c r="B977" s="1">
        <v>17.7</v>
      </c>
    </row>
    <row r="978" spans="1:2" x14ac:dyDescent="0.3">
      <c r="A978" s="3">
        <v>45556.229166666664</v>
      </c>
      <c r="B978" s="1">
        <v>17.7</v>
      </c>
    </row>
    <row r="979" spans="1:2" x14ac:dyDescent="0.3">
      <c r="A979" s="3">
        <v>45556.25</v>
      </c>
      <c r="B979" s="1">
        <v>18</v>
      </c>
    </row>
    <row r="980" spans="1:2" x14ac:dyDescent="0.3">
      <c r="A980" s="3">
        <v>45556.270833333336</v>
      </c>
      <c r="B980" s="1">
        <v>18</v>
      </c>
    </row>
    <row r="981" spans="1:2" x14ac:dyDescent="0.3">
      <c r="A981" s="3">
        <v>45556.291666666664</v>
      </c>
      <c r="B981" s="1">
        <v>18.5</v>
      </c>
    </row>
    <row r="982" spans="1:2" x14ac:dyDescent="0.3">
      <c r="A982" s="3">
        <v>45556.3125</v>
      </c>
      <c r="B982" s="1">
        <v>19.2</v>
      </c>
    </row>
    <row r="983" spans="1:2" x14ac:dyDescent="0.3">
      <c r="A983" s="3">
        <v>45556.333333333336</v>
      </c>
      <c r="B983" s="1">
        <v>20</v>
      </c>
    </row>
    <row r="984" spans="1:2" x14ac:dyDescent="0.3">
      <c r="A984" s="3">
        <v>45556.354166666664</v>
      </c>
      <c r="B984" s="1">
        <v>20.8</v>
      </c>
    </row>
    <row r="985" spans="1:2" x14ac:dyDescent="0.3">
      <c r="A985" s="3">
        <v>45556.375</v>
      </c>
      <c r="B985" s="1">
        <v>21.6</v>
      </c>
    </row>
    <row r="986" spans="1:2" x14ac:dyDescent="0.3">
      <c r="A986" s="3">
        <v>45556.395833333336</v>
      </c>
      <c r="B986" s="1">
        <v>22.4</v>
      </c>
    </row>
    <row r="987" spans="1:2" x14ac:dyDescent="0.3">
      <c r="A987" s="3">
        <v>45556.416666666664</v>
      </c>
      <c r="B987" s="1">
        <v>22.8</v>
      </c>
    </row>
    <row r="988" spans="1:2" x14ac:dyDescent="0.3">
      <c r="A988" s="3">
        <v>45556.4375</v>
      </c>
      <c r="B988" s="1">
        <v>23.4</v>
      </c>
    </row>
    <row r="989" spans="1:2" x14ac:dyDescent="0.3">
      <c r="A989" s="3">
        <v>45556.458333333336</v>
      </c>
      <c r="B989" s="1">
        <v>24.1</v>
      </c>
    </row>
    <row r="990" spans="1:2" x14ac:dyDescent="0.3">
      <c r="A990" s="3">
        <v>45556.479166666664</v>
      </c>
      <c r="B990" s="1">
        <v>24.8</v>
      </c>
    </row>
    <row r="991" spans="1:2" x14ac:dyDescent="0.3">
      <c r="A991" s="3">
        <v>45556.5</v>
      </c>
      <c r="B991" s="1">
        <v>25.2</v>
      </c>
    </row>
    <row r="992" spans="1:2" x14ac:dyDescent="0.3">
      <c r="A992" s="3">
        <v>45556.520833333336</v>
      </c>
      <c r="B992" s="1">
        <v>25.4</v>
      </c>
    </row>
    <row r="993" spans="1:2" x14ac:dyDescent="0.3">
      <c r="A993" s="3">
        <v>45556.541666666664</v>
      </c>
      <c r="B993" s="1">
        <v>25.6</v>
      </c>
    </row>
    <row r="994" spans="1:2" x14ac:dyDescent="0.3">
      <c r="A994" s="3">
        <v>45556.5625</v>
      </c>
      <c r="B994" s="1">
        <v>25.2</v>
      </c>
    </row>
    <row r="995" spans="1:2" x14ac:dyDescent="0.3">
      <c r="A995" s="3">
        <v>45556.583333333336</v>
      </c>
      <c r="B995" s="1">
        <v>25.4</v>
      </c>
    </row>
    <row r="996" spans="1:2" x14ac:dyDescent="0.3">
      <c r="A996" s="3">
        <v>45556.604166666664</v>
      </c>
      <c r="B996" s="1">
        <v>25.1</v>
      </c>
    </row>
    <row r="997" spans="1:2" x14ac:dyDescent="0.3">
      <c r="A997" s="3">
        <v>45556.625</v>
      </c>
      <c r="B997" s="1">
        <v>24.5</v>
      </c>
    </row>
    <row r="998" spans="1:2" x14ac:dyDescent="0.3">
      <c r="A998" s="3">
        <v>45556.645833333336</v>
      </c>
      <c r="B998" s="1">
        <v>24.3</v>
      </c>
    </row>
    <row r="999" spans="1:2" x14ac:dyDescent="0.3">
      <c r="A999" s="3">
        <v>45556.666666666664</v>
      </c>
      <c r="B999" s="1">
        <v>24.4</v>
      </c>
    </row>
    <row r="1000" spans="1:2" x14ac:dyDescent="0.3">
      <c r="A1000" s="3">
        <v>45556.6875</v>
      </c>
      <c r="B1000" s="1">
        <v>23.3</v>
      </c>
    </row>
    <row r="1001" spans="1:2" x14ac:dyDescent="0.3">
      <c r="A1001" s="3">
        <v>45556.708333333336</v>
      </c>
      <c r="B1001" s="1">
        <v>22.7</v>
      </c>
    </row>
    <row r="1002" spans="1:2" x14ac:dyDescent="0.3">
      <c r="A1002" s="3">
        <v>45556.729166666664</v>
      </c>
      <c r="B1002" s="1">
        <v>22.4</v>
      </c>
    </row>
    <row r="1003" spans="1:2" x14ac:dyDescent="0.3">
      <c r="A1003" s="3">
        <v>45556.75</v>
      </c>
      <c r="B1003" s="1">
        <v>22</v>
      </c>
    </row>
    <row r="1004" spans="1:2" x14ac:dyDescent="0.3">
      <c r="A1004" s="3">
        <v>45556.770833333336</v>
      </c>
      <c r="B1004" s="1">
        <v>21.9</v>
      </c>
    </row>
    <row r="1005" spans="1:2" x14ac:dyDescent="0.3">
      <c r="A1005" s="3">
        <v>45556.791666666664</v>
      </c>
      <c r="B1005" s="1">
        <v>21.8</v>
      </c>
    </row>
    <row r="1006" spans="1:2" x14ac:dyDescent="0.3">
      <c r="A1006" s="3">
        <v>45556.8125</v>
      </c>
      <c r="B1006" s="1">
        <v>21.7</v>
      </c>
    </row>
    <row r="1007" spans="1:2" x14ac:dyDescent="0.3">
      <c r="A1007" s="3">
        <v>45556.833333333336</v>
      </c>
      <c r="B1007" s="1">
        <v>21.6</v>
      </c>
    </row>
    <row r="1008" spans="1:2" x14ac:dyDescent="0.3">
      <c r="A1008" s="3">
        <v>45556.854166666664</v>
      </c>
      <c r="B1008" s="1">
        <v>21.5</v>
      </c>
    </row>
    <row r="1009" spans="1:2" x14ac:dyDescent="0.3">
      <c r="A1009" s="3">
        <v>45556.875</v>
      </c>
      <c r="B1009" s="1">
        <v>21.4</v>
      </c>
    </row>
    <row r="1010" spans="1:2" x14ac:dyDescent="0.3">
      <c r="A1010" s="3">
        <v>45556.895833333336</v>
      </c>
      <c r="B1010" s="1">
        <v>21.4</v>
      </c>
    </row>
    <row r="1011" spans="1:2" x14ac:dyDescent="0.3">
      <c r="A1011" s="3">
        <v>45556.916666666664</v>
      </c>
      <c r="B1011" s="1">
        <v>21.4</v>
      </c>
    </row>
    <row r="1012" spans="1:2" x14ac:dyDescent="0.3">
      <c r="A1012" s="3">
        <v>45556.9375</v>
      </c>
      <c r="B1012" s="1">
        <v>21.3</v>
      </c>
    </row>
    <row r="1013" spans="1:2" x14ac:dyDescent="0.3">
      <c r="A1013" s="3">
        <v>45556.958333333336</v>
      </c>
      <c r="B1013" s="1">
        <v>19.8</v>
      </c>
    </row>
    <row r="1014" spans="1:2" x14ac:dyDescent="0.3">
      <c r="A1014" s="3">
        <v>45556.979166666664</v>
      </c>
      <c r="B1014" s="1">
        <v>19.7</v>
      </c>
    </row>
    <row r="1015" spans="1:2" x14ac:dyDescent="0.3">
      <c r="A1015" s="3">
        <v>45557</v>
      </c>
      <c r="B1015" s="1">
        <v>19.2</v>
      </c>
    </row>
    <row r="1016" spans="1:2" x14ac:dyDescent="0.3">
      <c r="A1016" s="3">
        <v>45557.020833333336</v>
      </c>
      <c r="B1016" s="1">
        <v>18.7</v>
      </c>
    </row>
    <row r="1017" spans="1:2" x14ac:dyDescent="0.3">
      <c r="A1017" s="3">
        <v>45557.041666666664</v>
      </c>
      <c r="B1017" s="1">
        <v>18.5</v>
      </c>
    </row>
    <row r="1018" spans="1:2" x14ac:dyDescent="0.3">
      <c r="A1018" s="3">
        <v>45557.0625</v>
      </c>
      <c r="B1018" s="1">
        <v>18.7</v>
      </c>
    </row>
    <row r="1019" spans="1:2" x14ac:dyDescent="0.3">
      <c r="A1019" s="3">
        <v>45557.083333333336</v>
      </c>
      <c r="B1019" s="1">
        <v>18.5</v>
      </c>
    </row>
    <row r="1020" spans="1:2" x14ac:dyDescent="0.3">
      <c r="A1020" s="3">
        <v>45557.104166666664</v>
      </c>
      <c r="B1020" s="1">
        <v>18.600000000000001</v>
      </c>
    </row>
    <row r="1021" spans="1:2" x14ac:dyDescent="0.3">
      <c r="A1021" s="3">
        <v>45557.125</v>
      </c>
      <c r="B1021" s="1">
        <v>18.399999999999999</v>
      </c>
    </row>
    <row r="1022" spans="1:2" x14ac:dyDescent="0.3">
      <c r="A1022" s="3">
        <v>45557.145833333336</v>
      </c>
      <c r="B1022" s="1">
        <v>18.100000000000001</v>
      </c>
    </row>
    <row r="1023" spans="1:2" x14ac:dyDescent="0.3">
      <c r="A1023" s="3">
        <v>45557.166666666664</v>
      </c>
      <c r="B1023" s="1">
        <v>17.899999999999999</v>
      </c>
    </row>
    <row r="1024" spans="1:2" x14ac:dyDescent="0.3">
      <c r="A1024" s="3">
        <v>45557.1875</v>
      </c>
      <c r="B1024" s="1">
        <v>18</v>
      </c>
    </row>
    <row r="1025" spans="1:2" x14ac:dyDescent="0.3">
      <c r="A1025" s="3">
        <v>45557.208333333336</v>
      </c>
      <c r="B1025" s="1">
        <v>17.899999999999999</v>
      </c>
    </row>
    <row r="1026" spans="1:2" x14ac:dyDescent="0.3">
      <c r="A1026" s="3">
        <v>45557.229166666664</v>
      </c>
      <c r="B1026" s="1">
        <v>17.899999999999999</v>
      </c>
    </row>
    <row r="1027" spans="1:2" x14ac:dyDescent="0.3">
      <c r="A1027" s="3">
        <v>45557.25</v>
      </c>
      <c r="B1027" s="1">
        <v>17.899999999999999</v>
      </c>
    </row>
    <row r="1028" spans="1:2" x14ac:dyDescent="0.3">
      <c r="A1028" s="3">
        <v>45557.270833333336</v>
      </c>
      <c r="B1028" s="1">
        <v>17.8</v>
      </c>
    </row>
    <row r="1029" spans="1:2" x14ac:dyDescent="0.3">
      <c r="A1029" s="3">
        <v>45557.291666666664</v>
      </c>
      <c r="B1029" s="1">
        <v>17.899999999999999</v>
      </c>
    </row>
    <row r="1030" spans="1:2" x14ac:dyDescent="0.3">
      <c r="A1030" s="3">
        <v>45557.3125</v>
      </c>
      <c r="B1030" s="1">
        <v>18.3</v>
      </c>
    </row>
    <row r="1031" spans="1:2" x14ac:dyDescent="0.3">
      <c r="A1031" s="3">
        <v>45557.333333333336</v>
      </c>
      <c r="B1031" s="1">
        <v>19.399999999999999</v>
      </c>
    </row>
    <row r="1032" spans="1:2" x14ac:dyDescent="0.3">
      <c r="A1032" s="3">
        <v>45557.354166666664</v>
      </c>
      <c r="B1032" s="1">
        <v>20.3</v>
      </c>
    </row>
    <row r="1033" spans="1:2" x14ac:dyDescent="0.3">
      <c r="A1033" s="3">
        <v>45557.375</v>
      </c>
      <c r="B1033" s="1">
        <v>21.1</v>
      </c>
    </row>
    <row r="1034" spans="1:2" x14ac:dyDescent="0.3">
      <c r="A1034" s="3">
        <v>45557.395833333336</v>
      </c>
      <c r="B1034" s="1">
        <v>21.7</v>
      </c>
    </row>
    <row r="1035" spans="1:2" x14ac:dyDescent="0.3">
      <c r="A1035" s="3">
        <v>45557.416666666664</v>
      </c>
      <c r="B1035" s="1">
        <v>22.1</v>
      </c>
    </row>
    <row r="1036" spans="1:2" x14ac:dyDescent="0.3">
      <c r="A1036" s="3">
        <v>45557.4375</v>
      </c>
      <c r="B1036" s="1">
        <v>22.9</v>
      </c>
    </row>
    <row r="1037" spans="1:2" x14ac:dyDescent="0.3">
      <c r="A1037" s="3">
        <v>45557.458333333336</v>
      </c>
      <c r="B1037" s="1">
        <v>23.4</v>
      </c>
    </row>
    <row r="1038" spans="1:2" x14ac:dyDescent="0.3">
      <c r="A1038" s="3">
        <v>45557.479166666664</v>
      </c>
      <c r="B1038" s="1">
        <v>24.5</v>
      </c>
    </row>
    <row r="1039" spans="1:2" x14ac:dyDescent="0.3">
      <c r="A1039" s="3">
        <v>45557.5</v>
      </c>
      <c r="B1039" s="1">
        <v>24.8</v>
      </c>
    </row>
    <row r="1040" spans="1:2" x14ac:dyDescent="0.3">
      <c r="A1040" s="3">
        <v>45557.520833333336</v>
      </c>
      <c r="B1040" s="1">
        <v>25.4</v>
      </c>
    </row>
    <row r="1041" spans="1:2" x14ac:dyDescent="0.3">
      <c r="A1041" s="3">
        <v>45557.541666666664</v>
      </c>
      <c r="B1041" s="1">
        <v>25.7</v>
      </c>
    </row>
    <row r="1042" spans="1:2" x14ac:dyDescent="0.3">
      <c r="A1042" s="3">
        <v>45557.5625</v>
      </c>
      <c r="B1042" s="1">
        <v>25.4</v>
      </c>
    </row>
    <row r="1043" spans="1:2" x14ac:dyDescent="0.3">
      <c r="A1043" s="3">
        <v>45557.583333333336</v>
      </c>
      <c r="B1043" s="1">
        <v>25</v>
      </c>
    </row>
    <row r="1044" spans="1:2" x14ac:dyDescent="0.3">
      <c r="A1044" s="3">
        <v>45557.604166666664</v>
      </c>
      <c r="B1044" s="1">
        <v>24.7</v>
      </c>
    </row>
    <row r="1045" spans="1:2" x14ac:dyDescent="0.3">
      <c r="A1045" s="3">
        <v>45557.625</v>
      </c>
      <c r="B1045" s="1">
        <v>24.2</v>
      </c>
    </row>
    <row r="1046" spans="1:2" x14ac:dyDescent="0.3">
      <c r="A1046" s="3">
        <v>45557.645833333336</v>
      </c>
      <c r="B1046" s="1">
        <v>23.8</v>
      </c>
    </row>
    <row r="1047" spans="1:2" x14ac:dyDescent="0.3">
      <c r="A1047" s="3">
        <v>45557.666666666664</v>
      </c>
      <c r="B1047" s="1">
        <v>23.6</v>
      </c>
    </row>
    <row r="1048" spans="1:2" x14ac:dyDescent="0.3">
      <c r="A1048" s="3">
        <v>45557.6875</v>
      </c>
      <c r="B1048" s="1">
        <v>23.4</v>
      </c>
    </row>
    <row r="1049" spans="1:2" x14ac:dyDescent="0.3">
      <c r="A1049" s="3">
        <v>45557.708333333336</v>
      </c>
      <c r="B1049" s="1">
        <v>23.1</v>
      </c>
    </row>
    <row r="1050" spans="1:2" x14ac:dyDescent="0.3">
      <c r="A1050" s="3">
        <v>45557.729166666664</v>
      </c>
      <c r="B1050" s="1">
        <v>23</v>
      </c>
    </row>
    <row r="1051" spans="1:2" x14ac:dyDescent="0.3">
      <c r="A1051" s="3">
        <v>45557.75</v>
      </c>
      <c r="B1051" s="1">
        <v>22.8</v>
      </c>
    </row>
    <row r="1052" spans="1:2" x14ac:dyDescent="0.3">
      <c r="A1052" s="3">
        <v>45557.770833333336</v>
      </c>
      <c r="B1052" s="1">
        <v>22.6</v>
      </c>
    </row>
    <row r="1053" spans="1:2" x14ac:dyDescent="0.3">
      <c r="A1053" s="3">
        <v>45557.791666666664</v>
      </c>
      <c r="B1053" s="1">
        <v>22.4</v>
      </c>
    </row>
    <row r="1054" spans="1:2" x14ac:dyDescent="0.3">
      <c r="A1054" s="3">
        <v>45557.8125</v>
      </c>
      <c r="B1054" s="1">
        <v>22.3</v>
      </c>
    </row>
    <row r="1055" spans="1:2" x14ac:dyDescent="0.3">
      <c r="A1055" s="3">
        <v>45557.833333333336</v>
      </c>
      <c r="B1055" s="1">
        <v>22.2</v>
      </c>
    </row>
    <row r="1056" spans="1:2" x14ac:dyDescent="0.3">
      <c r="A1056" s="3">
        <v>45557.854166666664</v>
      </c>
      <c r="B1056" s="1">
        <v>22.1</v>
      </c>
    </row>
    <row r="1057" spans="1:2" x14ac:dyDescent="0.3">
      <c r="A1057" s="3">
        <v>45557.875</v>
      </c>
      <c r="B1057" s="1">
        <v>22</v>
      </c>
    </row>
    <row r="1058" spans="1:2" x14ac:dyDescent="0.3">
      <c r="A1058" s="3">
        <v>45557.895833333336</v>
      </c>
      <c r="B1058" s="1">
        <v>21.8</v>
      </c>
    </row>
    <row r="1059" spans="1:2" x14ac:dyDescent="0.3">
      <c r="A1059" s="3">
        <v>45557.916666666664</v>
      </c>
      <c r="B1059" s="1">
        <v>21.3</v>
      </c>
    </row>
    <row r="1060" spans="1:2" x14ac:dyDescent="0.3">
      <c r="A1060" s="3">
        <v>45557.9375</v>
      </c>
      <c r="B1060" s="1">
        <v>21.4</v>
      </c>
    </row>
    <row r="1061" spans="1:2" x14ac:dyDescent="0.3">
      <c r="A1061" s="3">
        <v>45557.958333333336</v>
      </c>
      <c r="B1061" s="1">
        <v>21.2</v>
      </c>
    </row>
    <row r="1062" spans="1:2" x14ac:dyDescent="0.3">
      <c r="A1062" s="3">
        <v>45557.979166666664</v>
      </c>
      <c r="B1062" s="1">
        <v>21.1</v>
      </c>
    </row>
    <row r="1063" spans="1:2" x14ac:dyDescent="0.3">
      <c r="A1063" s="3">
        <v>45558</v>
      </c>
      <c r="B1063" s="1">
        <v>21</v>
      </c>
    </row>
    <row r="1064" spans="1:2" x14ac:dyDescent="0.3">
      <c r="A1064" s="3">
        <v>45558.020833333336</v>
      </c>
      <c r="B1064" s="1">
        <v>20.7</v>
      </c>
    </row>
    <row r="1065" spans="1:2" x14ac:dyDescent="0.3">
      <c r="A1065" s="3">
        <v>45558.041666666664</v>
      </c>
      <c r="B1065" s="1">
        <v>20.5</v>
      </c>
    </row>
    <row r="1066" spans="1:2" x14ac:dyDescent="0.3">
      <c r="A1066" s="3">
        <v>45558.0625</v>
      </c>
      <c r="B1066" s="1">
        <v>20.100000000000001</v>
      </c>
    </row>
    <row r="1067" spans="1:2" x14ac:dyDescent="0.3">
      <c r="A1067" s="3">
        <v>45558.083333333336</v>
      </c>
      <c r="B1067" s="1">
        <v>19.399999999999999</v>
      </c>
    </row>
    <row r="1068" spans="1:2" x14ac:dyDescent="0.3">
      <c r="A1068" s="3">
        <v>45558.104166666664</v>
      </c>
      <c r="B1068" s="1">
        <v>19.3</v>
      </c>
    </row>
    <row r="1069" spans="1:2" x14ac:dyDescent="0.3">
      <c r="A1069" s="3">
        <v>45558.125</v>
      </c>
      <c r="B1069" s="1">
        <v>19</v>
      </c>
    </row>
    <row r="1070" spans="1:2" x14ac:dyDescent="0.3">
      <c r="A1070" s="3">
        <v>45558.145833333336</v>
      </c>
      <c r="B1070" s="1">
        <v>18.899999999999999</v>
      </c>
    </row>
    <row r="1071" spans="1:2" x14ac:dyDescent="0.3">
      <c r="A1071" s="3">
        <v>45558.166666666664</v>
      </c>
      <c r="B1071" s="1">
        <v>18.8</v>
      </c>
    </row>
    <row r="1072" spans="1:2" x14ac:dyDescent="0.3">
      <c r="A1072" s="3">
        <v>45558.1875</v>
      </c>
      <c r="B1072" s="1">
        <v>18.399999999999999</v>
      </c>
    </row>
    <row r="1073" spans="1:2" x14ac:dyDescent="0.3">
      <c r="A1073" s="3">
        <v>45558.208333333336</v>
      </c>
      <c r="B1073" s="1">
        <v>18.3</v>
      </c>
    </row>
    <row r="1074" spans="1:2" x14ac:dyDescent="0.3">
      <c r="A1074" s="3">
        <v>45558.229166666664</v>
      </c>
      <c r="B1074" s="1">
        <v>18.3</v>
      </c>
    </row>
    <row r="1075" spans="1:2" x14ac:dyDescent="0.3">
      <c r="A1075" s="3">
        <v>45558.25</v>
      </c>
      <c r="B1075" s="1">
        <v>18.7</v>
      </c>
    </row>
    <row r="1076" spans="1:2" x14ac:dyDescent="0.3">
      <c r="A1076" s="3">
        <v>45558.270833333336</v>
      </c>
      <c r="B1076" s="1">
        <v>19.100000000000001</v>
      </c>
    </row>
    <row r="1077" spans="1:2" x14ac:dyDescent="0.3">
      <c r="A1077" s="3">
        <v>45558.291666666664</v>
      </c>
      <c r="B1077" s="1">
        <v>19.399999999999999</v>
      </c>
    </row>
    <row r="1078" spans="1:2" x14ac:dyDescent="0.3">
      <c r="A1078" s="3">
        <v>45558.3125</v>
      </c>
      <c r="B1078" s="1">
        <v>20.100000000000001</v>
      </c>
    </row>
    <row r="1079" spans="1:2" x14ac:dyDescent="0.3">
      <c r="A1079" s="3">
        <v>45558.333333333336</v>
      </c>
      <c r="B1079" s="1">
        <v>21.5</v>
      </c>
    </row>
    <row r="1080" spans="1:2" x14ac:dyDescent="0.3">
      <c r="A1080" s="3">
        <v>45558.354166666664</v>
      </c>
      <c r="B1080" s="1">
        <v>22.8</v>
      </c>
    </row>
    <row r="1081" spans="1:2" x14ac:dyDescent="0.3">
      <c r="A1081" s="3">
        <v>45558.375</v>
      </c>
      <c r="B1081" s="1">
        <v>23.5</v>
      </c>
    </row>
    <row r="1082" spans="1:2" x14ac:dyDescent="0.3">
      <c r="A1082" s="3">
        <v>45558.395833333336</v>
      </c>
      <c r="B1082" s="1">
        <v>24</v>
      </c>
    </row>
    <row r="1083" spans="1:2" x14ac:dyDescent="0.3">
      <c r="A1083" s="3">
        <v>45558.416666666664</v>
      </c>
      <c r="B1083" s="1">
        <v>24.6</v>
      </c>
    </row>
    <row r="1084" spans="1:2" x14ac:dyDescent="0.3">
      <c r="A1084" s="3">
        <v>45558.4375</v>
      </c>
      <c r="B1084" s="1">
        <v>25.3</v>
      </c>
    </row>
    <row r="1085" spans="1:2" x14ac:dyDescent="0.3">
      <c r="A1085" s="3">
        <v>45558.458333333336</v>
      </c>
      <c r="B1085" s="1">
        <v>25.9</v>
      </c>
    </row>
    <row r="1086" spans="1:2" x14ac:dyDescent="0.3">
      <c r="A1086" s="3">
        <v>45558.479166666664</v>
      </c>
      <c r="B1086" s="1">
        <v>26.2</v>
      </c>
    </row>
    <row r="1087" spans="1:2" x14ac:dyDescent="0.3">
      <c r="A1087" s="3">
        <v>45558.5</v>
      </c>
      <c r="B1087" s="1">
        <v>26.3</v>
      </c>
    </row>
    <row r="1088" spans="1:2" x14ac:dyDescent="0.3">
      <c r="A1088" s="3">
        <v>45558.520833333336</v>
      </c>
      <c r="B1088" s="1">
        <v>25.3</v>
      </c>
    </row>
    <row r="1089" spans="1:2" x14ac:dyDescent="0.3">
      <c r="A1089" s="3">
        <v>45558.541666666664</v>
      </c>
      <c r="B1089" s="1">
        <v>25.6</v>
      </c>
    </row>
    <row r="1090" spans="1:2" x14ac:dyDescent="0.3">
      <c r="A1090" s="3">
        <v>45558.5625</v>
      </c>
      <c r="B1090" s="1">
        <v>26.3</v>
      </c>
    </row>
    <row r="1091" spans="1:2" x14ac:dyDescent="0.3">
      <c r="A1091" s="3">
        <v>45558.583333333336</v>
      </c>
      <c r="B1091" s="1">
        <v>25.5</v>
      </c>
    </row>
    <row r="1092" spans="1:2" x14ac:dyDescent="0.3">
      <c r="A1092" s="3">
        <v>45558.604166666664</v>
      </c>
      <c r="B1092" s="1">
        <v>25.3</v>
      </c>
    </row>
    <row r="1093" spans="1:2" x14ac:dyDescent="0.3">
      <c r="A1093" s="3">
        <v>45558.625</v>
      </c>
      <c r="B1093" s="1">
        <v>25.1</v>
      </c>
    </row>
    <row r="1094" spans="1:2" x14ac:dyDescent="0.3">
      <c r="A1094" s="3">
        <v>45558.645833333336</v>
      </c>
      <c r="B1094" s="1">
        <v>24.9</v>
      </c>
    </row>
    <row r="1095" spans="1:2" x14ac:dyDescent="0.3">
      <c r="A1095" s="3">
        <v>45558.666666666664</v>
      </c>
      <c r="B1095" s="1">
        <v>24.5</v>
      </c>
    </row>
    <row r="1096" spans="1:2" x14ac:dyDescent="0.3">
      <c r="A1096" s="3">
        <v>45558.6875</v>
      </c>
      <c r="B1096" s="1">
        <v>24.3</v>
      </c>
    </row>
    <row r="1097" spans="1:2" x14ac:dyDescent="0.3">
      <c r="A1097" s="3">
        <v>45558.708333333336</v>
      </c>
      <c r="B1097" s="1">
        <v>24</v>
      </c>
    </row>
    <row r="1098" spans="1:2" x14ac:dyDescent="0.3">
      <c r="A1098" s="3">
        <v>45558.729166666664</v>
      </c>
      <c r="B1098" s="1">
        <v>23.6</v>
      </c>
    </row>
    <row r="1099" spans="1:2" x14ac:dyDescent="0.3">
      <c r="A1099" s="3">
        <v>45558.75</v>
      </c>
      <c r="B1099" s="1">
        <v>23.1</v>
      </c>
    </row>
    <row r="1100" spans="1:2" x14ac:dyDescent="0.3">
      <c r="A1100" s="3">
        <v>45558.770833333336</v>
      </c>
      <c r="B1100" s="1">
        <v>22.2</v>
      </c>
    </row>
    <row r="1101" spans="1:2" x14ac:dyDescent="0.3">
      <c r="A1101" s="3">
        <v>45558.791666666664</v>
      </c>
      <c r="B1101" s="1">
        <v>22</v>
      </c>
    </row>
    <row r="1102" spans="1:2" x14ac:dyDescent="0.3">
      <c r="A1102" s="3">
        <v>45558.8125</v>
      </c>
      <c r="B1102" s="1">
        <v>22</v>
      </c>
    </row>
    <row r="1103" spans="1:2" x14ac:dyDescent="0.3">
      <c r="A1103" s="3">
        <v>45558.833333333336</v>
      </c>
      <c r="B1103" s="1">
        <v>22.1</v>
      </c>
    </row>
    <row r="1104" spans="1:2" x14ac:dyDescent="0.3">
      <c r="A1104" s="3">
        <v>45558.854166666664</v>
      </c>
      <c r="B1104" s="1">
        <v>22</v>
      </c>
    </row>
    <row r="1105" spans="1:2" x14ac:dyDescent="0.3">
      <c r="A1105" s="3">
        <v>45558.875</v>
      </c>
      <c r="B1105" s="1">
        <v>22</v>
      </c>
    </row>
    <row r="1106" spans="1:2" x14ac:dyDescent="0.3">
      <c r="A1106" s="3">
        <v>45558.895833333336</v>
      </c>
      <c r="B1106" s="1">
        <v>21.8</v>
      </c>
    </row>
    <row r="1107" spans="1:2" x14ac:dyDescent="0.3">
      <c r="A1107" s="3">
        <v>45558.916666666664</v>
      </c>
      <c r="B1107" s="1">
        <v>21.7</v>
      </c>
    </row>
    <row r="1108" spans="1:2" x14ac:dyDescent="0.3">
      <c r="A1108" s="3">
        <v>45558.9375</v>
      </c>
      <c r="B1108" s="1">
        <v>21.5</v>
      </c>
    </row>
    <row r="1109" spans="1:2" x14ac:dyDescent="0.3">
      <c r="A1109" s="3">
        <v>45558.958333333336</v>
      </c>
      <c r="B1109" s="1">
        <v>21.3</v>
      </c>
    </row>
    <row r="1110" spans="1:2" x14ac:dyDescent="0.3">
      <c r="A1110" s="3">
        <v>45558.979166666664</v>
      </c>
      <c r="B1110" s="1">
        <v>21.1</v>
      </c>
    </row>
    <row r="1111" spans="1:2" x14ac:dyDescent="0.3">
      <c r="A1111" s="3">
        <v>45559</v>
      </c>
      <c r="B1111" s="1">
        <v>21.1</v>
      </c>
    </row>
    <row r="1112" spans="1:2" x14ac:dyDescent="0.3">
      <c r="A1112" s="3">
        <v>45559.020833333336</v>
      </c>
      <c r="B1112" s="1">
        <v>20.9</v>
      </c>
    </row>
    <row r="1113" spans="1:2" x14ac:dyDescent="0.3">
      <c r="A1113" s="3">
        <v>45559.041666666664</v>
      </c>
      <c r="B1113" s="1">
        <v>20.7</v>
      </c>
    </row>
    <row r="1114" spans="1:2" x14ac:dyDescent="0.3">
      <c r="A1114" s="3">
        <v>45559.0625</v>
      </c>
      <c r="B1114" s="1">
        <v>20.5</v>
      </c>
    </row>
    <row r="1115" spans="1:2" x14ac:dyDescent="0.3">
      <c r="A1115" s="3">
        <v>45559.083333333336</v>
      </c>
      <c r="B1115" s="1">
        <v>20.399999999999999</v>
      </c>
    </row>
    <row r="1116" spans="1:2" x14ac:dyDescent="0.3">
      <c r="A1116" s="3">
        <v>45559.104166666664</v>
      </c>
      <c r="B1116" s="1">
        <v>20.2</v>
      </c>
    </row>
    <row r="1117" spans="1:2" x14ac:dyDescent="0.3">
      <c r="A1117" s="3">
        <v>45559.125</v>
      </c>
      <c r="B1117" s="1">
        <v>20.100000000000001</v>
      </c>
    </row>
    <row r="1118" spans="1:2" x14ac:dyDescent="0.3">
      <c r="A1118" s="3">
        <v>45559.145833333336</v>
      </c>
      <c r="B1118" s="1">
        <v>20.100000000000001</v>
      </c>
    </row>
    <row r="1119" spans="1:2" x14ac:dyDescent="0.3">
      <c r="A1119" s="3">
        <v>45559.166666666664</v>
      </c>
      <c r="B1119" s="1">
        <v>20.2</v>
      </c>
    </row>
    <row r="1120" spans="1:2" x14ac:dyDescent="0.3">
      <c r="A1120" s="3">
        <v>45559.1875</v>
      </c>
      <c r="B1120" s="1">
        <v>20.2</v>
      </c>
    </row>
    <row r="1121" spans="1:2" x14ac:dyDescent="0.3">
      <c r="A1121" s="3">
        <v>45559.208333333336</v>
      </c>
      <c r="B1121" s="1">
        <v>20.3</v>
      </c>
    </row>
    <row r="1122" spans="1:2" x14ac:dyDescent="0.3">
      <c r="A1122" s="3">
        <v>45559.229166666664</v>
      </c>
      <c r="B1122" s="1">
        <v>19.8</v>
      </c>
    </row>
    <row r="1123" spans="1:2" x14ac:dyDescent="0.3">
      <c r="A1123" s="3">
        <v>45559.25</v>
      </c>
      <c r="B1123" s="1">
        <v>20.2</v>
      </c>
    </row>
    <row r="1124" spans="1:2" x14ac:dyDescent="0.3">
      <c r="A1124" s="3">
        <v>45559.270833333336</v>
      </c>
      <c r="B1124" s="1">
        <v>20.9</v>
      </c>
    </row>
    <row r="1125" spans="1:2" x14ac:dyDescent="0.3">
      <c r="A1125" s="3">
        <v>45559.291666666664</v>
      </c>
      <c r="B1125" s="1">
        <v>21.3</v>
      </c>
    </row>
    <row r="1126" spans="1:2" x14ac:dyDescent="0.3">
      <c r="A1126" s="3">
        <v>45559.3125</v>
      </c>
      <c r="B1126" s="1">
        <v>21.9</v>
      </c>
    </row>
    <row r="1127" spans="1:2" x14ac:dyDescent="0.3">
      <c r="A1127" s="3">
        <v>45559.333333333336</v>
      </c>
      <c r="B1127" s="1">
        <v>22.4</v>
      </c>
    </row>
    <row r="1128" spans="1:2" x14ac:dyDescent="0.3">
      <c r="A1128" s="3">
        <v>45559.354166666664</v>
      </c>
      <c r="B1128" s="1">
        <v>23.2</v>
      </c>
    </row>
    <row r="1129" spans="1:2" x14ac:dyDescent="0.3">
      <c r="A1129" s="3">
        <v>45559.375</v>
      </c>
      <c r="B1129" s="1">
        <v>23.8</v>
      </c>
    </row>
    <row r="1130" spans="1:2" x14ac:dyDescent="0.3">
      <c r="A1130" s="3">
        <v>45559.395833333336</v>
      </c>
      <c r="B1130" s="1">
        <v>24.2</v>
      </c>
    </row>
    <row r="1131" spans="1:2" x14ac:dyDescent="0.3">
      <c r="A1131" s="3">
        <v>45559.416666666664</v>
      </c>
      <c r="B1131" s="1">
        <v>24.5</v>
      </c>
    </row>
    <row r="1132" spans="1:2" x14ac:dyDescent="0.3">
      <c r="A1132" s="3">
        <v>45559.4375</v>
      </c>
      <c r="B1132" s="1">
        <v>25.5</v>
      </c>
    </row>
    <row r="1133" spans="1:2" x14ac:dyDescent="0.3">
      <c r="A1133" s="3">
        <v>45559.458333333336</v>
      </c>
      <c r="B1133" s="1">
        <v>25.8</v>
      </c>
    </row>
    <row r="1134" spans="1:2" x14ac:dyDescent="0.3">
      <c r="A1134" s="3">
        <v>45559.479166666664</v>
      </c>
      <c r="B1134" s="1">
        <v>22.1</v>
      </c>
    </row>
    <row r="1135" spans="1:2" x14ac:dyDescent="0.3">
      <c r="A1135" s="3">
        <v>45559.5</v>
      </c>
      <c r="B1135" s="1">
        <v>22</v>
      </c>
    </row>
    <row r="1136" spans="1:2" x14ac:dyDescent="0.3">
      <c r="A1136" s="3">
        <v>45559.520833333336</v>
      </c>
      <c r="B1136" s="1">
        <v>23.2</v>
      </c>
    </row>
    <row r="1137" spans="1:2" x14ac:dyDescent="0.3">
      <c r="A1137" s="3">
        <v>45559.541666666664</v>
      </c>
      <c r="B1137" s="1">
        <v>23.4</v>
      </c>
    </row>
    <row r="1138" spans="1:2" x14ac:dyDescent="0.3">
      <c r="A1138" s="3">
        <v>45559.5625</v>
      </c>
      <c r="B1138" s="1">
        <v>23.2</v>
      </c>
    </row>
    <row r="1139" spans="1:2" x14ac:dyDescent="0.3">
      <c r="A1139" s="3">
        <v>45559.583333333336</v>
      </c>
      <c r="B1139" s="1">
        <v>23.3</v>
      </c>
    </row>
    <row r="1140" spans="1:2" x14ac:dyDescent="0.3">
      <c r="A1140" s="3">
        <v>45559.604166666664</v>
      </c>
      <c r="B1140" s="1">
        <v>23.5</v>
      </c>
    </row>
    <row r="1141" spans="1:2" x14ac:dyDescent="0.3">
      <c r="A1141" s="3">
        <v>45559.625</v>
      </c>
      <c r="B1141" s="1">
        <v>23.3</v>
      </c>
    </row>
    <row r="1142" spans="1:2" x14ac:dyDescent="0.3">
      <c r="A1142" s="3">
        <v>45559.645833333336</v>
      </c>
      <c r="B1142" s="1">
        <v>22.7</v>
      </c>
    </row>
    <row r="1143" spans="1:2" x14ac:dyDescent="0.3">
      <c r="A1143" s="3">
        <v>45559.666666666664</v>
      </c>
      <c r="B1143" s="1">
        <v>22.7</v>
      </c>
    </row>
    <row r="1144" spans="1:2" x14ac:dyDescent="0.3">
      <c r="A1144" s="3">
        <v>45559.6875</v>
      </c>
      <c r="B1144" s="1">
        <v>22.4</v>
      </c>
    </row>
    <row r="1145" spans="1:2" x14ac:dyDescent="0.3">
      <c r="A1145" s="3">
        <v>45559.708333333336</v>
      </c>
      <c r="B1145" s="1">
        <v>22.3</v>
      </c>
    </row>
    <row r="1146" spans="1:2" x14ac:dyDescent="0.3">
      <c r="A1146" s="3">
        <v>45559.729166666664</v>
      </c>
      <c r="B1146" s="1">
        <v>22.1</v>
      </c>
    </row>
    <row r="1147" spans="1:2" x14ac:dyDescent="0.3">
      <c r="A1147" s="3">
        <v>45559.75</v>
      </c>
      <c r="B1147" s="1">
        <v>21.9</v>
      </c>
    </row>
    <row r="1148" spans="1:2" x14ac:dyDescent="0.3">
      <c r="A1148" s="3">
        <v>45559.770833333336</v>
      </c>
      <c r="B1148" s="1">
        <v>21.6</v>
      </c>
    </row>
    <row r="1149" spans="1:2" x14ac:dyDescent="0.3">
      <c r="A1149" s="3">
        <v>45559.791666666664</v>
      </c>
      <c r="B1149" s="1">
        <v>21.2</v>
      </c>
    </row>
    <row r="1150" spans="1:2" x14ac:dyDescent="0.3">
      <c r="A1150" s="3">
        <v>45559.8125</v>
      </c>
      <c r="B1150" s="1">
        <v>20.9</v>
      </c>
    </row>
    <row r="1151" spans="1:2" x14ac:dyDescent="0.3">
      <c r="A1151" s="3">
        <v>45559.833333333336</v>
      </c>
      <c r="B1151" s="1">
        <v>20.7</v>
      </c>
    </row>
    <row r="1152" spans="1:2" x14ac:dyDescent="0.3">
      <c r="A1152" s="3">
        <v>45559.854166666664</v>
      </c>
      <c r="B1152" s="1">
        <v>20.6</v>
      </c>
    </row>
    <row r="1153" spans="1:2" x14ac:dyDescent="0.3">
      <c r="A1153" s="3">
        <v>45559.875</v>
      </c>
      <c r="B1153" s="1">
        <v>20.7</v>
      </c>
    </row>
    <row r="1154" spans="1:2" x14ac:dyDescent="0.3">
      <c r="A1154" s="3">
        <v>45559.895833333336</v>
      </c>
      <c r="B1154" s="1">
        <v>20.6</v>
      </c>
    </row>
    <row r="1155" spans="1:2" x14ac:dyDescent="0.3">
      <c r="A1155" s="3">
        <v>45559.916666666664</v>
      </c>
      <c r="B1155" s="1">
        <v>20.6</v>
      </c>
    </row>
    <row r="1156" spans="1:2" x14ac:dyDescent="0.3">
      <c r="A1156" s="3">
        <v>45559.9375</v>
      </c>
      <c r="B1156" s="1">
        <v>20.6</v>
      </c>
    </row>
    <row r="1157" spans="1:2" x14ac:dyDescent="0.3">
      <c r="A1157" s="3">
        <v>45559.958333333336</v>
      </c>
      <c r="B1157" s="1">
        <v>20.399999999999999</v>
      </c>
    </row>
    <row r="1158" spans="1:2" x14ac:dyDescent="0.3">
      <c r="A1158" s="3">
        <v>45559.979166666664</v>
      </c>
      <c r="B1158" s="1">
        <v>20</v>
      </c>
    </row>
    <row r="1159" spans="1:2" x14ac:dyDescent="0.3">
      <c r="A1159" s="3">
        <v>45560</v>
      </c>
      <c r="B1159" s="1">
        <v>19.7</v>
      </c>
    </row>
    <row r="1160" spans="1:2" x14ac:dyDescent="0.3">
      <c r="A1160" s="3">
        <v>45560.020833333336</v>
      </c>
      <c r="B1160" s="1">
        <v>19.600000000000001</v>
      </c>
    </row>
    <row r="1161" spans="1:2" x14ac:dyDescent="0.3">
      <c r="A1161" s="3">
        <v>45560.041666666664</v>
      </c>
      <c r="B1161" s="1">
        <v>19.5</v>
      </c>
    </row>
    <row r="1162" spans="1:2" x14ac:dyDescent="0.3">
      <c r="A1162" s="3">
        <v>45560.0625</v>
      </c>
      <c r="B1162" s="1">
        <v>19.2</v>
      </c>
    </row>
    <row r="1163" spans="1:2" x14ac:dyDescent="0.3">
      <c r="A1163" s="3">
        <v>45560.083333333336</v>
      </c>
      <c r="B1163" s="1">
        <v>19.100000000000001</v>
      </c>
    </row>
    <row r="1164" spans="1:2" x14ac:dyDescent="0.3">
      <c r="A1164" s="3">
        <v>45560.104166666664</v>
      </c>
      <c r="B1164" s="1">
        <v>18.3</v>
      </c>
    </row>
    <row r="1165" spans="1:2" x14ac:dyDescent="0.3">
      <c r="A1165" s="3">
        <v>45560.125</v>
      </c>
      <c r="B1165" s="1">
        <v>17.600000000000001</v>
      </c>
    </row>
    <row r="1166" spans="1:2" x14ac:dyDescent="0.3">
      <c r="A1166" s="3">
        <v>45560.145833333336</v>
      </c>
      <c r="B1166" s="1">
        <v>17.5</v>
      </c>
    </row>
    <row r="1167" spans="1:2" x14ac:dyDescent="0.3">
      <c r="A1167" s="3">
        <v>45560.166666666664</v>
      </c>
      <c r="B1167" s="1">
        <v>17.7</v>
      </c>
    </row>
    <row r="1168" spans="1:2" x14ac:dyDescent="0.3">
      <c r="A1168" s="3">
        <v>45560.1875</v>
      </c>
      <c r="B1168" s="1">
        <v>17.899999999999999</v>
      </c>
    </row>
    <row r="1169" spans="1:2" x14ac:dyDescent="0.3">
      <c r="A1169" s="3">
        <v>45560.208333333336</v>
      </c>
      <c r="B1169" s="1">
        <v>18.3</v>
      </c>
    </row>
    <row r="1170" spans="1:2" x14ac:dyDescent="0.3">
      <c r="A1170" s="3">
        <v>45560.229166666664</v>
      </c>
      <c r="B1170" s="1">
        <v>18.399999999999999</v>
      </c>
    </row>
    <row r="1171" spans="1:2" x14ac:dyDescent="0.3">
      <c r="A1171" s="3">
        <v>45560.25</v>
      </c>
      <c r="B1171" s="1">
        <v>18.600000000000001</v>
      </c>
    </row>
    <row r="1172" spans="1:2" x14ac:dyDescent="0.3">
      <c r="A1172" s="3">
        <v>45560.270833333336</v>
      </c>
      <c r="B1172" s="1">
        <v>18.8</v>
      </c>
    </row>
    <row r="1173" spans="1:2" x14ac:dyDescent="0.3">
      <c r="A1173" s="3">
        <v>45560.291666666664</v>
      </c>
      <c r="B1173" s="1">
        <v>19.100000000000001</v>
      </c>
    </row>
    <row r="1174" spans="1:2" x14ac:dyDescent="0.3">
      <c r="A1174" s="3">
        <v>45560.3125</v>
      </c>
      <c r="B1174" s="1">
        <v>19.5</v>
      </c>
    </row>
    <row r="1175" spans="1:2" x14ac:dyDescent="0.3">
      <c r="A1175" s="3">
        <v>45560.333333333336</v>
      </c>
      <c r="B1175" s="1">
        <v>20.2</v>
      </c>
    </row>
    <row r="1176" spans="1:2" x14ac:dyDescent="0.3">
      <c r="A1176" s="3">
        <v>45560.354166666664</v>
      </c>
      <c r="B1176" s="1">
        <v>20.9</v>
      </c>
    </row>
    <row r="1177" spans="1:2" x14ac:dyDescent="0.3">
      <c r="A1177" s="3">
        <v>45560.375</v>
      </c>
      <c r="B1177" s="1">
        <v>21.5</v>
      </c>
    </row>
    <row r="1178" spans="1:2" x14ac:dyDescent="0.3">
      <c r="A1178" s="3">
        <v>45560.395833333336</v>
      </c>
      <c r="B1178" s="1">
        <v>22.3</v>
      </c>
    </row>
    <row r="1179" spans="1:2" x14ac:dyDescent="0.3">
      <c r="A1179" s="3">
        <v>45560.416666666664</v>
      </c>
      <c r="B1179" s="1">
        <v>22.8</v>
      </c>
    </row>
    <row r="1180" spans="1:2" x14ac:dyDescent="0.3">
      <c r="A1180" s="3">
        <v>45560.4375</v>
      </c>
      <c r="B1180" s="1">
        <v>23.8</v>
      </c>
    </row>
    <row r="1181" spans="1:2" x14ac:dyDescent="0.3">
      <c r="A1181" s="3">
        <v>45560.458333333336</v>
      </c>
      <c r="B1181" s="1">
        <v>24.3</v>
      </c>
    </row>
    <row r="1182" spans="1:2" x14ac:dyDescent="0.3">
      <c r="A1182" s="3">
        <v>45560.479166666664</v>
      </c>
      <c r="B1182" s="1">
        <v>24.8</v>
      </c>
    </row>
    <row r="1183" spans="1:2" x14ac:dyDescent="0.3">
      <c r="A1183" s="3">
        <v>45560.5</v>
      </c>
      <c r="B1183" s="1">
        <v>24.6</v>
      </c>
    </row>
    <row r="1184" spans="1:2" x14ac:dyDescent="0.3">
      <c r="A1184" s="3">
        <v>45560.520833333336</v>
      </c>
      <c r="B1184" s="1">
        <v>25</v>
      </c>
    </row>
    <row r="1185" spans="1:2" x14ac:dyDescent="0.3">
      <c r="A1185" s="3">
        <v>45560.541666666664</v>
      </c>
      <c r="B1185" s="1">
        <v>25.3</v>
      </c>
    </row>
    <row r="1186" spans="1:2" x14ac:dyDescent="0.3">
      <c r="A1186" s="3">
        <v>45560.5625</v>
      </c>
      <c r="B1186" s="1">
        <v>25.5</v>
      </c>
    </row>
    <row r="1187" spans="1:2" x14ac:dyDescent="0.3">
      <c r="A1187" s="3">
        <v>45560.583333333336</v>
      </c>
      <c r="B1187" s="1">
        <v>25.1</v>
      </c>
    </row>
    <row r="1188" spans="1:2" x14ac:dyDescent="0.3">
      <c r="A1188" s="3">
        <v>45560.604166666664</v>
      </c>
      <c r="B1188" s="1">
        <v>25.1</v>
      </c>
    </row>
    <row r="1189" spans="1:2" x14ac:dyDescent="0.3">
      <c r="A1189" s="3">
        <v>45560.625</v>
      </c>
      <c r="B1189" s="1">
        <v>25.1</v>
      </c>
    </row>
    <row r="1190" spans="1:2" x14ac:dyDescent="0.3">
      <c r="A1190" s="3">
        <v>45560.645833333336</v>
      </c>
      <c r="B1190" s="1">
        <v>25</v>
      </c>
    </row>
    <row r="1191" spans="1:2" x14ac:dyDescent="0.3">
      <c r="A1191" s="3">
        <v>45560.666666666664</v>
      </c>
      <c r="B1191" s="1">
        <v>24.3</v>
      </c>
    </row>
    <row r="1192" spans="1:2" x14ac:dyDescent="0.3">
      <c r="A1192" s="3">
        <v>45560.6875</v>
      </c>
      <c r="B1192" s="1">
        <v>24.1</v>
      </c>
    </row>
    <row r="1193" spans="1:2" x14ac:dyDescent="0.3">
      <c r="A1193" s="3">
        <v>45560.708333333336</v>
      </c>
      <c r="B1193" s="1">
        <v>23.6</v>
      </c>
    </row>
    <row r="1194" spans="1:2" x14ac:dyDescent="0.3">
      <c r="A1194" s="3">
        <v>45560.729166666664</v>
      </c>
      <c r="B1194" s="1">
        <v>23.2</v>
      </c>
    </row>
    <row r="1195" spans="1:2" x14ac:dyDescent="0.3">
      <c r="A1195" s="3">
        <v>45560.75</v>
      </c>
      <c r="B1195" s="1">
        <v>22.8</v>
      </c>
    </row>
    <row r="1196" spans="1:2" x14ac:dyDescent="0.3">
      <c r="A1196" s="3">
        <v>45560.770833333336</v>
      </c>
      <c r="B1196" s="1">
        <v>22.6</v>
      </c>
    </row>
    <row r="1197" spans="1:2" x14ac:dyDescent="0.3">
      <c r="A1197" s="3">
        <v>45560.791666666664</v>
      </c>
      <c r="B1197" s="1">
        <v>22.3</v>
      </c>
    </row>
    <row r="1198" spans="1:2" x14ac:dyDescent="0.3">
      <c r="A1198" s="3">
        <v>45560.8125</v>
      </c>
      <c r="B1198" s="1">
        <v>22.1</v>
      </c>
    </row>
    <row r="1199" spans="1:2" x14ac:dyDescent="0.3">
      <c r="A1199" s="3">
        <v>45560.833333333336</v>
      </c>
      <c r="B1199" s="1">
        <v>21.9</v>
      </c>
    </row>
    <row r="1200" spans="1:2" x14ac:dyDescent="0.3">
      <c r="A1200" s="3">
        <v>45560.854166666664</v>
      </c>
      <c r="B1200" s="1">
        <v>21.8</v>
      </c>
    </row>
    <row r="1201" spans="1:2" x14ac:dyDescent="0.3">
      <c r="A1201" s="3">
        <v>45560.875</v>
      </c>
      <c r="B1201" s="1">
        <v>21.5</v>
      </c>
    </row>
    <row r="1202" spans="1:2" x14ac:dyDescent="0.3">
      <c r="A1202" s="3">
        <v>45560.895833333336</v>
      </c>
      <c r="B1202" s="1">
        <v>21.4</v>
      </c>
    </row>
    <row r="1203" spans="1:2" x14ac:dyDescent="0.3">
      <c r="A1203" s="3">
        <v>45560.916666666664</v>
      </c>
      <c r="B1203" s="1">
        <v>21.3</v>
      </c>
    </row>
    <row r="1204" spans="1:2" x14ac:dyDescent="0.3">
      <c r="A1204" s="3">
        <v>45560.9375</v>
      </c>
      <c r="B1204" s="1">
        <v>21</v>
      </c>
    </row>
    <row r="1205" spans="1:2" x14ac:dyDescent="0.3">
      <c r="A1205" s="3">
        <v>45560.958333333336</v>
      </c>
      <c r="B1205" s="1">
        <v>20.8</v>
      </c>
    </row>
    <row r="1206" spans="1:2" x14ac:dyDescent="0.3">
      <c r="A1206" s="3">
        <v>45560.979166666664</v>
      </c>
      <c r="B1206" s="1">
        <v>20.399999999999999</v>
      </c>
    </row>
    <row r="1207" spans="1:2" x14ac:dyDescent="0.3">
      <c r="A1207" s="3">
        <v>45561</v>
      </c>
      <c r="B1207" s="1">
        <v>20.2</v>
      </c>
    </row>
    <row r="1208" spans="1:2" x14ac:dyDescent="0.3">
      <c r="A1208" s="3">
        <v>45561.020833333336</v>
      </c>
      <c r="B1208" s="1">
        <v>20.2</v>
      </c>
    </row>
    <row r="1209" spans="1:2" x14ac:dyDescent="0.3">
      <c r="A1209" s="3">
        <v>45561.041666666664</v>
      </c>
      <c r="B1209" s="1">
        <v>20.2</v>
      </c>
    </row>
    <row r="1210" spans="1:2" x14ac:dyDescent="0.3">
      <c r="A1210" s="3">
        <v>45561.0625</v>
      </c>
      <c r="B1210" s="1">
        <v>20.100000000000001</v>
      </c>
    </row>
    <row r="1211" spans="1:2" x14ac:dyDescent="0.3">
      <c r="A1211" s="3">
        <v>45561.083333333336</v>
      </c>
      <c r="B1211" s="1">
        <v>19.899999999999999</v>
      </c>
    </row>
    <row r="1212" spans="1:2" x14ac:dyDescent="0.3">
      <c r="A1212" s="3">
        <v>45561.104166666664</v>
      </c>
      <c r="B1212" s="1">
        <v>19.600000000000001</v>
      </c>
    </row>
    <row r="1213" spans="1:2" x14ac:dyDescent="0.3">
      <c r="A1213" s="3">
        <v>45561.125</v>
      </c>
      <c r="B1213" s="1">
        <v>19.5</v>
      </c>
    </row>
    <row r="1214" spans="1:2" x14ac:dyDescent="0.3">
      <c r="A1214" s="3">
        <v>45561.145833333336</v>
      </c>
      <c r="B1214" s="1">
        <v>19.600000000000001</v>
      </c>
    </row>
    <row r="1215" spans="1:2" x14ac:dyDescent="0.3">
      <c r="A1215" s="3">
        <v>45561.166666666664</v>
      </c>
      <c r="B1215" s="1">
        <v>19.3</v>
      </c>
    </row>
    <row r="1216" spans="1:2" x14ac:dyDescent="0.3">
      <c r="A1216" s="3">
        <v>45561.1875</v>
      </c>
      <c r="B1216" s="1">
        <v>19.2</v>
      </c>
    </row>
    <row r="1217" spans="1:2" x14ac:dyDescent="0.3">
      <c r="A1217" s="3">
        <v>45561.208333333336</v>
      </c>
      <c r="B1217" s="1">
        <v>19.100000000000001</v>
      </c>
    </row>
    <row r="1218" spans="1:2" x14ac:dyDescent="0.3">
      <c r="A1218" s="3">
        <v>45561.229166666664</v>
      </c>
      <c r="B1218" s="1">
        <v>19.399999999999999</v>
      </c>
    </row>
    <row r="1219" spans="1:2" x14ac:dyDescent="0.3">
      <c r="A1219" s="3">
        <v>45561.25</v>
      </c>
      <c r="B1219" s="1">
        <v>19.8</v>
      </c>
    </row>
    <row r="1220" spans="1:2" x14ac:dyDescent="0.3">
      <c r="A1220" s="3">
        <v>45561.270833333336</v>
      </c>
      <c r="B1220" s="1">
        <v>20.5</v>
      </c>
    </row>
    <row r="1221" spans="1:2" x14ac:dyDescent="0.3">
      <c r="A1221" s="3">
        <v>45561.291666666664</v>
      </c>
      <c r="B1221" s="1">
        <v>21.4</v>
      </c>
    </row>
    <row r="1222" spans="1:2" x14ac:dyDescent="0.3">
      <c r="A1222" s="3">
        <v>45561.3125</v>
      </c>
      <c r="B1222" s="1">
        <v>22.5</v>
      </c>
    </row>
    <row r="1223" spans="1:2" x14ac:dyDescent="0.3">
      <c r="A1223" s="3">
        <v>45561.333333333336</v>
      </c>
      <c r="B1223" s="1">
        <v>23.2</v>
      </c>
    </row>
    <row r="1224" spans="1:2" x14ac:dyDescent="0.3">
      <c r="A1224" s="3">
        <v>45561.354166666664</v>
      </c>
      <c r="B1224" s="1">
        <v>23.7</v>
      </c>
    </row>
    <row r="1225" spans="1:2" x14ac:dyDescent="0.3">
      <c r="A1225" s="3">
        <v>45561.375</v>
      </c>
      <c r="B1225" s="1">
        <v>24.2</v>
      </c>
    </row>
    <row r="1226" spans="1:2" x14ac:dyDescent="0.3">
      <c r="A1226" s="3">
        <v>45561.395833333336</v>
      </c>
      <c r="B1226" s="1">
        <v>24.5</v>
      </c>
    </row>
    <row r="1227" spans="1:2" x14ac:dyDescent="0.3">
      <c r="A1227" s="3">
        <v>45561.416666666664</v>
      </c>
      <c r="B1227" s="1">
        <v>25.1</v>
      </c>
    </row>
    <row r="1228" spans="1:2" x14ac:dyDescent="0.3">
      <c r="A1228" s="3">
        <v>45561.4375</v>
      </c>
      <c r="B1228" s="1">
        <v>25.2</v>
      </c>
    </row>
    <row r="1229" spans="1:2" x14ac:dyDescent="0.3">
      <c r="A1229" s="3">
        <v>45561.458333333336</v>
      </c>
      <c r="B1229" s="1">
        <v>25.7</v>
      </c>
    </row>
    <row r="1230" spans="1:2" x14ac:dyDescent="0.3">
      <c r="A1230" s="3">
        <v>45561.479166666664</v>
      </c>
      <c r="B1230" s="1">
        <v>25.8</v>
      </c>
    </row>
    <row r="1231" spans="1:2" x14ac:dyDescent="0.3">
      <c r="A1231" s="3">
        <v>45561.5</v>
      </c>
      <c r="B1231" s="1">
        <v>25.9</v>
      </c>
    </row>
    <row r="1232" spans="1:2" x14ac:dyDescent="0.3">
      <c r="A1232" s="3">
        <v>45561.520833333336</v>
      </c>
      <c r="B1232" s="1">
        <v>26.1</v>
      </c>
    </row>
    <row r="1233" spans="1:2" x14ac:dyDescent="0.3">
      <c r="A1233" s="3">
        <v>45561.541666666664</v>
      </c>
      <c r="B1233" s="1">
        <v>25.8</v>
      </c>
    </row>
    <row r="1234" spans="1:2" x14ac:dyDescent="0.3">
      <c r="A1234" s="3">
        <v>45561.5625</v>
      </c>
      <c r="B1234" s="1">
        <v>25.7</v>
      </c>
    </row>
    <row r="1235" spans="1:2" x14ac:dyDescent="0.3">
      <c r="A1235" s="3">
        <v>45561.583333333336</v>
      </c>
      <c r="B1235" s="1">
        <v>26.1</v>
      </c>
    </row>
    <row r="1236" spans="1:2" x14ac:dyDescent="0.3">
      <c r="A1236" s="3">
        <v>45561.604166666664</v>
      </c>
      <c r="B1236" s="1">
        <v>26.3</v>
      </c>
    </row>
    <row r="1237" spans="1:2" x14ac:dyDescent="0.3">
      <c r="A1237" s="3">
        <v>45561.625</v>
      </c>
      <c r="B1237" s="1">
        <v>26.3</v>
      </c>
    </row>
    <row r="1238" spans="1:2" x14ac:dyDescent="0.3">
      <c r="A1238" s="3">
        <v>45561.645833333336</v>
      </c>
      <c r="B1238" s="1">
        <v>25.9</v>
      </c>
    </row>
    <row r="1239" spans="1:2" x14ac:dyDescent="0.3">
      <c r="A1239" s="3">
        <v>45561.666666666664</v>
      </c>
      <c r="B1239" s="1">
        <v>25.5</v>
      </c>
    </row>
    <row r="1240" spans="1:2" x14ac:dyDescent="0.3">
      <c r="A1240" s="3">
        <v>45561.6875</v>
      </c>
      <c r="B1240" s="1">
        <v>24.8</v>
      </c>
    </row>
    <row r="1241" spans="1:2" x14ac:dyDescent="0.3">
      <c r="A1241" s="3">
        <v>45561.708333333336</v>
      </c>
      <c r="B1241" s="1">
        <v>24.1</v>
      </c>
    </row>
    <row r="1242" spans="1:2" x14ac:dyDescent="0.3">
      <c r="A1242" s="3">
        <v>45561.729166666664</v>
      </c>
      <c r="B1242" s="1">
        <v>23.7</v>
      </c>
    </row>
    <row r="1243" spans="1:2" x14ac:dyDescent="0.3">
      <c r="A1243" s="3">
        <v>45561.75</v>
      </c>
      <c r="B1243" s="1">
        <v>23.3</v>
      </c>
    </row>
    <row r="1244" spans="1:2" x14ac:dyDescent="0.3">
      <c r="A1244" s="3">
        <v>45561.770833333336</v>
      </c>
      <c r="B1244" s="1">
        <v>23</v>
      </c>
    </row>
    <row r="1245" spans="1:2" x14ac:dyDescent="0.3">
      <c r="A1245" s="3">
        <v>45561.791666666664</v>
      </c>
      <c r="B1245" s="1">
        <v>22.8</v>
      </c>
    </row>
    <row r="1246" spans="1:2" x14ac:dyDescent="0.3">
      <c r="A1246" s="3">
        <v>45561.8125</v>
      </c>
      <c r="B1246" s="1">
        <v>22.6</v>
      </c>
    </row>
    <row r="1247" spans="1:2" x14ac:dyDescent="0.3">
      <c r="A1247" s="3">
        <v>45561.833333333336</v>
      </c>
      <c r="B1247" s="1">
        <v>22.5</v>
      </c>
    </row>
    <row r="1248" spans="1:2" x14ac:dyDescent="0.3">
      <c r="A1248" s="3">
        <v>45561.854166666664</v>
      </c>
      <c r="B1248" s="1">
        <v>22.4</v>
      </c>
    </row>
    <row r="1249" spans="1:2" x14ac:dyDescent="0.3">
      <c r="A1249" s="3">
        <v>45561.875</v>
      </c>
      <c r="B1249" s="1">
        <v>22.2</v>
      </c>
    </row>
    <row r="1250" spans="1:2" x14ac:dyDescent="0.3">
      <c r="A1250" s="3">
        <v>45561.895833333336</v>
      </c>
      <c r="B1250" s="1">
        <v>22.1</v>
      </c>
    </row>
    <row r="1251" spans="1:2" x14ac:dyDescent="0.3">
      <c r="A1251" s="3">
        <v>45561.916666666664</v>
      </c>
      <c r="B1251" s="1">
        <v>22.1</v>
      </c>
    </row>
    <row r="1252" spans="1:2" x14ac:dyDescent="0.3">
      <c r="A1252" s="3">
        <v>45561.9375</v>
      </c>
      <c r="B1252" s="1">
        <v>22</v>
      </c>
    </row>
    <row r="1253" spans="1:2" x14ac:dyDescent="0.3">
      <c r="A1253" s="3">
        <v>45561.958333333336</v>
      </c>
      <c r="B1253" s="1">
        <v>22</v>
      </c>
    </row>
    <row r="1254" spans="1:2" x14ac:dyDescent="0.3">
      <c r="A1254" s="3">
        <v>45561.979166666664</v>
      </c>
      <c r="B1254" s="1">
        <v>22</v>
      </c>
    </row>
    <row r="1255" spans="1:2" x14ac:dyDescent="0.3">
      <c r="A1255" s="3">
        <v>45562</v>
      </c>
      <c r="B1255" s="1">
        <v>22.1</v>
      </c>
    </row>
    <row r="1256" spans="1:2" x14ac:dyDescent="0.3">
      <c r="A1256" s="3">
        <v>45562.020833333336</v>
      </c>
      <c r="B1256" s="1">
        <v>22.1</v>
      </c>
    </row>
    <row r="1257" spans="1:2" x14ac:dyDescent="0.3">
      <c r="A1257" s="3">
        <v>45562.041666666664</v>
      </c>
      <c r="B1257" s="1">
        <v>22</v>
      </c>
    </row>
    <row r="1258" spans="1:2" x14ac:dyDescent="0.3">
      <c r="A1258" s="3">
        <v>45562.0625</v>
      </c>
      <c r="B1258" s="1">
        <v>22</v>
      </c>
    </row>
    <row r="1259" spans="1:2" x14ac:dyDescent="0.3">
      <c r="A1259" s="3">
        <v>45562.083333333336</v>
      </c>
      <c r="B1259" s="1">
        <v>22.1</v>
      </c>
    </row>
    <row r="1260" spans="1:2" x14ac:dyDescent="0.3">
      <c r="A1260" s="3">
        <v>45562.104166666664</v>
      </c>
      <c r="B1260" s="1">
        <v>22.2</v>
      </c>
    </row>
    <row r="1261" spans="1:2" x14ac:dyDescent="0.3">
      <c r="A1261" s="3">
        <v>45562.125</v>
      </c>
      <c r="B1261" s="1">
        <v>22.2</v>
      </c>
    </row>
    <row r="1262" spans="1:2" x14ac:dyDescent="0.3">
      <c r="A1262" s="3">
        <v>45562.145833333336</v>
      </c>
      <c r="B1262" s="1">
        <v>22.3</v>
      </c>
    </row>
    <row r="1263" spans="1:2" x14ac:dyDescent="0.3">
      <c r="A1263" s="3">
        <v>45562.166666666664</v>
      </c>
      <c r="B1263" s="1">
        <v>22.3</v>
      </c>
    </row>
    <row r="1264" spans="1:2" x14ac:dyDescent="0.3">
      <c r="A1264" s="3">
        <v>45562.1875</v>
      </c>
      <c r="B1264" s="1">
        <v>22.4</v>
      </c>
    </row>
    <row r="1265" spans="1:2" x14ac:dyDescent="0.3">
      <c r="A1265" s="3">
        <v>45562.208333333336</v>
      </c>
      <c r="B1265" s="1">
        <v>22.4</v>
      </c>
    </row>
    <row r="1266" spans="1:2" x14ac:dyDescent="0.3">
      <c r="A1266" s="3">
        <v>45562.229166666664</v>
      </c>
      <c r="B1266" s="1">
        <v>22.6</v>
      </c>
    </row>
    <row r="1267" spans="1:2" x14ac:dyDescent="0.3">
      <c r="A1267" s="3">
        <v>45562.25</v>
      </c>
      <c r="B1267" s="1">
        <v>22.8</v>
      </c>
    </row>
    <row r="1268" spans="1:2" x14ac:dyDescent="0.3">
      <c r="A1268" s="3">
        <v>45562.270833333336</v>
      </c>
      <c r="B1268" s="1">
        <v>23.2</v>
      </c>
    </row>
    <row r="1269" spans="1:2" x14ac:dyDescent="0.3">
      <c r="A1269" s="3">
        <v>45562.291666666664</v>
      </c>
      <c r="B1269" s="1">
        <v>23.8</v>
      </c>
    </row>
    <row r="1270" spans="1:2" x14ac:dyDescent="0.3">
      <c r="A1270" s="3">
        <v>45562.3125</v>
      </c>
      <c r="B1270" s="1">
        <v>24.2</v>
      </c>
    </row>
    <row r="1271" spans="1:2" x14ac:dyDescent="0.3">
      <c r="A1271" s="3">
        <v>45562.333333333336</v>
      </c>
      <c r="B1271" s="1">
        <v>24.6</v>
      </c>
    </row>
    <row r="1272" spans="1:2" x14ac:dyDescent="0.3">
      <c r="A1272" s="3">
        <v>45562.354166666664</v>
      </c>
      <c r="B1272" s="1">
        <v>25.1</v>
      </c>
    </row>
    <row r="1273" spans="1:2" x14ac:dyDescent="0.3">
      <c r="A1273" s="3">
        <v>45562.375</v>
      </c>
      <c r="B1273" s="1">
        <v>25.7</v>
      </c>
    </row>
    <row r="1274" spans="1:2" x14ac:dyDescent="0.3">
      <c r="A1274" s="3">
        <v>45562.395833333336</v>
      </c>
      <c r="B1274" s="1">
        <v>26.3</v>
      </c>
    </row>
    <row r="1275" spans="1:2" x14ac:dyDescent="0.3">
      <c r="A1275" s="3">
        <v>45562.416666666664</v>
      </c>
      <c r="B1275" s="1">
        <v>26.3</v>
      </c>
    </row>
    <row r="1276" spans="1:2" x14ac:dyDescent="0.3">
      <c r="A1276" s="3">
        <v>45562.4375</v>
      </c>
      <c r="B1276" s="1">
        <v>26.6</v>
      </c>
    </row>
    <row r="1277" spans="1:2" x14ac:dyDescent="0.3">
      <c r="A1277" s="3">
        <v>45562.458333333336</v>
      </c>
      <c r="B1277" s="1">
        <v>27</v>
      </c>
    </row>
    <row r="1278" spans="1:2" x14ac:dyDescent="0.3">
      <c r="A1278" s="3">
        <v>45562.479166666664</v>
      </c>
      <c r="B1278" s="1">
        <v>27.3</v>
      </c>
    </row>
    <row r="1279" spans="1:2" x14ac:dyDescent="0.3">
      <c r="A1279" s="3">
        <v>45562.5</v>
      </c>
      <c r="B1279" s="1">
        <v>27.8</v>
      </c>
    </row>
    <row r="1280" spans="1:2" x14ac:dyDescent="0.3">
      <c r="A1280" s="3">
        <v>45562.520833333336</v>
      </c>
      <c r="B1280" s="1">
        <v>28</v>
      </c>
    </row>
    <row r="1281" spans="1:2" x14ac:dyDescent="0.3">
      <c r="A1281" s="3">
        <v>45562.541666666664</v>
      </c>
      <c r="B1281" s="1">
        <v>27.8</v>
      </c>
    </row>
    <row r="1282" spans="1:2" x14ac:dyDescent="0.3">
      <c r="A1282" s="3">
        <v>45562.5625</v>
      </c>
      <c r="B1282" s="1">
        <v>27.9</v>
      </c>
    </row>
    <row r="1283" spans="1:2" x14ac:dyDescent="0.3">
      <c r="A1283" s="3">
        <v>45562.583333333336</v>
      </c>
      <c r="B1283" s="1">
        <v>28.3</v>
      </c>
    </row>
    <row r="1284" spans="1:2" x14ac:dyDescent="0.3">
      <c r="A1284" s="3">
        <v>45562.604166666664</v>
      </c>
      <c r="B1284" s="1">
        <v>28.1</v>
      </c>
    </row>
    <row r="1285" spans="1:2" x14ac:dyDescent="0.3">
      <c r="A1285" s="3">
        <v>45562.625</v>
      </c>
      <c r="B1285" s="1">
        <v>28.2</v>
      </c>
    </row>
    <row r="1286" spans="1:2" x14ac:dyDescent="0.3">
      <c r="A1286" s="3">
        <v>45562.645833333336</v>
      </c>
      <c r="B1286" s="1">
        <v>28.1</v>
      </c>
    </row>
    <row r="1287" spans="1:2" x14ac:dyDescent="0.3">
      <c r="A1287" s="3">
        <v>45562.666666666664</v>
      </c>
      <c r="B1287" s="1">
        <v>27.4</v>
      </c>
    </row>
    <row r="1288" spans="1:2" x14ac:dyDescent="0.3">
      <c r="A1288" s="3">
        <v>45562.6875</v>
      </c>
      <c r="B1288" s="1">
        <v>26.7</v>
      </c>
    </row>
    <row r="1289" spans="1:2" x14ac:dyDescent="0.3">
      <c r="A1289" s="3">
        <v>45562.708333333336</v>
      </c>
      <c r="B1289" s="1">
        <v>25.9</v>
      </c>
    </row>
    <row r="1290" spans="1:2" x14ac:dyDescent="0.3">
      <c r="A1290" s="3">
        <v>45562.729166666664</v>
      </c>
      <c r="B1290" s="1">
        <v>25.2</v>
      </c>
    </row>
    <row r="1291" spans="1:2" x14ac:dyDescent="0.3">
      <c r="A1291" s="3">
        <v>45562.75</v>
      </c>
      <c r="B1291" s="1">
        <v>24.8</v>
      </c>
    </row>
    <row r="1292" spans="1:2" x14ac:dyDescent="0.3">
      <c r="A1292" s="3">
        <v>45562.770833333336</v>
      </c>
      <c r="B1292" s="1">
        <v>24.5</v>
      </c>
    </row>
    <row r="1293" spans="1:2" x14ac:dyDescent="0.3">
      <c r="A1293" s="3">
        <v>45562.791666666664</v>
      </c>
      <c r="B1293" s="1">
        <v>24.3</v>
      </c>
    </row>
    <row r="1294" spans="1:2" x14ac:dyDescent="0.3">
      <c r="A1294" s="3">
        <v>45562.8125</v>
      </c>
      <c r="B1294" s="1">
        <v>24.1</v>
      </c>
    </row>
    <row r="1295" spans="1:2" x14ac:dyDescent="0.3">
      <c r="A1295" s="3">
        <v>45562.833333333336</v>
      </c>
      <c r="B1295" s="1">
        <v>24</v>
      </c>
    </row>
    <row r="1296" spans="1:2" x14ac:dyDescent="0.3">
      <c r="A1296" s="3">
        <v>45562.854166666664</v>
      </c>
      <c r="B1296" s="1">
        <v>23.8</v>
      </c>
    </row>
    <row r="1297" spans="1:2" x14ac:dyDescent="0.3">
      <c r="A1297" s="3">
        <v>45562.875</v>
      </c>
      <c r="B1297" s="1">
        <v>23.6</v>
      </c>
    </row>
    <row r="1298" spans="1:2" x14ac:dyDescent="0.3">
      <c r="A1298" s="3">
        <v>45562.895833333336</v>
      </c>
      <c r="B1298" s="1">
        <v>23.5</v>
      </c>
    </row>
    <row r="1299" spans="1:2" x14ac:dyDescent="0.3">
      <c r="A1299" s="3">
        <v>45562.916666666664</v>
      </c>
      <c r="B1299" s="1">
        <v>23.5</v>
      </c>
    </row>
    <row r="1300" spans="1:2" x14ac:dyDescent="0.3">
      <c r="A1300" s="3">
        <v>45562.9375</v>
      </c>
      <c r="B1300" s="1">
        <v>23.3</v>
      </c>
    </row>
    <row r="1301" spans="1:2" x14ac:dyDescent="0.3">
      <c r="A1301" s="3">
        <v>45562.958333333336</v>
      </c>
      <c r="B1301" s="1">
        <v>23.2</v>
      </c>
    </row>
    <row r="1302" spans="1:2" x14ac:dyDescent="0.3">
      <c r="A1302" s="3">
        <v>45562.979166666664</v>
      </c>
      <c r="B1302" s="1">
        <v>23.1</v>
      </c>
    </row>
    <row r="1303" spans="1:2" x14ac:dyDescent="0.3">
      <c r="A1303" s="3">
        <v>45563</v>
      </c>
      <c r="B1303" s="1">
        <v>23.1</v>
      </c>
    </row>
    <row r="1304" spans="1:2" x14ac:dyDescent="0.3">
      <c r="A1304" s="3">
        <v>45563.020833333336</v>
      </c>
      <c r="B1304" s="1">
        <v>23</v>
      </c>
    </row>
    <row r="1305" spans="1:2" x14ac:dyDescent="0.3">
      <c r="A1305" s="3">
        <v>45563.041666666664</v>
      </c>
      <c r="B1305" s="1">
        <v>23</v>
      </c>
    </row>
    <row r="1306" spans="1:2" x14ac:dyDescent="0.3">
      <c r="A1306" s="3">
        <v>45563.0625</v>
      </c>
      <c r="B1306" s="1">
        <v>22.9</v>
      </c>
    </row>
    <row r="1307" spans="1:2" x14ac:dyDescent="0.3">
      <c r="A1307" s="3">
        <v>45563.083333333336</v>
      </c>
      <c r="B1307" s="1">
        <v>22.9</v>
      </c>
    </row>
    <row r="1308" spans="1:2" x14ac:dyDescent="0.3">
      <c r="A1308" s="3">
        <v>45563.104166666664</v>
      </c>
      <c r="B1308" s="1">
        <v>23</v>
      </c>
    </row>
    <row r="1309" spans="1:2" x14ac:dyDescent="0.3">
      <c r="A1309" s="3">
        <v>45563.125</v>
      </c>
      <c r="B1309" s="1">
        <v>22.9</v>
      </c>
    </row>
    <row r="1310" spans="1:2" x14ac:dyDescent="0.3">
      <c r="A1310" s="3">
        <v>45563.145833333336</v>
      </c>
      <c r="B1310" s="1">
        <v>22.8</v>
      </c>
    </row>
    <row r="1311" spans="1:2" x14ac:dyDescent="0.3">
      <c r="A1311" s="3">
        <v>45563.166666666664</v>
      </c>
      <c r="B1311" s="1">
        <v>22.8</v>
      </c>
    </row>
    <row r="1312" spans="1:2" x14ac:dyDescent="0.3">
      <c r="A1312" s="3">
        <v>45563.1875</v>
      </c>
      <c r="B1312" s="1">
        <v>22.8</v>
      </c>
    </row>
    <row r="1313" spans="1:2" x14ac:dyDescent="0.3">
      <c r="A1313" s="3">
        <v>45563.208333333336</v>
      </c>
      <c r="B1313" s="1">
        <v>22.5</v>
      </c>
    </row>
    <row r="1314" spans="1:2" x14ac:dyDescent="0.3">
      <c r="A1314" s="3">
        <v>45563.229166666664</v>
      </c>
      <c r="B1314" s="1">
        <v>22.2</v>
      </c>
    </row>
    <row r="1315" spans="1:2" x14ac:dyDescent="0.3">
      <c r="A1315" s="3">
        <v>45563.25</v>
      </c>
      <c r="B1315" s="1">
        <v>22.3</v>
      </c>
    </row>
    <row r="1316" spans="1:2" x14ac:dyDescent="0.3">
      <c r="A1316" s="3">
        <v>45563.270833333336</v>
      </c>
      <c r="B1316" s="1">
        <v>22.4</v>
      </c>
    </row>
    <row r="1317" spans="1:2" x14ac:dyDescent="0.3">
      <c r="A1317" s="3">
        <v>45563.291666666664</v>
      </c>
      <c r="B1317" s="1">
        <v>22.5</v>
      </c>
    </row>
    <row r="1318" spans="1:2" x14ac:dyDescent="0.3">
      <c r="A1318" s="3">
        <v>45563.3125</v>
      </c>
      <c r="B1318" s="1">
        <v>22.7</v>
      </c>
    </row>
    <row r="1319" spans="1:2" x14ac:dyDescent="0.3">
      <c r="A1319" s="3">
        <v>45563.333333333336</v>
      </c>
      <c r="B1319" s="1">
        <v>22.7</v>
      </c>
    </row>
    <row r="1320" spans="1:2" x14ac:dyDescent="0.3">
      <c r="A1320" s="3">
        <v>45563.354166666664</v>
      </c>
      <c r="B1320" s="1">
        <v>23.1</v>
      </c>
    </row>
    <row r="1321" spans="1:2" x14ac:dyDescent="0.3">
      <c r="A1321" s="3">
        <v>45563.375</v>
      </c>
      <c r="B1321" s="1">
        <v>22.8</v>
      </c>
    </row>
    <row r="1322" spans="1:2" x14ac:dyDescent="0.3">
      <c r="A1322" s="3">
        <v>45563.395833333336</v>
      </c>
      <c r="B1322" s="1">
        <v>23.1</v>
      </c>
    </row>
    <row r="1323" spans="1:2" x14ac:dyDescent="0.3">
      <c r="A1323" s="3">
        <v>45563.416666666664</v>
      </c>
      <c r="B1323" s="1">
        <v>23.5</v>
      </c>
    </row>
    <row r="1324" spans="1:2" x14ac:dyDescent="0.3">
      <c r="A1324" s="3">
        <v>45563.4375</v>
      </c>
      <c r="B1324" s="1">
        <v>23.8</v>
      </c>
    </row>
    <row r="1325" spans="1:2" x14ac:dyDescent="0.3">
      <c r="A1325" s="3">
        <v>45563.458333333336</v>
      </c>
      <c r="B1325" s="1">
        <v>24.1</v>
      </c>
    </row>
    <row r="1326" spans="1:2" x14ac:dyDescent="0.3">
      <c r="A1326" s="3">
        <v>45563.479166666664</v>
      </c>
      <c r="B1326" s="1">
        <v>23.9</v>
      </c>
    </row>
    <row r="1327" spans="1:2" x14ac:dyDescent="0.3">
      <c r="A1327" s="3">
        <v>45563.5</v>
      </c>
      <c r="B1327" s="1">
        <v>23.8</v>
      </c>
    </row>
    <row r="1328" spans="1:2" x14ac:dyDescent="0.3">
      <c r="A1328" s="3">
        <v>45563.520833333336</v>
      </c>
      <c r="B1328" s="1">
        <v>23.6</v>
      </c>
    </row>
    <row r="1329" spans="1:2" x14ac:dyDescent="0.3">
      <c r="A1329" s="3">
        <v>45563.541666666664</v>
      </c>
      <c r="B1329" s="1">
        <v>23.4</v>
      </c>
    </row>
    <row r="1330" spans="1:2" x14ac:dyDescent="0.3">
      <c r="A1330" s="3">
        <v>45563.5625</v>
      </c>
      <c r="B1330" s="1">
        <v>23.1</v>
      </c>
    </row>
    <row r="1331" spans="1:2" x14ac:dyDescent="0.3">
      <c r="A1331" s="3">
        <v>45563.583333333336</v>
      </c>
      <c r="B1331" s="1">
        <v>23.6</v>
      </c>
    </row>
    <row r="1332" spans="1:2" x14ac:dyDescent="0.3">
      <c r="A1332" s="3">
        <v>45563.604166666664</v>
      </c>
      <c r="B1332" s="1">
        <v>23.6</v>
      </c>
    </row>
    <row r="1333" spans="1:2" x14ac:dyDescent="0.3">
      <c r="A1333" s="3">
        <v>45563.625</v>
      </c>
      <c r="B1333" s="1">
        <v>23.7</v>
      </c>
    </row>
    <row r="1334" spans="1:2" x14ac:dyDescent="0.3">
      <c r="A1334" s="3">
        <v>45563.645833333336</v>
      </c>
      <c r="B1334" s="1">
        <v>23.4</v>
      </c>
    </row>
    <row r="1335" spans="1:2" x14ac:dyDescent="0.3">
      <c r="A1335" s="3">
        <v>45563.666666666664</v>
      </c>
      <c r="B1335" s="1">
        <v>22.4</v>
      </c>
    </row>
    <row r="1336" spans="1:2" x14ac:dyDescent="0.3">
      <c r="A1336" s="3">
        <v>45563.6875</v>
      </c>
      <c r="B1336" s="1">
        <v>21.9</v>
      </c>
    </row>
    <row r="1337" spans="1:2" x14ac:dyDescent="0.3">
      <c r="A1337" s="3">
        <v>45563.708333333336</v>
      </c>
      <c r="B1337" s="1">
        <v>21.4</v>
      </c>
    </row>
    <row r="1338" spans="1:2" x14ac:dyDescent="0.3">
      <c r="A1338" s="3">
        <v>45563.729166666664</v>
      </c>
      <c r="B1338" s="1">
        <v>21.5</v>
      </c>
    </row>
    <row r="1339" spans="1:2" x14ac:dyDescent="0.3">
      <c r="A1339" s="3">
        <v>45563.75</v>
      </c>
      <c r="B1339" s="1">
        <v>21.5</v>
      </c>
    </row>
    <row r="1340" spans="1:2" x14ac:dyDescent="0.3">
      <c r="A1340" s="3">
        <v>45563.770833333336</v>
      </c>
      <c r="B1340" s="1">
        <v>21.4</v>
      </c>
    </row>
    <row r="1341" spans="1:2" x14ac:dyDescent="0.3">
      <c r="A1341" s="3">
        <v>45563.791666666664</v>
      </c>
      <c r="B1341" s="1">
        <v>21.4</v>
      </c>
    </row>
    <row r="1342" spans="1:2" x14ac:dyDescent="0.3">
      <c r="A1342" s="3">
        <v>45563.8125</v>
      </c>
      <c r="B1342" s="1">
        <v>21.4</v>
      </c>
    </row>
    <row r="1343" spans="1:2" x14ac:dyDescent="0.3">
      <c r="A1343" s="3">
        <v>45563.833333333336</v>
      </c>
      <c r="B1343" s="1">
        <v>20.6</v>
      </c>
    </row>
    <row r="1344" spans="1:2" x14ac:dyDescent="0.3">
      <c r="A1344" s="3">
        <v>45563.854166666664</v>
      </c>
      <c r="B1344" s="1">
        <v>19.3</v>
      </c>
    </row>
    <row r="1345" spans="1:2" x14ac:dyDescent="0.3">
      <c r="A1345" s="3">
        <v>45563.875</v>
      </c>
      <c r="B1345" s="1">
        <v>18.7</v>
      </c>
    </row>
    <row r="1346" spans="1:2" x14ac:dyDescent="0.3">
      <c r="A1346" s="3">
        <v>45563.895833333336</v>
      </c>
      <c r="B1346" s="1">
        <v>18.399999999999999</v>
      </c>
    </row>
    <row r="1347" spans="1:2" x14ac:dyDescent="0.3">
      <c r="A1347" s="3">
        <v>45563.916666666664</v>
      </c>
      <c r="B1347" s="1">
        <v>18.2</v>
      </c>
    </row>
    <row r="1348" spans="1:2" x14ac:dyDescent="0.3">
      <c r="A1348" s="3">
        <v>45563.9375</v>
      </c>
      <c r="B1348" s="1">
        <v>17.899999999999999</v>
      </c>
    </row>
    <row r="1349" spans="1:2" x14ac:dyDescent="0.3">
      <c r="A1349" s="3">
        <v>45563.958333333336</v>
      </c>
      <c r="B1349" s="1">
        <v>17.7</v>
      </c>
    </row>
    <row r="1350" spans="1:2" x14ac:dyDescent="0.3">
      <c r="A1350" s="3">
        <v>45563.979166666664</v>
      </c>
      <c r="B1350" s="1">
        <v>17.5</v>
      </c>
    </row>
    <row r="1351" spans="1:2" x14ac:dyDescent="0.3">
      <c r="A1351" s="3">
        <v>45564</v>
      </c>
      <c r="B1351" s="1">
        <v>17.600000000000001</v>
      </c>
    </row>
    <row r="1352" spans="1:2" x14ac:dyDescent="0.3">
      <c r="A1352" s="3">
        <v>45564.020833333336</v>
      </c>
      <c r="B1352" s="1">
        <v>16.8</v>
      </c>
    </row>
    <row r="1353" spans="1:2" x14ac:dyDescent="0.3">
      <c r="A1353" s="3">
        <v>45564.041666666664</v>
      </c>
      <c r="B1353" s="1">
        <v>16.600000000000001</v>
      </c>
    </row>
    <row r="1354" spans="1:2" x14ac:dyDescent="0.3">
      <c r="A1354" s="3">
        <v>45564.0625</v>
      </c>
      <c r="B1354" s="1">
        <v>16.399999999999999</v>
      </c>
    </row>
    <row r="1355" spans="1:2" x14ac:dyDescent="0.3">
      <c r="A1355" s="3">
        <v>45564.083333333336</v>
      </c>
      <c r="B1355" s="1">
        <v>16</v>
      </c>
    </row>
    <row r="1356" spans="1:2" x14ac:dyDescent="0.3">
      <c r="A1356" s="3">
        <v>45564.104166666664</v>
      </c>
      <c r="B1356" s="1">
        <v>15.9</v>
      </c>
    </row>
    <row r="1357" spans="1:2" x14ac:dyDescent="0.3">
      <c r="A1357" s="3">
        <v>45564.125</v>
      </c>
      <c r="B1357" s="1">
        <v>15.7</v>
      </c>
    </row>
    <row r="1358" spans="1:2" x14ac:dyDescent="0.3">
      <c r="A1358" s="3">
        <v>45564.145833333336</v>
      </c>
      <c r="B1358" s="1">
        <v>15.6</v>
      </c>
    </row>
    <row r="1359" spans="1:2" x14ac:dyDescent="0.3">
      <c r="A1359" s="3">
        <v>45564.166666666664</v>
      </c>
      <c r="B1359" s="1">
        <v>15.5</v>
      </c>
    </row>
    <row r="1360" spans="1:2" x14ac:dyDescent="0.3">
      <c r="A1360" s="3">
        <v>45564.1875</v>
      </c>
      <c r="B1360" s="1">
        <v>15.2</v>
      </c>
    </row>
    <row r="1361" spans="1:2" x14ac:dyDescent="0.3">
      <c r="A1361" s="3">
        <v>45564.208333333336</v>
      </c>
      <c r="B1361" s="1">
        <v>15.1</v>
      </c>
    </row>
    <row r="1362" spans="1:2" x14ac:dyDescent="0.3">
      <c r="A1362" s="3">
        <v>45564.229166666664</v>
      </c>
      <c r="B1362" s="1">
        <v>15</v>
      </c>
    </row>
    <row r="1363" spans="1:2" x14ac:dyDescent="0.3">
      <c r="A1363" s="3">
        <v>45564.25</v>
      </c>
      <c r="B1363" s="1">
        <v>15.3</v>
      </c>
    </row>
    <row r="1364" spans="1:2" x14ac:dyDescent="0.3">
      <c r="A1364" s="3">
        <v>45564.270833333336</v>
      </c>
      <c r="B1364" s="1">
        <v>15.7</v>
      </c>
    </row>
    <row r="1365" spans="1:2" x14ac:dyDescent="0.3">
      <c r="A1365" s="3">
        <v>45564.291666666664</v>
      </c>
      <c r="B1365" s="1">
        <v>15.8</v>
      </c>
    </row>
    <row r="1366" spans="1:2" x14ac:dyDescent="0.3">
      <c r="A1366" s="3">
        <v>45564.3125</v>
      </c>
      <c r="B1366" s="1">
        <v>16.5</v>
      </c>
    </row>
    <row r="1367" spans="1:2" x14ac:dyDescent="0.3">
      <c r="A1367" s="3">
        <v>45564.333333333336</v>
      </c>
      <c r="B1367" s="1">
        <v>17.399999999999999</v>
      </c>
    </row>
    <row r="1368" spans="1:2" x14ac:dyDescent="0.3">
      <c r="A1368" s="3">
        <v>45564.354166666664</v>
      </c>
      <c r="B1368" s="1">
        <v>18.399999999999999</v>
      </c>
    </row>
    <row r="1369" spans="1:2" x14ac:dyDescent="0.3">
      <c r="A1369" s="3">
        <v>45564.375</v>
      </c>
      <c r="B1369" s="1">
        <v>19.3</v>
      </c>
    </row>
    <row r="1370" spans="1:2" x14ac:dyDescent="0.3">
      <c r="A1370" s="3">
        <v>45564.395833333336</v>
      </c>
      <c r="B1370" s="1">
        <v>20.2</v>
      </c>
    </row>
    <row r="1371" spans="1:2" x14ac:dyDescent="0.3">
      <c r="A1371" s="3">
        <v>45564.416666666664</v>
      </c>
      <c r="B1371" s="1">
        <v>21.1</v>
      </c>
    </row>
    <row r="1372" spans="1:2" x14ac:dyDescent="0.3">
      <c r="A1372" s="3">
        <v>45564.4375</v>
      </c>
      <c r="B1372" s="1">
        <v>21.9</v>
      </c>
    </row>
    <row r="1373" spans="1:2" x14ac:dyDescent="0.3">
      <c r="A1373" s="3">
        <v>45564.458333333336</v>
      </c>
      <c r="B1373" s="1">
        <v>22.5</v>
      </c>
    </row>
    <row r="1374" spans="1:2" x14ac:dyDescent="0.3">
      <c r="A1374" s="3">
        <v>45564.479166666664</v>
      </c>
      <c r="B1374" s="1">
        <v>22.7</v>
      </c>
    </row>
    <row r="1375" spans="1:2" x14ac:dyDescent="0.3">
      <c r="A1375" s="3">
        <v>45564.5</v>
      </c>
      <c r="B1375" s="1">
        <v>23.3</v>
      </c>
    </row>
    <row r="1376" spans="1:2" x14ac:dyDescent="0.3">
      <c r="A1376" s="3">
        <v>45564.520833333336</v>
      </c>
      <c r="B1376" s="1">
        <v>23.6</v>
      </c>
    </row>
    <row r="1377" spans="1:2" x14ac:dyDescent="0.3">
      <c r="A1377" s="3">
        <v>45564.541666666664</v>
      </c>
      <c r="B1377" s="1">
        <v>23.9</v>
      </c>
    </row>
    <row r="1378" spans="1:2" x14ac:dyDescent="0.3">
      <c r="A1378" s="3">
        <v>45564.5625</v>
      </c>
      <c r="B1378" s="1">
        <v>24.2</v>
      </c>
    </row>
    <row r="1379" spans="1:2" x14ac:dyDescent="0.3">
      <c r="A1379" s="3">
        <v>45564.583333333336</v>
      </c>
      <c r="B1379" s="1">
        <v>24.4</v>
      </c>
    </row>
    <row r="1380" spans="1:2" x14ac:dyDescent="0.3">
      <c r="A1380" s="3">
        <v>45564.604166666664</v>
      </c>
      <c r="B1380" s="1">
        <v>24.6</v>
      </c>
    </row>
    <row r="1381" spans="1:2" x14ac:dyDescent="0.3">
      <c r="A1381" s="3">
        <v>45564.625</v>
      </c>
      <c r="B1381" s="1">
        <v>24.7</v>
      </c>
    </row>
    <row r="1382" spans="1:2" x14ac:dyDescent="0.3">
      <c r="A1382" s="3">
        <v>45564.645833333336</v>
      </c>
      <c r="B1382" s="1">
        <v>24.2</v>
      </c>
    </row>
    <row r="1383" spans="1:2" x14ac:dyDescent="0.3">
      <c r="A1383" s="3">
        <v>45564.666666666664</v>
      </c>
      <c r="B1383" s="1">
        <v>23.8</v>
      </c>
    </row>
    <row r="1384" spans="1:2" x14ac:dyDescent="0.3">
      <c r="A1384" s="3">
        <v>45564.6875</v>
      </c>
      <c r="B1384" s="1">
        <v>23.4</v>
      </c>
    </row>
    <row r="1385" spans="1:2" x14ac:dyDescent="0.3">
      <c r="A1385" s="3">
        <v>45564.708333333336</v>
      </c>
      <c r="B1385" s="1">
        <v>22.7</v>
      </c>
    </row>
    <row r="1386" spans="1:2" x14ac:dyDescent="0.3">
      <c r="A1386" s="3">
        <v>45564.729166666664</v>
      </c>
      <c r="B1386" s="1">
        <v>22.1</v>
      </c>
    </row>
    <row r="1387" spans="1:2" x14ac:dyDescent="0.3">
      <c r="A1387" s="3">
        <v>45564.75</v>
      </c>
      <c r="B1387" s="1">
        <v>21.5</v>
      </c>
    </row>
    <row r="1388" spans="1:2" x14ac:dyDescent="0.3">
      <c r="A1388" s="3">
        <v>45564.770833333336</v>
      </c>
      <c r="B1388" s="1">
        <v>21</v>
      </c>
    </row>
    <row r="1389" spans="1:2" x14ac:dyDescent="0.3">
      <c r="A1389" s="3">
        <v>45564.791666666664</v>
      </c>
      <c r="B1389" s="1">
        <v>20.5</v>
      </c>
    </row>
    <row r="1390" spans="1:2" x14ac:dyDescent="0.3">
      <c r="A1390" s="3">
        <v>45564.8125</v>
      </c>
      <c r="B1390" s="1">
        <v>19.899999999999999</v>
      </c>
    </row>
    <row r="1391" spans="1:2" x14ac:dyDescent="0.3">
      <c r="A1391" s="3">
        <v>45564.833333333336</v>
      </c>
      <c r="B1391" s="1">
        <v>19.399999999999999</v>
      </c>
    </row>
    <row r="1392" spans="1:2" x14ac:dyDescent="0.3">
      <c r="A1392" s="3">
        <v>45564.854166666664</v>
      </c>
      <c r="B1392" s="1">
        <v>19.100000000000001</v>
      </c>
    </row>
    <row r="1393" spans="1:2" x14ac:dyDescent="0.3">
      <c r="A1393" s="3">
        <v>45564.875</v>
      </c>
      <c r="B1393" s="1">
        <v>18.600000000000001</v>
      </c>
    </row>
    <row r="1394" spans="1:2" x14ac:dyDescent="0.3">
      <c r="A1394" s="3">
        <v>45564.895833333336</v>
      </c>
      <c r="B1394" s="1">
        <v>18.2</v>
      </c>
    </row>
    <row r="1395" spans="1:2" x14ac:dyDescent="0.3">
      <c r="A1395" s="3">
        <v>45564.916666666664</v>
      </c>
      <c r="B1395" s="1">
        <v>18.100000000000001</v>
      </c>
    </row>
    <row r="1396" spans="1:2" x14ac:dyDescent="0.3">
      <c r="A1396" s="3">
        <v>45564.9375</v>
      </c>
      <c r="B1396" s="1">
        <v>17.7</v>
      </c>
    </row>
    <row r="1397" spans="1:2" x14ac:dyDescent="0.3">
      <c r="A1397" s="3">
        <v>45564.958333333336</v>
      </c>
      <c r="B1397" s="1">
        <v>17.399999999999999</v>
      </c>
    </row>
    <row r="1398" spans="1:2" x14ac:dyDescent="0.3">
      <c r="A1398" s="3">
        <v>45564.979166666664</v>
      </c>
      <c r="B1398" s="1">
        <v>17</v>
      </c>
    </row>
    <row r="1399" spans="1:2" x14ac:dyDescent="0.3">
      <c r="A1399" s="3">
        <v>45565</v>
      </c>
      <c r="B1399" s="1">
        <v>16.7</v>
      </c>
    </row>
    <row r="1400" spans="1:2" x14ac:dyDescent="0.3">
      <c r="A1400" s="3">
        <v>45565.020833333336</v>
      </c>
      <c r="B1400" s="1">
        <v>16.7</v>
      </c>
    </row>
    <row r="1401" spans="1:2" x14ac:dyDescent="0.3">
      <c r="A1401" s="3">
        <v>45565.041666666664</v>
      </c>
      <c r="B1401" s="1">
        <v>16.600000000000001</v>
      </c>
    </row>
    <row r="1402" spans="1:2" x14ac:dyDescent="0.3">
      <c r="A1402" s="3">
        <v>45565.0625</v>
      </c>
      <c r="B1402" s="1">
        <v>15.9</v>
      </c>
    </row>
    <row r="1403" spans="1:2" x14ac:dyDescent="0.3">
      <c r="A1403" s="3">
        <v>45565.083333333336</v>
      </c>
      <c r="B1403" s="1">
        <v>15.5</v>
      </c>
    </row>
    <row r="1404" spans="1:2" x14ac:dyDescent="0.3">
      <c r="A1404" s="3">
        <v>45565.104166666664</v>
      </c>
      <c r="B1404" s="1">
        <v>15</v>
      </c>
    </row>
    <row r="1405" spans="1:2" x14ac:dyDescent="0.3">
      <c r="A1405" s="3">
        <v>45565.125</v>
      </c>
      <c r="B1405" s="1">
        <v>14.6</v>
      </c>
    </row>
    <row r="1406" spans="1:2" x14ac:dyDescent="0.3">
      <c r="A1406" s="3">
        <v>45565.145833333336</v>
      </c>
      <c r="B1406" s="1">
        <v>14.1</v>
      </c>
    </row>
    <row r="1407" spans="1:2" x14ac:dyDescent="0.3">
      <c r="A1407" s="3">
        <v>45565.166666666664</v>
      </c>
      <c r="B1407" s="1">
        <v>14.2</v>
      </c>
    </row>
    <row r="1408" spans="1:2" x14ac:dyDescent="0.3">
      <c r="A1408" s="3">
        <v>45565.1875</v>
      </c>
      <c r="B1408" s="1">
        <v>13.8</v>
      </c>
    </row>
    <row r="1409" spans="1:2" x14ac:dyDescent="0.3">
      <c r="A1409" s="3">
        <v>45565.208333333336</v>
      </c>
      <c r="B1409" s="1">
        <v>14</v>
      </c>
    </row>
    <row r="1410" spans="1:2" x14ac:dyDescent="0.3">
      <c r="A1410" s="3">
        <v>45565.229166666664</v>
      </c>
      <c r="B1410" s="1">
        <v>14</v>
      </c>
    </row>
    <row r="1411" spans="1:2" x14ac:dyDescent="0.3">
      <c r="A1411" s="3">
        <v>45565.25</v>
      </c>
      <c r="B1411" s="1">
        <v>14.3</v>
      </c>
    </row>
    <row r="1412" spans="1:2" x14ac:dyDescent="0.3">
      <c r="A1412" s="3">
        <v>45565.270833333336</v>
      </c>
      <c r="B1412" s="1">
        <v>14.6</v>
      </c>
    </row>
    <row r="1413" spans="1:2" x14ac:dyDescent="0.3">
      <c r="A1413" s="3">
        <v>45565.291666666664</v>
      </c>
      <c r="B1413" s="1">
        <v>15.2</v>
      </c>
    </row>
    <row r="1414" spans="1:2" x14ac:dyDescent="0.3">
      <c r="A1414" s="3">
        <v>45565.3125</v>
      </c>
      <c r="B1414" s="1">
        <v>16</v>
      </c>
    </row>
    <row r="1415" spans="1:2" x14ac:dyDescent="0.3">
      <c r="A1415" s="3">
        <v>45565.333333333336</v>
      </c>
      <c r="B1415" s="1">
        <v>16.600000000000001</v>
      </c>
    </row>
    <row r="1416" spans="1:2" x14ac:dyDescent="0.3">
      <c r="A1416" s="3">
        <v>45565.354166666664</v>
      </c>
      <c r="B1416" s="1">
        <v>17.5</v>
      </c>
    </row>
    <row r="1417" spans="1:2" x14ac:dyDescent="0.3">
      <c r="A1417" s="3">
        <v>45565.375</v>
      </c>
      <c r="B1417" s="1">
        <v>18.5</v>
      </c>
    </row>
    <row r="1418" spans="1:2" x14ac:dyDescent="0.3">
      <c r="A1418" s="3">
        <v>45565.395833333336</v>
      </c>
      <c r="B1418" s="1">
        <v>19.600000000000001</v>
      </c>
    </row>
    <row r="1419" spans="1:2" x14ac:dyDescent="0.3">
      <c r="A1419" s="3">
        <v>45565.416666666664</v>
      </c>
      <c r="B1419" s="1">
        <v>20.399999999999999</v>
      </c>
    </row>
    <row r="1420" spans="1:2" x14ac:dyDescent="0.3">
      <c r="A1420" s="3">
        <v>45565.4375</v>
      </c>
      <c r="B1420" s="1">
        <v>21.2</v>
      </c>
    </row>
    <row r="1421" spans="1:2" x14ac:dyDescent="0.3">
      <c r="A1421" s="3">
        <v>45565.458333333336</v>
      </c>
      <c r="B1421" s="1">
        <v>21.9</v>
      </c>
    </row>
    <row r="1422" spans="1:2" x14ac:dyDescent="0.3">
      <c r="A1422" s="3">
        <v>45565.479166666664</v>
      </c>
      <c r="B1422" s="1">
        <v>22.3</v>
      </c>
    </row>
    <row r="1423" spans="1:2" x14ac:dyDescent="0.3">
      <c r="A1423" s="3">
        <v>45565.5</v>
      </c>
      <c r="B1423" s="1">
        <v>22.7</v>
      </c>
    </row>
    <row r="1424" spans="1:2" x14ac:dyDescent="0.3">
      <c r="A1424" s="3">
        <v>45565.520833333336</v>
      </c>
      <c r="B1424" s="1">
        <v>22.9</v>
      </c>
    </row>
    <row r="1425" spans="1:2" x14ac:dyDescent="0.3">
      <c r="A1425" s="3">
        <v>45565.541666666664</v>
      </c>
      <c r="B1425" s="1">
        <v>23.9</v>
      </c>
    </row>
    <row r="1426" spans="1:2" x14ac:dyDescent="0.3">
      <c r="A1426" s="3">
        <v>45565.5625</v>
      </c>
      <c r="B1426" s="1">
        <v>24.2</v>
      </c>
    </row>
    <row r="1427" spans="1:2" x14ac:dyDescent="0.3">
      <c r="A1427" s="3">
        <v>45565.583333333336</v>
      </c>
      <c r="B1427" s="1">
        <v>23.9</v>
      </c>
    </row>
    <row r="1428" spans="1:2" x14ac:dyDescent="0.3">
      <c r="A1428" s="3">
        <v>45565.604166666664</v>
      </c>
      <c r="B1428" s="1">
        <v>23.7</v>
      </c>
    </row>
    <row r="1429" spans="1:2" x14ac:dyDescent="0.3">
      <c r="A1429" s="3">
        <v>45565.625</v>
      </c>
      <c r="B1429" s="1">
        <v>23.6</v>
      </c>
    </row>
    <row r="1430" spans="1:2" x14ac:dyDescent="0.3">
      <c r="A1430" s="3">
        <v>45565.645833333336</v>
      </c>
      <c r="B1430" s="1">
        <v>22.8</v>
      </c>
    </row>
    <row r="1431" spans="1:2" x14ac:dyDescent="0.3">
      <c r="A1431" s="3">
        <v>45565.666666666664</v>
      </c>
      <c r="B1431" s="1">
        <v>22.4</v>
      </c>
    </row>
    <row r="1432" spans="1:2" x14ac:dyDescent="0.3">
      <c r="A1432" s="3">
        <v>45565.6875</v>
      </c>
      <c r="B1432" s="1">
        <v>22</v>
      </c>
    </row>
    <row r="1433" spans="1:2" x14ac:dyDescent="0.3">
      <c r="A1433" s="3">
        <v>45565.708333333336</v>
      </c>
      <c r="B1433" s="1">
        <v>21.3</v>
      </c>
    </row>
    <row r="1434" spans="1:2" x14ac:dyDescent="0.3">
      <c r="A1434" s="3">
        <v>45565.729166666664</v>
      </c>
      <c r="B1434" s="1">
        <v>20.9</v>
      </c>
    </row>
    <row r="1435" spans="1:2" x14ac:dyDescent="0.3">
      <c r="A1435" s="3">
        <v>45565.75</v>
      </c>
      <c r="B1435" s="1">
        <v>20.5</v>
      </c>
    </row>
    <row r="1436" spans="1:2" x14ac:dyDescent="0.3">
      <c r="A1436" s="3">
        <v>45565.770833333336</v>
      </c>
      <c r="B1436" s="1">
        <v>20.3</v>
      </c>
    </row>
    <row r="1437" spans="1:2" x14ac:dyDescent="0.3">
      <c r="A1437" s="3">
        <v>45565.791666666664</v>
      </c>
      <c r="B1437" s="1">
        <v>20.100000000000001</v>
      </c>
    </row>
    <row r="1438" spans="1:2" x14ac:dyDescent="0.3">
      <c r="A1438" s="3">
        <v>45565.8125</v>
      </c>
      <c r="B1438" s="1">
        <v>19.899999999999999</v>
      </c>
    </row>
    <row r="1439" spans="1:2" x14ac:dyDescent="0.3">
      <c r="A1439" s="3">
        <v>45565.833333333336</v>
      </c>
      <c r="B1439" s="1">
        <v>19.899999999999999</v>
      </c>
    </row>
    <row r="1440" spans="1:2" x14ac:dyDescent="0.3">
      <c r="A1440" s="3">
        <v>45565.854166666664</v>
      </c>
      <c r="B1440" s="1">
        <v>19.600000000000001</v>
      </c>
    </row>
    <row r="1441" spans="1:2" x14ac:dyDescent="0.3">
      <c r="A1441" s="3">
        <v>45565.875</v>
      </c>
      <c r="B1441" s="1">
        <v>19.3</v>
      </c>
    </row>
    <row r="1442" spans="1:2" x14ac:dyDescent="0.3">
      <c r="A1442" s="3">
        <v>45565.895833333336</v>
      </c>
      <c r="B1442" s="1">
        <v>19</v>
      </c>
    </row>
    <row r="1443" spans="1:2" x14ac:dyDescent="0.3">
      <c r="A1443" s="3">
        <v>45565.916666666664</v>
      </c>
      <c r="B1443" s="1">
        <v>18.100000000000001</v>
      </c>
    </row>
    <row r="1444" spans="1:2" x14ac:dyDescent="0.3">
      <c r="A1444" s="3">
        <v>45565.9375</v>
      </c>
      <c r="B1444" s="1">
        <v>17.7</v>
      </c>
    </row>
    <row r="1445" spans="1:2" x14ac:dyDescent="0.3">
      <c r="A1445" s="3">
        <v>45565.958333333336</v>
      </c>
      <c r="B1445" s="1">
        <v>17.899999999999999</v>
      </c>
    </row>
    <row r="1446" spans="1:2" x14ac:dyDescent="0.3">
      <c r="A1446" s="3">
        <v>45565.979166666664</v>
      </c>
      <c r="B1446" s="1">
        <v>17.5</v>
      </c>
    </row>
  </sheetData>
  <mergeCells count="6">
    <mergeCell ref="G1:H1"/>
    <mergeCell ref="J4:K4"/>
    <mergeCell ref="J5:K5"/>
    <mergeCell ref="J6:K6"/>
    <mergeCell ref="J11:N11"/>
    <mergeCell ref="O11:Q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Roma Collegio Romano CREA - Tem</vt:lpstr>
      <vt:lpstr>Foglio2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Iafrate (CREA-UTS2)</dc:creator>
  <cp:lastModifiedBy>Rosella Brandini  (CREA-UG4)</cp:lastModifiedBy>
  <dcterms:created xsi:type="dcterms:W3CDTF">2026-03-23T18:25:18Z</dcterms:created>
  <dcterms:modified xsi:type="dcterms:W3CDTF">2026-05-18T17:20:18Z</dcterms:modified>
</cp:coreProperties>
</file>